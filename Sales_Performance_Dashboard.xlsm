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drawings/drawing2.xml" ContentType="application/vnd.openxmlformats-officedocument.drawing+xml"/>
  <Override PartName="/xl/tables/table11.xml" ContentType="application/vnd.openxmlformats-officedocument.spreadsheetml.table+xml"/>
  <Override PartName="/xl/tables/table12.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trlProps/ctrlProp1.xml" ContentType="application/vnd.ms-excel.controlproperties+xml"/>
  <Override PartName="/xl/tables/table13.xml" ContentType="application/vnd.openxmlformats-officedocument.spreadsheetml.table+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hidePivotFieldList="1" defaultThemeVersion="202300"/>
  <mc:AlternateContent xmlns:mc="http://schemas.openxmlformats.org/markup-compatibility/2006">
    <mc:Choice Requires="x15">
      <x15ac:absPath xmlns:x15ac="http://schemas.microsoft.com/office/spreadsheetml/2010/11/ac" url="E:\Imarticus\Github\"/>
    </mc:Choice>
  </mc:AlternateContent>
  <xr:revisionPtr revIDLastSave="0" documentId="13_ncr:1_{F1810051-D070-4C6C-A433-31FE65259A5C}" xr6:coauthVersionLast="47" xr6:coauthVersionMax="47" xr10:uidLastSave="{00000000-0000-0000-0000-000000000000}"/>
  <bookViews>
    <workbookView xWindow="0" yWindow="0" windowWidth="14400" windowHeight="15600" firstSheet="12" activeTab="13" xr2:uid="{453BC368-32BF-43F8-AEF5-D60008C6F253}"/>
  </bookViews>
  <sheets>
    <sheet name="Region_Master" sheetId="9" r:id="rId1"/>
    <sheet name="Product_Master" sheetId="7" r:id="rId2"/>
    <sheet name="Sales_Data" sheetId="18" r:id="rId3"/>
    <sheet name="Monthly_Targets" sheetId="11" r:id="rId4"/>
    <sheet name="Data Cleaning" sheetId="1" r:id="rId5"/>
    <sheet name="Sales Metrics Analysis" sheetId="2" r:id="rId6"/>
    <sheet name="Text Processing" sheetId="3" r:id="rId7"/>
    <sheet name="Logical Decision Analysis" sheetId="5" r:id="rId8"/>
    <sheet name="Data Lookup &amp; Validation" sheetId="8" r:id="rId9"/>
    <sheet name="Conditional Aggregation Analysi" sheetId="10" r:id="rId10"/>
    <sheet name="Interactive Pivot Analysis" sheetId="20" r:id="rId11"/>
    <sheet name="Data Visualization &amp; Charts" sheetId="13" r:id="rId12"/>
    <sheet name="Excel VBA Automation" sheetId="16" r:id="rId13"/>
    <sheet name="Trade Performance Dashboard" sheetId="17" r:id="rId14"/>
    <sheet name="Rough_Sheet" sheetId="21" state="hidden" r:id="rId15"/>
  </sheets>
  <definedNames>
    <definedName name="_xlnm._FilterDatabase" localSheetId="14" hidden="1">Rough_Sheet!$A$29:$B$39</definedName>
    <definedName name="_xleta.MAX" hidden="1" xlm="1">#NAME?</definedName>
    <definedName name="_xleta.SUM" hidden="1" xlm="1">#NAME?</definedName>
    <definedName name="Slicer_Category">#N/A</definedName>
    <definedName name="Slicer_Order_Priority">#N/A</definedName>
  </definedNames>
  <calcPr calcId="191029"/>
  <pivotCaches>
    <pivotCache cacheId="0" r:id="rId16"/>
  </pivotCaches>
  <extLst>
    <ext xmlns:x14="http://schemas.microsoft.com/office/spreadsheetml/2009/9/main" uri="{BBE1A952-AA13-448e-AADC-164F8A28A991}">
      <x14:slicerCaches>
        <x14:slicerCache r:id="rId17"/>
        <x14:slicerCache r:id="rId1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warnBelowVersion="2" setVersion="2"/>
    </ext>
  </extLst>
</workbook>
</file>

<file path=xl/calcChain.xml><?xml version="1.0" encoding="utf-8"?>
<calcChain xmlns="http://schemas.openxmlformats.org/spreadsheetml/2006/main">
  <c r="U14" i="2" l="1"/>
  <c r="S3" i="20"/>
  <c r="S4" i="20"/>
  <c r="S5" i="20"/>
  <c r="S6" i="20"/>
  <c r="S7" i="20"/>
  <c r="S8" i="20"/>
  <c r="S9" i="20"/>
  <c r="S10" i="20"/>
  <c r="S11" i="20"/>
  <c r="S2" i="20"/>
  <c r="D3" i="2"/>
  <c r="D4" i="2"/>
  <c r="D5" i="2"/>
  <c r="D6" i="2"/>
  <c r="D7" i="2"/>
  <c r="D8" i="2"/>
  <c r="D9" i="2"/>
  <c r="D10" i="2"/>
  <c r="D11" i="2"/>
  <c r="D12" i="2"/>
  <c r="D13" i="2"/>
  <c r="D14" i="2"/>
  <c r="D15" i="2"/>
  <c r="D16" i="2"/>
  <c r="D17" i="2"/>
  <c r="D18" i="2"/>
  <c r="D19" i="2"/>
  <c r="D20" i="2"/>
  <c r="D21" i="2"/>
  <c r="D22" i="2"/>
  <c r="D23" i="2"/>
  <c r="D24" i="2"/>
  <c r="D25" i="2"/>
  <c r="D26" i="2"/>
  <c r="D27" i="2"/>
  <c r="D28" i="2"/>
  <c r="D29" i="2"/>
  <c r="D30" i="2"/>
  <c r="D31" i="2"/>
  <c r="D32" i="2"/>
  <c r="D33" i="2"/>
  <c r="D34" i="2"/>
  <c r="D35" i="2"/>
  <c r="D36" i="2"/>
  <c r="D37" i="2"/>
  <c r="D38" i="2"/>
  <c r="D39" i="2"/>
  <c r="D40" i="2"/>
  <c r="D41" i="2"/>
  <c r="D42" i="2"/>
  <c r="D43" i="2"/>
  <c r="D44" i="2"/>
  <c r="D45" i="2"/>
  <c r="D46" i="2"/>
  <c r="D47" i="2"/>
  <c r="D48" i="2"/>
  <c r="D49" i="2"/>
  <c r="D50" i="2"/>
  <c r="D51" i="2"/>
  <c r="D52" i="2"/>
  <c r="D53" i="2"/>
  <c r="D54" i="2"/>
  <c r="D55" i="2"/>
  <c r="D56" i="2"/>
  <c r="D57" i="2"/>
  <c r="D58" i="2"/>
  <c r="D59" i="2"/>
  <c r="D60" i="2"/>
  <c r="D61" i="2"/>
  <c r="D62" i="2"/>
  <c r="D63" i="2"/>
  <c r="D64" i="2"/>
  <c r="D65" i="2"/>
  <c r="D66" i="2"/>
  <c r="D67" i="2"/>
  <c r="D68" i="2"/>
  <c r="D69" i="2"/>
  <c r="D70" i="2"/>
  <c r="D71" i="2"/>
  <c r="D72" i="2"/>
  <c r="D73" i="2"/>
  <c r="D74" i="2"/>
  <c r="D75" i="2"/>
  <c r="D76" i="2"/>
  <c r="D77" i="2"/>
  <c r="D78" i="2"/>
  <c r="D79" i="2"/>
  <c r="D80" i="2"/>
  <c r="D81" i="2"/>
  <c r="D82" i="2"/>
  <c r="D83" i="2"/>
  <c r="D84" i="2"/>
  <c r="D85" i="2"/>
  <c r="D86" i="2"/>
  <c r="D87" i="2"/>
  <c r="D88" i="2"/>
  <c r="D89" i="2"/>
  <c r="D90" i="2"/>
  <c r="D91" i="2"/>
  <c r="D92" i="2"/>
  <c r="D93" i="2"/>
  <c r="D94" i="2"/>
  <c r="D95" i="2"/>
  <c r="D96" i="2"/>
  <c r="D97" i="2"/>
  <c r="D98" i="2"/>
  <c r="D99" i="2"/>
  <c r="D100" i="2"/>
  <c r="D101" i="2"/>
  <c r="D102" i="2"/>
  <c r="D103" i="2"/>
  <c r="D104" i="2"/>
  <c r="D105" i="2"/>
  <c r="D106" i="2"/>
  <c r="D107" i="2"/>
  <c r="D108" i="2"/>
  <c r="D109" i="2"/>
  <c r="D110" i="2"/>
  <c r="D111" i="2"/>
  <c r="D112" i="2"/>
  <c r="D113" i="2"/>
  <c r="D114" i="2"/>
  <c r="D115" i="2"/>
  <c r="D116" i="2"/>
  <c r="D117" i="2"/>
  <c r="D118" i="2"/>
  <c r="D119" i="2"/>
  <c r="D120" i="2"/>
  <c r="D121" i="2"/>
  <c r="D122" i="2"/>
  <c r="D123" i="2"/>
  <c r="D124" i="2"/>
  <c r="D125" i="2"/>
  <c r="D126" i="2"/>
  <c r="D127" i="2"/>
  <c r="D128" i="2"/>
  <c r="D129" i="2"/>
  <c r="D130" i="2"/>
  <c r="D131" i="2"/>
  <c r="D132" i="2"/>
  <c r="D133" i="2"/>
  <c r="D134" i="2"/>
  <c r="D135" i="2"/>
  <c r="D136" i="2"/>
  <c r="D137" i="2"/>
  <c r="D138" i="2"/>
  <c r="D139" i="2"/>
  <c r="D140" i="2"/>
  <c r="D141" i="2"/>
  <c r="D142" i="2"/>
  <c r="D143" i="2"/>
  <c r="D144" i="2"/>
  <c r="D145" i="2"/>
  <c r="D146" i="2"/>
  <c r="D147" i="2"/>
  <c r="D148" i="2"/>
  <c r="D149" i="2"/>
  <c r="D150" i="2"/>
  <c r="D151" i="2"/>
  <c r="D152" i="2"/>
  <c r="D153" i="2"/>
  <c r="D154" i="2"/>
  <c r="D155" i="2"/>
  <c r="D156" i="2"/>
  <c r="D157" i="2"/>
  <c r="D158" i="2"/>
  <c r="D159" i="2"/>
  <c r="D160" i="2"/>
  <c r="D161" i="2"/>
  <c r="D162" i="2"/>
  <c r="D163" i="2"/>
  <c r="D164" i="2"/>
  <c r="D165" i="2"/>
  <c r="D166" i="2"/>
  <c r="D167" i="2"/>
  <c r="D168" i="2"/>
  <c r="D169" i="2"/>
  <c r="D170" i="2"/>
  <c r="D171" i="2"/>
  <c r="D172" i="2"/>
  <c r="D173" i="2"/>
  <c r="D174" i="2"/>
  <c r="D175" i="2"/>
  <c r="D176" i="2"/>
  <c r="D177" i="2"/>
  <c r="D178" i="2"/>
  <c r="D179" i="2"/>
  <c r="D180" i="2"/>
  <c r="D181" i="2"/>
  <c r="D182" i="2"/>
  <c r="D183" i="2"/>
  <c r="D184" i="2"/>
  <c r="D185" i="2"/>
  <c r="D186" i="2"/>
  <c r="D187" i="2"/>
  <c r="D188" i="2"/>
  <c r="D189" i="2"/>
  <c r="D190" i="2"/>
  <c r="D191" i="2"/>
  <c r="D192" i="2"/>
  <c r="D193" i="2"/>
  <c r="D194" i="2"/>
  <c r="D195" i="2"/>
  <c r="D196" i="2"/>
  <c r="D197" i="2"/>
  <c r="D198" i="2"/>
  <c r="D199" i="2"/>
  <c r="D200" i="2"/>
  <c r="D201" i="2"/>
  <c r="D202" i="2"/>
  <c r="D203" i="2"/>
  <c r="D204" i="2"/>
  <c r="D205" i="2"/>
  <c r="D206" i="2"/>
  <c r="D207" i="2"/>
  <c r="D208" i="2"/>
  <c r="D209" i="2"/>
  <c r="D210" i="2"/>
  <c r="D211" i="2"/>
  <c r="D212" i="2"/>
  <c r="D213" i="2"/>
  <c r="D214" i="2"/>
  <c r="D215" i="2"/>
  <c r="D216" i="2"/>
  <c r="D217" i="2"/>
  <c r="D218" i="2"/>
  <c r="D219" i="2"/>
  <c r="D220" i="2"/>
  <c r="D221" i="2"/>
  <c r="D222" i="2"/>
  <c r="D223" i="2"/>
  <c r="D224" i="2"/>
  <c r="D225" i="2"/>
  <c r="D226" i="2"/>
  <c r="D227" i="2"/>
  <c r="D228" i="2"/>
  <c r="D229" i="2"/>
  <c r="D230" i="2"/>
  <c r="D231" i="2"/>
  <c r="D232" i="2"/>
  <c r="D233" i="2"/>
  <c r="D234" i="2"/>
  <c r="D235" i="2"/>
  <c r="D236" i="2"/>
  <c r="D237" i="2"/>
  <c r="D238" i="2"/>
  <c r="D239" i="2"/>
  <c r="D240" i="2"/>
  <c r="D241" i="2"/>
  <c r="D242" i="2"/>
  <c r="D243" i="2"/>
  <c r="D244" i="2"/>
  <c r="D245" i="2"/>
  <c r="D246" i="2"/>
  <c r="D247" i="2"/>
  <c r="D248" i="2"/>
  <c r="D249" i="2"/>
  <c r="D250" i="2"/>
  <c r="D251" i="2"/>
  <c r="D252" i="2"/>
  <c r="D253" i="2"/>
  <c r="D254" i="2"/>
  <c r="D255" i="2"/>
  <c r="D256" i="2"/>
  <c r="D257" i="2"/>
  <c r="D258" i="2"/>
  <c r="D259" i="2"/>
  <c r="D260" i="2"/>
  <c r="D261" i="2"/>
  <c r="D262" i="2"/>
  <c r="D263" i="2"/>
  <c r="D264" i="2"/>
  <c r="D265" i="2"/>
  <c r="D266" i="2"/>
  <c r="D267" i="2"/>
  <c r="D268" i="2"/>
  <c r="D269" i="2"/>
  <c r="D270" i="2"/>
  <c r="D271" i="2"/>
  <c r="D272" i="2"/>
  <c r="D273" i="2"/>
  <c r="D274" i="2"/>
  <c r="D275" i="2"/>
  <c r="D276" i="2"/>
  <c r="D277" i="2"/>
  <c r="D278" i="2"/>
  <c r="D279" i="2"/>
  <c r="D280" i="2"/>
  <c r="D281" i="2"/>
  <c r="D282" i="2"/>
  <c r="D283" i="2"/>
  <c r="D284" i="2"/>
  <c r="D285" i="2"/>
  <c r="D286" i="2"/>
  <c r="D287" i="2"/>
  <c r="D288" i="2"/>
  <c r="D289" i="2"/>
  <c r="D290" i="2"/>
  <c r="D291" i="2"/>
  <c r="D292" i="2"/>
  <c r="D293" i="2"/>
  <c r="D294" i="2"/>
  <c r="D295" i="2"/>
  <c r="D296" i="2"/>
  <c r="D297" i="2"/>
  <c r="D298" i="2"/>
  <c r="D299" i="2"/>
  <c r="D300" i="2"/>
  <c r="D301" i="2"/>
  <c r="D302" i="2"/>
  <c r="D303" i="2"/>
  <c r="D304" i="2"/>
  <c r="D305" i="2"/>
  <c r="D306" i="2"/>
  <c r="D307" i="2"/>
  <c r="D308" i="2"/>
  <c r="D309" i="2"/>
  <c r="D310" i="2"/>
  <c r="D311" i="2"/>
  <c r="D312" i="2"/>
  <c r="D313" i="2"/>
  <c r="D314" i="2"/>
  <c r="D315" i="2"/>
  <c r="D316" i="2"/>
  <c r="D317" i="2"/>
  <c r="D318" i="2"/>
  <c r="D319" i="2"/>
  <c r="D320" i="2"/>
  <c r="D321" i="2"/>
  <c r="D322" i="2"/>
  <c r="D323" i="2"/>
  <c r="D324" i="2"/>
  <c r="D325" i="2"/>
  <c r="D326" i="2"/>
  <c r="D327" i="2"/>
  <c r="D328" i="2"/>
  <c r="D329" i="2"/>
  <c r="D330" i="2"/>
  <c r="D331" i="2"/>
  <c r="D332" i="2"/>
  <c r="D333" i="2"/>
  <c r="D334" i="2"/>
  <c r="D335" i="2"/>
  <c r="D336" i="2"/>
  <c r="D337" i="2"/>
  <c r="D338" i="2"/>
  <c r="D339" i="2"/>
  <c r="D340" i="2"/>
  <c r="D341" i="2"/>
  <c r="D342" i="2"/>
  <c r="D343" i="2"/>
  <c r="D344" i="2"/>
  <c r="D345" i="2"/>
  <c r="D346" i="2"/>
  <c r="D347" i="2"/>
  <c r="D348" i="2"/>
  <c r="D349" i="2"/>
  <c r="D350" i="2"/>
  <c r="D351" i="2"/>
  <c r="D352" i="2"/>
  <c r="D353" i="2"/>
  <c r="D354" i="2"/>
  <c r="D355" i="2"/>
  <c r="D356" i="2"/>
  <c r="D357" i="2"/>
  <c r="D358" i="2"/>
  <c r="D359" i="2"/>
  <c r="D360" i="2"/>
  <c r="D361" i="2"/>
  <c r="D362" i="2"/>
  <c r="D363" i="2"/>
  <c r="D364" i="2"/>
  <c r="D365" i="2"/>
  <c r="D366" i="2"/>
  <c r="D367" i="2"/>
  <c r="D368" i="2"/>
  <c r="D369" i="2"/>
  <c r="D370" i="2"/>
  <c r="D371" i="2"/>
  <c r="D372" i="2"/>
  <c r="D373" i="2"/>
  <c r="D374" i="2"/>
  <c r="D375" i="2"/>
  <c r="D376" i="2"/>
  <c r="D377" i="2"/>
  <c r="D378" i="2"/>
  <c r="D379" i="2"/>
  <c r="D380" i="2"/>
  <c r="D381" i="2"/>
  <c r="D382" i="2"/>
  <c r="D383" i="2"/>
  <c r="D384" i="2"/>
  <c r="D385" i="2"/>
  <c r="D386" i="2"/>
  <c r="D387" i="2"/>
  <c r="D388" i="2"/>
  <c r="D389" i="2"/>
  <c r="D390" i="2"/>
  <c r="D391" i="2"/>
  <c r="D392" i="2"/>
  <c r="D393" i="2"/>
  <c r="D394" i="2"/>
  <c r="D395" i="2"/>
  <c r="D396" i="2"/>
  <c r="D397" i="2"/>
  <c r="D398" i="2"/>
  <c r="D399" i="2"/>
  <c r="D400" i="2"/>
  <c r="D401" i="2"/>
  <c r="D402" i="2"/>
  <c r="D403" i="2"/>
  <c r="D404" i="2"/>
  <c r="D405" i="2"/>
  <c r="D406" i="2"/>
  <c r="D407" i="2"/>
  <c r="D408" i="2"/>
  <c r="D409" i="2"/>
  <c r="D410" i="2"/>
  <c r="D411" i="2"/>
  <c r="D412" i="2"/>
  <c r="D413" i="2"/>
  <c r="D414" i="2"/>
  <c r="D415" i="2"/>
  <c r="D416" i="2"/>
  <c r="D417" i="2"/>
  <c r="D418" i="2"/>
  <c r="D419" i="2"/>
  <c r="D420" i="2"/>
  <c r="D421" i="2"/>
  <c r="D422" i="2"/>
  <c r="D423" i="2"/>
  <c r="D424" i="2"/>
  <c r="D425" i="2"/>
  <c r="D426" i="2"/>
  <c r="D427" i="2"/>
  <c r="D428" i="2"/>
  <c r="D429" i="2"/>
  <c r="D430" i="2"/>
  <c r="D431" i="2"/>
  <c r="D432" i="2"/>
  <c r="D433" i="2"/>
  <c r="D434" i="2"/>
  <c r="D435" i="2"/>
  <c r="D436" i="2"/>
  <c r="D437" i="2"/>
  <c r="D438" i="2"/>
  <c r="D439" i="2"/>
  <c r="D440" i="2"/>
  <c r="D441" i="2"/>
  <c r="D442" i="2"/>
  <c r="D443" i="2"/>
  <c r="D444" i="2"/>
  <c r="D445" i="2"/>
  <c r="D446" i="2"/>
  <c r="D447" i="2"/>
  <c r="D448" i="2"/>
  <c r="D449" i="2"/>
  <c r="D450" i="2"/>
  <c r="D451" i="2"/>
  <c r="D452" i="2"/>
  <c r="D453" i="2"/>
  <c r="D454" i="2"/>
  <c r="D455" i="2"/>
  <c r="D456" i="2"/>
  <c r="D457" i="2"/>
  <c r="D458" i="2"/>
  <c r="D459" i="2"/>
  <c r="D460" i="2"/>
  <c r="D461" i="2"/>
  <c r="D462" i="2"/>
  <c r="D463" i="2"/>
  <c r="D464" i="2"/>
  <c r="D465" i="2"/>
  <c r="D466" i="2"/>
  <c r="D467" i="2"/>
  <c r="D468" i="2"/>
  <c r="D469" i="2"/>
  <c r="D470" i="2"/>
  <c r="D471" i="2"/>
  <c r="D472" i="2"/>
  <c r="D473" i="2"/>
  <c r="D474" i="2"/>
  <c r="D475" i="2"/>
  <c r="D476" i="2"/>
  <c r="D477" i="2"/>
  <c r="D478" i="2"/>
  <c r="D479" i="2"/>
  <c r="D480" i="2"/>
  <c r="D481" i="2"/>
  <c r="D482" i="2"/>
  <c r="D483" i="2"/>
  <c r="D484" i="2"/>
  <c r="D485" i="2"/>
  <c r="D486" i="2"/>
  <c r="D487" i="2"/>
  <c r="D488" i="2"/>
  <c r="D489" i="2"/>
  <c r="D490" i="2"/>
  <c r="D491" i="2"/>
  <c r="D492" i="2"/>
  <c r="D493" i="2"/>
  <c r="D494" i="2"/>
  <c r="D495" i="2"/>
  <c r="D496" i="2"/>
  <c r="D497" i="2"/>
  <c r="D498" i="2"/>
  <c r="D499" i="2"/>
  <c r="D500" i="2"/>
  <c r="D501" i="2"/>
  <c r="D2" i="2"/>
  <c r="D2" i="1"/>
  <c r="C3" i="1"/>
  <c r="C4" i="1"/>
  <c r="C5" i="1"/>
  <c r="C6" i="1"/>
  <c r="C7" i="1"/>
  <c r="C8" i="1"/>
  <c r="C9" i="1"/>
  <c r="C10" i="1"/>
  <c r="C11" i="1"/>
  <c r="C12" i="1"/>
  <c r="C13" i="1"/>
  <c r="C14" i="1"/>
  <c r="C15" i="1"/>
  <c r="C16" i="1"/>
  <c r="C17" i="1"/>
  <c r="C18" i="1"/>
  <c r="C19" i="1"/>
  <c r="C20" i="1"/>
  <c r="C21" i="1"/>
  <c r="C22" i="1"/>
  <c r="C23" i="1"/>
  <c r="C24" i="1"/>
  <c r="C25" i="1"/>
  <c r="C26" i="1"/>
  <c r="C27" i="1"/>
  <c r="C28" i="1"/>
  <c r="C29" i="1"/>
  <c r="C30" i="1"/>
  <c r="C31" i="1"/>
  <c r="C32" i="1"/>
  <c r="C33" i="1"/>
  <c r="C34" i="1"/>
  <c r="C35" i="1"/>
  <c r="C36" i="1"/>
  <c r="C37" i="1"/>
  <c r="C38" i="1"/>
  <c r="C39" i="1"/>
  <c r="C40" i="1"/>
  <c r="C41" i="1"/>
  <c r="C42" i="1"/>
  <c r="C43" i="1"/>
  <c r="C44" i="1"/>
  <c r="C45" i="1"/>
  <c r="C46" i="1"/>
  <c r="C47" i="1"/>
  <c r="C48" i="1"/>
  <c r="C49" i="1"/>
  <c r="C50" i="1"/>
  <c r="C51" i="1"/>
  <c r="C52" i="1"/>
  <c r="C53" i="1"/>
  <c r="C54" i="1"/>
  <c r="C55" i="1"/>
  <c r="C56" i="1"/>
  <c r="C57" i="1"/>
  <c r="C58" i="1"/>
  <c r="C59" i="1"/>
  <c r="C60" i="1"/>
  <c r="C61" i="1"/>
  <c r="C62" i="1"/>
  <c r="C63" i="1"/>
  <c r="C64" i="1"/>
  <c r="C65" i="1"/>
  <c r="C66" i="1"/>
  <c r="C67" i="1"/>
  <c r="C68" i="1"/>
  <c r="C69" i="1"/>
  <c r="C70" i="1"/>
  <c r="C71" i="1"/>
  <c r="C72" i="1"/>
  <c r="C73" i="1"/>
  <c r="C74" i="1"/>
  <c r="C75" i="1"/>
  <c r="C76" i="1"/>
  <c r="C77" i="1"/>
  <c r="C78" i="1"/>
  <c r="C79" i="1"/>
  <c r="C80" i="1"/>
  <c r="C81" i="1"/>
  <c r="C82" i="1"/>
  <c r="C83" i="1"/>
  <c r="C84" i="1"/>
  <c r="C85" i="1"/>
  <c r="C86" i="1"/>
  <c r="C87" i="1"/>
  <c r="C88" i="1"/>
  <c r="C89" i="1"/>
  <c r="C90" i="1"/>
  <c r="C91" i="1"/>
  <c r="C92" i="1"/>
  <c r="C93" i="1"/>
  <c r="C94" i="1"/>
  <c r="C95" i="1"/>
  <c r="C96" i="1"/>
  <c r="C97" i="1"/>
  <c r="C98" i="1"/>
  <c r="C99" i="1"/>
  <c r="C100" i="1"/>
  <c r="C101" i="1"/>
  <c r="C102" i="1"/>
  <c r="C103" i="1"/>
  <c r="C104" i="1"/>
  <c r="C105" i="1"/>
  <c r="C106" i="1"/>
  <c r="C107" i="1"/>
  <c r="C108" i="1"/>
  <c r="C109" i="1"/>
  <c r="C110" i="1"/>
  <c r="C111" i="1"/>
  <c r="C112" i="1"/>
  <c r="C113" i="1"/>
  <c r="C114" i="1"/>
  <c r="C115" i="1"/>
  <c r="C116" i="1"/>
  <c r="C117" i="1"/>
  <c r="C118" i="1"/>
  <c r="C119" i="1"/>
  <c r="C120" i="1"/>
  <c r="C121" i="1"/>
  <c r="C122" i="1"/>
  <c r="C123" i="1"/>
  <c r="C124" i="1"/>
  <c r="C125" i="1"/>
  <c r="C126" i="1"/>
  <c r="C127" i="1"/>
  <c r="C128" i="1"/>
  <c r="C129" i="1"/>
  <c r="C130" i="1"/>
  <c r="C131" i="1"/>
  <c r="C132" i="1"/>
  <c r="C133" i="1"/>
  <c r="C134" i="1"/>
  <c r="C135" i="1"/>
  <c r="C136" i="1"/>
  <c r="C137" i="1"/>
  <c r="C138" i="1"/>
  <c r="C139" i="1"/>
  <c r="C140" i="1"/>
  <c r="C141" i="1"/>
  <c r="C142" i="1"/>
  <c r="C143" i="1"/>
  <c r="C144" i="1"/>
  <c r="C145" i="1"/>
  <c r="C146" i="1"/>
  <c r="C147" i="1"/>
  <c r="C148" i="1"/>
  <c r="C149" i="1"/>
  <c r="C150" i="1"/>
  <c r="C151" i="1"/>
  <c r="C152" i="1"/>
  <c r="C153" i="1"/>
  <c r="C154" i="1"/>
  <c r="C155" i="1"/>
  <c r="C156" i="1"/>
  <c r="C157" i="1"/>
  <c r="C158" i="1"/>
  <c r="C159" i="1"/>
  <c r="C160" i="1"/>
  <c r="C161" i="1"/>
  <c r="C162" i="1"/>
  <c r="C163" i="1"/>
  <c r="C164" i="1"/>
  <c r="C165" i="1"/>
  <c r="C166" i="1"/>
  <c r="C167" i="1"/>
  <c r="C168" i="1"/>
  <c r="C169" i="1"/>
  <c r="C170" i="1"/>
  <c r="C171" i="1"/>
  <c r="C172" i="1"/>
  <c r="C173" i="1"/>
  <c r="C174" i="1"/>
  <c r="C175" i="1"/>
  <c r="C176" i="1"/>
  <c r="C177" i="1"/>
  <c r="C178" i="1"/>
  <c r="C179" i="1"/>
  <c r="C180" i="1"/>
  <c r="C181" i="1"/>
  <c r="C182" i="1"/>
  <c r="C183" i="1"/>
  <c r="C184" i="1"/>
  <c r="C185" i="1"/>
  <c r="C186" i="1"/>
  <c r="C187" i="1"/>
  <c r="C188" i="1"/>
  <c r="C189" i="1"/>
  <c r="C190" i="1"/>
  <c r="C191" i="1"/>
  <c r="C192" i="1"/>
  <c r="C193" i="1"/>
  <c r="C194" i="1"/>
  <c r="C195" i="1"/>
  <c r="C196" i="1"/>
  <c r="C197" i="1"/>
  <c r="C198" i="1"/>
  <c r="C199" i="1"/>
  <c r="C200" i="1"/>
  <c r="C201" i="1"/>
  <c r="C202" i="1"/>
  <c r="C203" i="1"/>
  <c r="C204" i="1"/>
  <c r="C205" i="1"/>
  <c r="C206" i="1"/>
  <c r="C207" i="1"/>
  <c r="C208" i="1"/>
  <c r="C209" i="1"/>
  <c r="C210" i="1"/>
  <c r="C211" i="1"/>
  <c r="C212" i="1"/>
  <c r="C213" i="1"/>
  <c r="C214" i="1"/>
  <c r="C215" i="1"/>
  <c r="C216" i="1"/>
  <c r="C217" i="1"/>
  <c r="C218" i="1"/>
  <c r="C219" i="1"/>
  <c r="C220" i="1"/>
  <c r="C221" i="1"/>
  <c r="C222" i="1"/>
  <c r="C223" i="1"/>
  <c r="C224" i="1"/>
  <c r="C225" i="1"/>
  <c r="C226" i="1"/>
  <c r="C227" i="1"/>
  <c r="C228" i="1"/>
  <c r="C229" i="1"/>
  <c r="C230" i="1"/>
  <c r="C231" i="1"/>
  <c r="C232" i="1"/>
  <c r="C233" i="1"/>
  <c r="C234" i="1"/>
  <c r="C235" i="1"/>
  <c r="C236" i="1"/>
  <c r="C237" i="1"/>
  <c r="C238" i="1"/>
  <c r="C239" i="1"/>
  <c r="C240" i="1"/>
  <c r="C241" i="1"/>
  <c r="C242" i="1"/>
  <c r="C243" i="1"/>
  <c r="C244" i="1"/>
  <c r="C245" i="1"/>
  <c r="C246" i="1"/>
  <c r="C247" i="1"/>
  <c r="C248" i="1"/>
  <c r="C249" i="1"/>
  <c r="C250" i="1"/>
  <c r="C251" i="1"/>
  <c r="C252" i="1"/>
  <c r="C253" i="1"/>
  <c r="C254" i="1"/>
  <c r="C255" i="1"/>
  <c r="C256" i="1"/>
  <c r="C257" i="1"/>
  <c r="C258" i="1"/>
  <c r="C259" i="1"/>
  <c r="C260" i="1"/>
  <c r="C261" i="1"/>
  <c r="C262" i="1"/>
  <c r="C263" i="1"/>
  <c r="C264" i="1"/>
  <c r="C265" i="1"/>
  <c r="C266" i="1"/>
  <c r="C267" i="1"/>
  <c r="C268" i="1"/>
  <c r="C269" i="1"/>
  <c r="C270" i="1"/>
  <c r="C271" i="1"/>
  <c r="C272" i="1"/>
  <c r="C273" i="1"/>
  <c r="C274" i="1"/>
  <c r="C275" i="1"/>
  <c r="C276" i="1"/>
  <c r="C277" i="1"/>
  <c r="C278" i="1"/>
  <c r="C279" i="1"/>
  <c r="C280" i="1"/>
  <c r="C281" i="1"/>
  <c r="C282" i="1"/>
  <c r="C283" i="1"/>
  <c r="C284" i="1"/>
  <c r="C285" i="1"/>
  <c r="C286" i="1"/>
  <c r="C287" i="1"/>
  <c r="C288" i="1"/>
  <c r="C289" i="1"/>
  <c r="C290" i="1"/>
  <c r="C291" i="1"/>
  <c r="C292" i="1"/>
  <c r="C293" i="1"/>
  <c r="C294" i="1"/>
  <c r="C295" i="1"/>
  <c r="C296" i="1"/>
  <c r="C297" i="1"/>
  <c r="C298" i="1"/>
  <c r="C299" i="1"/>
  <c r="C300" i="1"/>
  <c r="C301" i="1"/>
  <c r="C302" i="1"/>
  <c r="C303" i="1"/>
  <c r="C304" i="1"/>
  <c r="C305" i="1"/>
  <c r="C306" i="1"/>
  <c r="C307" i="1"/>
  <c r="C308" i="1"/>
  <c r="C309" i="1"/>
  <c r="C310" i="1"/>
  <c r="C311" i="1"/>
  <c r="C312" i="1"/>
  <c r="C313" i="1"/>
  <c r="C314" i="1"/>
  <c r="C315" i="1"/>
  <c r="C316" i="1"/>
  <c r="C317" i="1"/>
  <c r="C318" i="1"/>
  <c r="C319" i="1"/>
  <c r="C320" i="1"/>
  <c r="C321" i="1"/>
  <c r="C322" i="1"/>
  <c r="C323" i="1"/>
  <c r="C324" i="1"/>
  <c r="C325" i="1"/>
  <c r="C326" i="1"/>
  <c r="C327" i="1"/>
  <c r="C328" i="1"/>
  <c r="C329" i="1"/>
  <c r="C330" i="1"/>
  <c r="C331" i="1"/>
  <c r="C332" i="1"/>
  <c r="C333" i="1"/>
  <c r="C334" i="1"/>
  <c r="C335" i="1"/>
  <c r="C336" i="1"/>
  <c r="C337" i="1"/>
  <c r="C338" i="1"/>
  <c r="C339" i="1"/>
  <c r="C340" i="1"/>
  <c r="C341" i="1"/>
  <c r="C342" i="1"/>
  <c r="C343" i="1"/>
  <c r="C344" i="1"/>
  <c r="C345" i="1"/>
  <c r="C346" i="1"/>
  <c r="C347" i="1"/>
  <c r="C348" i="1"/>
  <c r="C349" i="1"/>
  <c r="C350" i="1"/>
  <c r="C351" i="1"/>
  <c r="C352" i="1"/>
  <c r="C353" i="1"/>
  <c r="C354" i="1"/>
  <c r="C355" i="1"/>
  <c r="C356" i="1"/>
  <c r="C357" i="1"/>
  <c r="C358" i="1"/>
  <c r="C359" i="1"/>
  <c r="C360" i="1"/>
  <c r="C361" i="1"/>
  <c r="C362" i="1"/>
  <c r="C363" i="1"/>
  <c r="C364" i="1"/>
  <c r="C365" i="1"/>
  <c r="C366" i="1"/>
  <c r="C367" i="1"/>
  <c r="C368" i="1"/>
  <c r="C369" i="1"/>
  <c r="C370" i="1"/>
  <c r="C371" i="1"/>
  <c r="C372" i="1"/>
  <c r="C373" i="1"/>
  <c r="C374" i="1"/>
  <c r="C375" i="1"/>
  <c r="C376" i="1"/>
  <c r="C377" i="1"/>
  <c r="C378" i="1"/>
  <c r="C379" i="1"/>
  <c r="C380" i="1"/>
  <c r="C381" i="1"/>
  <c r="C382" i="1"/>
  <c r="C383" i="1"/>
  <c r="C384" i="1"/>
  <c r="C385" i="1"/>
  <c r="C386" i="1"/>
  <c r="C387" i="1"/>
  <c r="C388" i="1"/>
  <c r="C389" i="1"/>
  <c r="C390" i="1"/>
  <c r="C391" i="1"/>
  <c r="C392" i="1"/>
  <c r="C393" i="1"/>
  <c r="C394" i="1"/>
  <c r="C395" i="1"/>
  <c r="C396" i="1"/>
  <c r="C397" i="1"/>
  <c r="C398" i="1"/>
  <c r="C399" i="1"/>
  <c r="C400" i="1"/>
  <c r="C401" i="1"/>
  <c r="C402" i="1"/>
  <c r="C403" i="1"/>
  <c r="C404" i="1"/>
  <c r="C405" i="1"/>
  <c r="C406" i="1"/>
  <c r="C407" i="1"/>
  <c r="C408" i="1"/>
  <c r="C409" i="1"/>
  <c r="C410" i="1"/>
  <c r="C411" i="1"/>
  <c r="C412" i="1"/>
  <c r="C413" i="1"/>
  <c r="C414" i="1"/>
  <c r="C415" i="1"/>
  <c r="C416" i="1"/>
  <c r="C417" i="1"/>
  <c r="C418" i="1"/>
  <c r="C419" i="1"/>
  <c r="C420" i="1"/>
  <c r="C421" i="1"/>
  <c r="C422" i="1"/>
  <c r="C423" i="1"/>
  <c r="C424" i="1"/>
  <c r="C425" i="1"/>
  <c r="C426" i="1"/>
  <c r="C427" i="1"/>
  <c r="C428" i="1"/>
  <c r="C429" i="1"/>
  <c r="C430" i="1"/>
  <c r="C431" i="1"/>
  <c r="C432" i="1"/>
  <c r="C433" i="1"/>
  <c r="C434" i="1"/>
  <c r="C435" i="1"/>
  <c r="C436" i="1"/>
  <c r="C437" i="1"/>
  <c r="C438" i="1"/>
  <c r="C439" i="1"/>
  <c r="C440" i="1"/>
  <c r="C441" i="1"/>
  <c r="C442" i="1"/>
  <c r="C443" i="1"/>
  <c r="C444" i="1"/>
  <c r="C445" i="1"/>
  <c r="C446" i="1"/>
  <c r="C447" i="1"/>
  <c r="C448" i="1"/>
  <c r="C449" i="1"/>
  <c r="C450" i="1"/>
  <c r="C451" i="1"/>
  <c r="C452" i="1"/>
  <c r="C453" i="1"/>
  <c r="C454" i="1"/>
  <c r="C455" i="1"/>
  <c r="C456" i="1"/>
  <c r="C457" i="1"/>
  <c r="C458" i="1"/>
  <c r="C459" i="1"/>
  <c r="C460" i="1"/>
  <c r="C461" i="1"/>
  <c r="C462" i="1"/>
  <c r="C463" i="1"/>
  <c r="C464" i="1"/>
  <c r="C465" i="1"/>
  <c r="C466" i="1"/>
  <c r="C467" i="1"/>
  <c r="C468" i="1"/>
  <c r="C469" i="1"/>
  <c r="C470" i="1"/>
  <c r="C471" i="1"/>
  <c r="C472" i="1"/>
  <c r="C473" i="1"/>
  <c r="C474" i="1"/>
  <c r="C475" i="1"/>
  <c r="C476" i="1"/>
  <c r="C477" i="1"/>
  <c r="C478" i="1"/>
  <c r="C479" i="1"/>
  <c r="C480" i="1"/>
  <c r="C481" i="1"/>
  <c r="C482" i="1"/>
  <c r="C483" i="1"/>
  <c r="C484" i="1"/>
  <c r="C485" i="1"/>
  <c r="C486" i="1"/>
  <c r="C487" i="1"/>
  <c r="C488" i="1"/>
  <c r="C489" i="1"/>
  <c r="C490" i="1"/>
  <c r="C491" i="1"/>
  <c r="C492" i="1"/>
  <c r="C493" i="1"/>
  <c r="C494" i="1"/>
  <c r="C495" i="1"/>
  <c r="C496" i="1"/>
  <c r="C497" i="1"/>
  <c r="C498" i="1"/>
  <c r="C499" i="1"/>
  <c r="C500" i="1"/>
  <c r="C501" i="1"/>
  <c r="C2" i="1"/>
  <c r="D3" i="1"/>
  <c r="D4" i="1"/>
  <c r="D5" i="1"/>
  <c r="D6" i="1"/>
  <c r="D7" i="1"/>
  <c r="D8" i="1"/>
  <c r="D9" i="1"/>
  <c r="D10" i="1"/>
  <c r="D11" i="1"/>
  <c r="D12" i="1"/>
  <c r="D13" i="1"/>
  <c r="D14" i="1"/>
  <c r="D15" i="1"/>
  <c r="D16" i="1"/>
  <c r="D17" i="1"/>
  <c r="D18" i="1"/>
  <c r="D19" i="1"/>
  <c r="D20" i="1"/>
  <c r="D21" i="1"/>
  <c r="D22" i="1"/>
  <c r="D23" i="1"/>
  <c r="D24" i="1"/>
  <c r="D25" i="1"/>
  <c r="D26" i="1"/>
  <c r="D27" i="1"/>
  <c r="D28" i="1"/>
  <c r="D29" i="1"/>
  <c r="D30" i="1"/>
  <c r="D31" i="1"/>
  <c r="D32" i="1"/>
  <c r="D33" i="1"/>
  <c r="D34" i="1"/>
  <c r="D35" i="1"/>
  <c r="D36" i="1"/>
  <c r="D37" i="1"/>
  <c r="D38" i="1"/>
  <c r="D39" i="1"/>
  <c r="D40" i="1"/>
  <c r="D41" i="1"/>
  <c r="D42" i="1"/>
  <c r="D43" i="1"/>
  <c r="D44" i="1"/>
  <c r="D45" i="1"/>
  <c r="D46" i="1"/>
  <c r="D47" i="1"/>
  <c r="D48" i="1"/>
  <c r="D49" i="1"/>
  <c r="D50" i="1"/>
  <c r="D51" i="1"/>
  <c r="D52" i="1"/>
  <c r="D53" i="1"/>
  <c r="D54" i="1"/>
  <c r="D55" i="1"/>
  <c r="D56" i="1"/>
  <c r="D57" i="1"/>
  <c r="D58" i="1"/>
  <c r="D59" i="1"/>
  <c r="D60" i="1"/>
  <c r="D61" i="1"/>
  <c r="D62" i="1"/>
  <c r="D63" i="1"/>
  <c r="D64" i="1"/>
  <c r="D65" i="1"/>
  <c r="D66" i="1"/>
  <c r="D67" i="1"/>
  <c r="D68" i="1"/>
  <c r="D69" i="1"/>
  <c r="D70" i="1"/>
  <c r="D71" i="1"/>
  <c r="D72" i="1"/>
  <c r="D73" i="1"/>
  <c r="D74" i="1"/>
  <c r="D75" i="1"/>
  <c r="D76" i="1"/>
  <c r="D77" i="1"/>
  <c r="D78" i="1"/>
  <c r="D79" i="1"/>
  <c r="D80" i="1"/>
  <c r="D81" i="1"/>
  <c r="D82" i="1"/>
  <c r="D83" i="1"/>
  <c r="D84" i="1"/>
  <c r="D85" i="1"/>
  <c r="D86" i="1"/>
  <c r="D87" i="1"/>
  <c r="D88" i="1"/>
  <c r="D89" i="1"/>
  <c r="D90" i="1"/>
  <c r="D91" i="1"/>
  <c r="D92" i="1"/>
  <c r="D93" i="1"/>
  <c r="D94" i="1"/>
  <c r="D95" i="1"/>
  <c r="D96" i="1"/>
  <c r="D97" i="1"/>
  <c r="D98" i="1"/>
  <c r="D99" i="1"/>
  <c r="D100" i="1"/>
  <c r="D101" i="1"/>
  <c r="D102" i="1"/>
  <c r="D103" i="1"/>
  <c r="D104" i="1"/>
  <c r="D105" i="1"/>
  <c r="D106" i="1"/>
  <c r="D107" i="1"/>
  <c r="D108" i="1"/>
  <c r="D109" i="1"/>
  <c r="D110" i="1"/>
  <c r="D111" i="1"/>
  <c r="D112" i="1"/>
  <c r="D113" i="1"/>
  <c r="D114" i="1"/>
  <c r="D115" i="1"/>
  <c r="D116" i="1"/>
  <c r="D117" i="1"/>
  <c r="D118" i="1"/>
  <c r="D119" i="1"/>
  <c r="D120" i="1"/>
  <c r="D121" i="1"/>
  <c r="D122" i="1"/>
  <c r="D123" i="1"/>
  <c r="D124" i="1"/>
  <c r="D125" i="1"/>
  <c r="D126" i="1"/>
  <c r="D127" i="1"/>
  <c r="D128" i="1"/>
  <c r="D129" i="1"/>
  <c r="D130" i="1"/>
  <c r="D131" i="1"/>
  <c r="D132" i="1"/>
  <c r="D133" i="1"/>
  <c r="D134" i="1"/>
  <c r="D135" i="1"/>
  <c r="D136" i="1"/>
  <c r="D137" i="1"/>
  <c r="D138" i="1"/>
  <c r="D139" i="1"/>
  <c r="D140" i="1"/>
  <c r="D141" i="1"/>
  <c r="D142" i="1"/>
  <c r="D143" i="1"/>
  <c r="D144" i="1"/>
  <c r="D145" i="1"/>
  <c r="D146" i="1"/>
  <c r="D147" i="1"/>
  <c r="D148" i="1"/>
  <c r="D149" i="1"/>
  <c r="D150" i="1"/>
  <c r="D151" i="1"/>
  <c r="D152" i="1"/>
  <c r="D153" i="1"/>
  <c r="D154" i="1"/>
  <c r="D155" i="1"/>
  <c r="D156" i="1"/>
  <c r="D157" i="1"/>
  <c r="D158" i="1"/>
  <c r="D159" i="1"/>
  <c r="D160" i="1"/>
  <c r="D161" i="1"/>
  <c r="D162" i="1"/>
  <c r="D163" i="1"/>
  <c r="D164" i="1"/>
  <c r="D165" i="1"/>
  <c r="D166" i="1"/>
  <c r="D167" i="1"/>
  <c r="D168" i="1"/>
  <c r="D169" i="1"/>
  <c r="D170" i="1"/>
  <c r="D171" i="1"/>
  <c r="D172" i="1"/>
  <c r="D173" i="1"/>
  <c r="D174" i="1"/>
  <c r="D175" i="1"/>
  <c r="D176" i="1"/>
  <c r="D177" i="1"/>
  <c r="D178" i="1"/>
  <c r="D179" i="1"/>
  <c r="D180" i="1"/>
  <c r="D181" i="1"/>
  <c r="D182" i="1"/>
  <c r="D183" i="1"/>
  <c r="D184" i="1"/>
  <c r="D185" i="1"/>
  <c r="D186" i="1"/>
  <c r="D187" i="1"/>
  <c r="D188" i="1"/>
  <c r="D189" i="1"/>
  <c r="D190" i="1"/>
  <c r="D191" i="1"/>
  <c r="D192" i="1"/>
  <c r="D193" i="1"/>
  <c r="D194" i="1"/>
  <c r="D195" i="1"/>
  <c r="D196" i="1"/>
  <c r="D197" i="1"/>
  <c r="D198" i="1"/>
  <c r="D199" i="1"/>
  <c r="D200" i="1"/>
  <c r="D201" i="1"/>
  <c r="D202" i="1"/>
  <c r="D203" i="1"/>
  <c r="D204" i="1"/>
  <c r="D205" i="1"/>
  <c r="D206" i="1"/>
  <c r="D207" i="1"/>
  <c r="D208" i="1"/>
  <c r="D209" i="1"/>
  <c r="D210" i="1"/>
  <c r="D211" i="1"/>
  <c r="D212" i="1"/>
  <c r="D213" i="1"/>
  <c r="D214" i="1"/>
  <c r="D215" i="1"/>
  <c r="D216" i="1"/>
  <c r="D217" i="1"/>
  <c r="D218" i="1"/>
  <c r="D219" i="1"/>
  <c r="D220" i="1"/>
  <c r="D221" i="1"/>
  <c r="D222" i="1"/>
  <c r="D223" i="1"/>
  <c r="D224" i="1"/>
  <c r="D225" i="1"/>
  <c r="D226" i="1"/>
  <c r="D227" i="1"/>
  <c r="D228" i="1"/>
  <c r="D229" i="1"/>
  <c r="D230" i="1"/>
  <c r="D231" i="1"/>
  <c r="D232" i="1"/>
  <c r="D233" i="1"/>
  <c r="D234" i="1"/>
  <c r="D235" i="1"/>
  <c r="D236" i="1"/>
  <c r="D237" i="1"/>
  <c r="D238" i="1"/>
  <c r="D239" i="1"/>
  <c r="D240" i="1"/>
  <c r="D241" i="1"/>
  <c r="D242" i="1"/>
  <c r="D243" i="1"/>
  <c r="D244" i="1"/>
  <c r="D245" i="1"/>
  <c r="D246" i="1"/>
  <c r="D247" i="1"/>
  <c r="D248" i="1"/>
  <c r="D249" i="1"/>
  <c r="D250" i="1"/>
  <c r="D251" i="1"/>
  <c r="D252" i="1"/>
  <c r="D253" i="1"/>
  <c r="D254" i="1"/>
  <c r="D255" i="1"/>
  <c r="D256" i="1"/>
  <c r="D257" i="1"/>
  <c r="D258" i="1"/>
  <c r="D259" i="1"/>
  <c r="D260" i="1"/>
  <c r="D261" i="1"/>
  <c r="D262" i="1"/>
  <c r="D263" i="1"/>
  <c r="D264" i="1"/>
  <c r="D265" i="1"/>
  <c r="D266" i="1"/>
  <c r="D267" i="1"/>
  <c r="D268" i="1"/>
  <c r="D269" i="1"/>
  <c r="D270" i="1"/>
  <c r="D271" i="1"/>
  <c r="D272" i="1"/>
  <c r="D273" i="1"/>
  <c r="D274" i="1"/>
  <c r="D275" i="1"/>
  <c r="D276" i="1"/>
  <c r="D277" i="1"/>
  <c r="D278" i="1"/>
  <c r="D279" i="1"/>
  <c r="D280" i="1"/>
  <c r="D281" i="1"/>
  <c r="D282" i="1"/>
  <c r="D283" i="1"/>
  <c r="D284" i="1"/>
  <c r="D285" i="1"/>
  <c r="D286" i="1"/>
  <c r="D287" i="1"/>
  <c r="D288" i="1"/>
  <c r="D289" i="1"/>
  <c r="D290" i="1"/>
  <c r="D291" i="1"/>
  <c r="D292" i="1"/>
  <c r="D293" i="1"/>
  <c r="D294" i="1"/>
  <c r="D295" i="1"/>
  <c r="D296" i="1"/>
  <c r="D297" i="1"/>
  <c r="D298" i="1"/>
  <c r="D299" i="1"/>
  <c r="D300" i="1"/>
  <c r="D301" i="1"/>
  <c r="D302" i="1"/>
  <c r="D303" i="1"/>
  <c r="D304" i="1"/>
  <c r="D305" i="1"/>
  <c r="D306" i="1"/>
  <c r="D307" i="1"/>
  <c r="D308" i="1"/>
  <c r="D309" i="1"/>
  <c r="D310" i="1"/>
  <c r="D311" i="1"/>
  <c r="D312" i="1"/>
  <c r="D313" i="1"/>
  <c r="D314" i="1"/>
  <c r="D315" i="1"/>
  <c r="D316" i="1"/>
  <c r="D317" i="1"/>
  <c r="D318" i="1"/>
  <c r="D319" i="1"/>
  <c r="D320" i="1"/>
  <c r="D321" i="1"/>
  <c r="D322" i="1"/>
  <c r="D323" i="1"/>
  <c r="D324" i="1"/>
  <c r="D325" i="1"/>
  <c r="D326" i="1"/>
  <c r="D327" i="1"/>
  <c r="D328" i="1"/>
  <c r="D329" i="1"/>
  <c r="D330" i="1"/>
  <c r="D331" i="1"/>
  <c r="D332" i="1"/>
  <c r="D333" i="1"/>
  <c r="D334" i="1"/>
  <c r="D335" i="1"/>
  <c r="D336" i="1"/>
  <c r="D337" i="1"/>
  <c r="D338" i="1"/>
  <c r="D339" i="1"/>
  <c r="D340" i="1"/>
  <c r="D341" i="1"/>
  <c r="D342" i="1"/>
  <c r="D343" i="1"/>
  <c r="D344" i="1"/>
  <c r="D345" i="1"/>
  <c r="D346" i="1"/>
  <c r="D347" i="1"/>
  <c r="D348" i="1"/>
  <c r="D349" i="1"/>
  <c r="D350" i="1"/>
  <c r="D351" i="1"/>
  <c r="D352" i="1"/>
  <c r="D353" i="1"/>
  <c r="D354" i="1"/>
  <c r="D355" i="1"/>
  <c r="D356" i="1"/>
  <c r="D357" i="1"/>
  <c r="D358" i="1"/>
  <c r="D359" i="1"/>
  <c r="D360" i="1"/>
  <c r="D361" i="1"/>
  <c r="D362" i="1"/>
  <c r="D363" i="1"/>
  <c r="D364" i="1"/>
  <c r="D365" i="1"/>
  <c r="D366" i="1"/>
  <c r="D367" i="1"/>
  <c r="D368" i="1"/>
  <c r="D369" i="1"/>
  <c r="D370" i="1"/>
  <c r="D371" i="1"/>
  <c r="D372" i="1"/>
  <c r="D373" i="1"/>
  <c r="D374" i="1"/>
  <c r="D375" i="1"/>
  <c r="D376" i="1"/>
  <c r="D377" i="1"/>
  <c r="D378" i="1"/>
  <c r="D379" i="1"/>
  <c r="D380" i="1"/>
  <c r="D381" i="1"/>
  <c r="D382" i="1"/>
  <c r="D383" i="1"/>
  <c r="D384" i="1"/>
  <c r="D385" i="1"/>
  <c r="D386" i="1"/>
  <c r="D387" i="1"/>
  <c r="D388" i="1"/>
  <c r="D389" i="1"/>
  <c r="D390" i="1"/>
  <c r="D391" i="1"/>
  <c r="D392" i="1"/>
  <c r="D393" i="1"/>
  <c r="D394" i="1"/>
  <c r="D395" i="1"/>
  <c r="D396" i="1"/>
  <c r="D397" i="1"/>
  <c r="D398" i="1"/>
  <c r="D399" i="1"/>
  <c r="D400" i="1"/>
  <c r="D401" i="1"/>
  <c r="D402" i="1"/>
  <c r="D403" i="1"/>
  <c r="D404" i="1"/>
  <c r="D405" i="1"/>
  <c r="D406" i="1"/>
  <c r="D407" i="1"/>
  <c r="D408" i="1"/>
  <c r="D409" i="1"/>
  <c r="D410" i="1"/>
  <c r="D411" i="1"/>
  <c r="D412" i="1"/>
  <c r="D413" i="1"/>
  <c r="D414" i="1"/>
  <c r="D415" i="1"/>
  <c r="D416" i="1"/>
  <c r="D417" i="1"/>
  <c r="D418" i="1"/>
  <c r="D419" i="1"/>
  <c r="D420" i="1"/>
  <c r="D421" i="1"/>
  <c r="D422" i="1"/>
  <c r="D423" i="1"/>
  <c r="D424" i="1"/>
  <c r="D425" i="1"/>
  <c r="D426" i="1"/>
  <c r="D427" i="1"/>
  <c r="D428" i="1"/>
  <c r="D429" i="1"/>
  <c r="D430" i="1"/>
  <c r="D431" i="1"/>
  <c r="D432" i="1"/>
  <c r="D433" i="1"/>
  <c r="D434" i="1"/>
  <c r="D435" i="1"/>
  <c r="D436" i="1"/>
  <c r="D437" i="1"/>
  <c r="D438" i="1"/>
  <c r="D439" i="1"/>
  <c r="D440" i="1"/>
  <c r="D441" i="1"/>
  <c r="D442" i="1"/>
  <c r="D443" i="1"/>
  <c r="D444" i="1"/>
  <c r="D445" i="1"/>
  <c r="D446" i="1"/>
  <c r="D447" i="1"/>
  <c r="D448" i="1"/>
  <c r="D449" i="1"/>
  <c r="D450" i="1"/>
  <c r="D451" i="1"/>
  <c r="D452" i="1"/>
  <c r="D453" i="1"/>
  <c r="D454" i="1"/>
  <c r="D455" i="1"/>
  <c r="D456" i="1"/>
  <c r="D457" i="1"/>
  <c r="D458" i="1"/>
  <c r="D459" i="1"/>
  <c r="D460" i="1"/>
  <c r="D461" i="1"/>
  <c r="D462" i="1"/>
  <c r="D463" i="1"/>
  <c r="D464" i="1"/>
  <c r="D465" i="1"/>
  <c r="D466" i="1"/>
  <c r="D467" i="1"/>
  <c r="D468" i="1"/>
  <c r="D469" i="1"/>
  <c r="D470" i="1"/>
  <c r="D471" i="1"/>
  <c r="D472" i="1"/>
  <c r="D473" i="1"/>
  <c r="D474" i="1"/>
  <c r="D475" i="1"/>
  <c r="D476" i="1"/>
  <c r="D477" i="1"/>
  <c r="D478" i="1"/>
  <c r="D479" i="1"/>
  <c r="D480" i="1"/>
  <c r="D481" i="1"/>
  <c r="D482" i="1"/>
  <c r="D483" i="1"/>
  <c r="D484" i="1"/>
  <c r="D485" i="1"/>
  <c r="D486" i="1"/>
  <c r="D487" i="1"/>
  <c r="D488" i="1"/>
  <c r="D489" i="1"/>
  <c r="D490" i="1"/>
  <c r="D491" i="1"/>
  <c r="D492" i="1"/>
  <c r="D493" i="1"/>
  <c r="D494" i="1"/>
  <c r="D495" i="1"/>
  <c r="D496" i="1"/>
  <c r="D497" i="1"/>
  <c r="D498" i="1"/>
  <c r="D499" i="1"/>
  <c r="D500" i="1"/>
  <c r="D501" i="1"/>
  <c r="M11" i="21"/>
  <c r="M12" i="21"/>
  <c r="M10" i="21"/>
  <c r="I13" i="21"/>
  <c r="B39" i="21"/>
  <c r="F24" i="21"/>
  <c r="F22" i="21"/>
  <c r="F21" i="21"/>
  <c r="F20" i="21"/>
  <c r="F19" i="21"/>
  <c r="F18" i="21"/>
  <c r="Q8" i="17" a="1"/>
  <c r="Q8" i="17" s="1"/>
  <c r="T5" i="17"/>
  <c r="N5" i="17"/>
  <c r="H5" i="17"/>
  <c r="O15" i="10"/>
  <c r="F15" i="10"/>
  <c r="O13" i="10"/>
  <c r="O14" i="10"/>
  <c r="O16" i="10"/>
  <c r="O17" i="10"/>
  <c r="O12" i="10"/>
  <c r="N13" i="10"/>
  <c r="N14" i="10"/>
  <c r="N15" i="10"/>
  <c r="N16" i="10"/>
  <c r="N17" i="10"/>
  <c r="N12" i="10"/>
  <c r="M13" i="10"/>
  <c r="M14" i="10"/>
  <c r="M15" i="10"/>
  <c r="M16" i="10"/>
  <c r="M17" i="10"/>
  <c r="M12" i="10"/>
  <c r="L13" i="10"/>
  <c r="L14" i="10"/>
  <c r="L15" i="10"/>
  <c r="L16" i="10"/>
  <c r="L17" i="10"/>
  <c r="L12" i="10"/>
  <c r="K13" i="10"/>
  <c r="K14" i="10"/>
  <c r="K15" i="10"/>
  <c r="K16" i="10"/>
  <c r="K17" i="10"/>
  <c r="K12" i="10"/>
  <c r="O4" i="10"/>
  <c r="O5" i="10"/>
  <c r="O6" i="10"/>
  <c r="O7" i="10"/>
  <c r="O8" i="10"/>
  <c r="O3" i="10"/>
  <c r="N4" i="10"/>
  <c r="N5" i="10"/>
  <c r="N6" i="10"/>
  <c r="N7" i="10"/>
  <c r="N8" i="10"/>
  <c r="N3" i="10"/>
  <c r="M4" i="10"/>
  <c r="M5" i="10"/>
  <c r="M6" i="10"/>
  <c r="M7" i="10"/>
  <c r="M8" i="10"/>
  <c r="M3" i="10"/>
  <c r="L4" i="10"/>
  <c r="L5" i="10"/>
  <c r="L6" i="10"/>
  <c r="L7" i="10"/>
  <c r="L8" i="10"/>
  <c r="L3" i="10"/>
  <c r="K4" i="10"/>
  <c r="K5" i="10"/>
  <c r="K6" i="10"/>
  <c r="K7" i="10"/>
  <c r="K8" i="10"/>
  <c r="K3" i="10"/>
  <c r="F17" i="10"/>
  <c r="E16" i="10"/>
  <c r="D14" i="10"/>
  <c r="C15" i="10"/>
  <c r="F6" i="10"/>
  <c r="B8" i="10"/>
  <c r="O2" i="2"/>
  <c r="P2" i="2" s="1"/>
  <c r="D3" i="8"/>
  <c r="D4" i="8"/>
  <c r="D5" i="8"/>
  <c r="D6" i="8"/>
  <c r="D7" i="8"/>
  <c r="D8" i="8"/>
  <c r="D9" i="8"/>
  <c r="D10" i="8"/>
  <c r="D11" i="8"/>
  <c r="D12" i="8"/>
  <c r="B3" i="8"/>
  <c r="C3" i="8"/>
  <c r="C4" i="8"/>
  <c r="C5" i="8"/>
  <c r="C6" i="8"/>
  <c r="C7" i="8"/>
  <c r="C8" i="8"/>
  <c r="C9" i="8"/>
  <c r="C10" i="8"/>
  <c r="C11" i="8"/>
  <c r="C12" i="8"/>
  <c r="B4" i="8"/>
  <c r="B5" i="8"/>
  <c r="B6" i="8"/>
  <c r="B7" i="8"/>
  <c r="B8" i="8"/>
  <c r="B9" i="8"/>
  <c r="B10" i="8"/>
  <c r="B11" i="8"/>
  <c r="B12" i="8"/>
  <c r="C11" i="5"/>
  <c r="D11" i="5" s="1"/>
  <c r="C13" i="5"/>
  <c r="D13" i="5" s="1"/>
  <c r="C27" i="5"/>
  <c r="D27" i="5" s="1"/>
  <c r="C29" i="5"/>
  <c r="D29" i="5" s="1"/>
  <c r="C43" i="5"/>
  <c r="D43" i="5" s="1"/>
  <c r="C45" i="5"/>
  <c r="D45" i="5" s="1"/>
  <c r="C59" i="5"/>
  <c r="D59" i="5" s="1"/>
  <c r="C61" i="5"/>
  <c r="D61" i="5" s="1"/>
  <c r="C75" i="5"/>
  <c r="D75" i="5" s="1"/>
  <c r="C77" i="5"/>
  <c r="D77" i="5" s="1"/>
  <c r="C91" i="5"/>
  <c r="D91" i="5" s="1"/>
  <c r="C93" i="5"/>
  <c r="D93" i="5" s="1"/>
  <c r="C107" i="5"/>
  <c r="D107" i="5" s="1"/>
  <c r="C109" i="5"/>
  <c r="D109" i="5" s="1"/>
  <c r="C123" i="5"/>
  <c r="D123" i="5" s="1"/>
  <c r="C125" i="5"/>
  <c r="D125" i="5" s="1"/>
  <c r="C139" i="5"/>
  <c r="D139" i="5" s="1"/>
  <c r="C141" i="5"/>
  <c r="D141" i="5" s="1"/>
  <c r="C155" i="5"/>
  <c r="D155" i="5" s="1"/>
  <c r="C157" i="5"/>
  <c r="D157" i="5" s="1"/>
  <c r="C171" i="5"/>
  <c r="D171" i="5" s="1"/>
  <c r="C173" i="5"/>
  <c r="D173" i="5" s="1"/>
  <c r="C187" i="5"/>
  <c r="D187" i="5" s="1"/>
  <c r="C189" i="5"/>
  <c r="D189" i="5" s="1"/>
  <c r="C203" i="5"/>
  <c r="D203" i="5" s="1"/>
  <c r="C205" i="5"/>
  <c r="D205" i="5" s="1"/>
  <c r="C219" i="5"/>
  <c r="D219" i="5" s="1"/>
  <c r="C221" i="5"/>
  <c r="D221" i="5" s="1"/>
  <c r="C235" i="5"/>
  <c r="D235" i="5" s="1"/>
  <c r="C237" i="5"/>
  <c r="D237" i="5" s="1"/>
  <c r="C251" i="5"/>
  <c r="D251" i="5" s="1"/>
  <c r="C253" i="5"/>
  <c r="D253" i="5" s="1"/>
  <c r="C267" i="5"/>
  <c r="D267" i="5" s="1"/>
  <c r="C269" i="5"/>
  <c r="D269" i="5" s="1"/>
  <c r="C283" i="5"/>
  <c r="D283" i="5" s="1"/>
  <c r="C285" i="5"/>
  <c r="D285" i="5" s="1"/>
  <c r="C299" i="5"/>
  <c r="D299" i="5" s="1"/>
  <c r="C301" i="5"/>
  <c r="D301" i="5" s="1"/>
  <c r="C315" i="5"/>
  <c r="D315" i="5" s="1"/>
  <c r="C317" i="5"/>
  <c r="D317" i="5" s="1"/>
  <c r="C331" i="5"/>
  <c r="D331" i="5" s="1"/>
  <c r="C333" i="5"/>
  <c r="D333" i="5" s="1"/>
  <c r="C347" i="5"/>
  <c r="D347" i="5" s="1"/>
  <c r="C349" i="5"/>
  <c r="D349" i="5" s="1"/>
  <c r="C363" i="5"/>
  <c r="D363" i="5" s="1"/>
  <c r="C365" i="5"/>
  <c r="D365" i="5" s="1"/>
  <c r="C379" i="5"/>
  <c r="D379" i="5" s="1"/>
  <c r="C381" i="5"/>
  <c r="D381" i="5" s="1"/>
  <c r="C395" i="5"/>
  <c r="D395" i="5" s="1"/>
  <c r="C397" i="5"/>
  <c r="D397" i="5" s="1"/>
  <c r="C411" i="5"/>
  <c r="D411" i="5" s="1"/>
  <c r="C413" i="5"/>
  <c r="D413" i="5" s="1"/>
  <c r="C427" i="5"/>
  <c r="D427" i="5" s="1"/>
  <c r="C429" i="5"/>
  <c r="D429" i="5" s="1"/>
  <c r="C443" i="5"/>
  <c r="D443" i="5" s="1"/>
  <c r="C445" i="5"/>
  <c r="D445" i="5" s="1"/>
  <c r="C459" i="5"/>
  <c r="D459" i="5" s="1"/>
  <c r="C461" i="5"/>
  <c r="D461" i="5" s="1"/>
  <c r="C475" i="5"/>
  <c r="D475" i="5" s="1"/>
  <c r="C477" i="5"/>
  <c r="D477" i="5" s="1"/>
  <c r="C491" i="5"/>
  <c r="D491" i="5" s="1"/>
  <c r="C493" i="5"/>
  <c r="D493" i="5" s="1"/>
  <c r="B2" i="3"/>
  <c r="O3" i="2"/>
  <c r="P3" i="2" s="1"/>
  <c r="O4" i="2"/>
  <c r="P4" i="2" s="1"/>
  <c r="O5" i="2"/>
  <c r="P5" i="2" s="1"/>
  <c r="O6" i="2"/>
  <c r="P6" i="2" s="1"/>
  <c r="O7" i="2"/>
  <c r="P7" i="2" s="1"/>
  <c r="O8" i="2"/>
  <c r="P8" i="2" s="1"/>
  <c r="O9" i="2"/>
  <c r="P9" i="2" s="1"/>
  <c r="O10" i="2"/>
  <c r="P10" i="2" s="1"/>
  <c r="O11" i="2"/>
  <c r="P11" i="2" s="1"/>
  <c r="O12" i="2"/>
  <c r="P12" i="2" s="1"/>
  <c r="O13" i="2"/>
  <c r="P13" i="2" s="1"/>
  <c r="O14" i="2"/>
  <c r="P14" i="2" s="1"/>
  <c r="O15" i="2"/>
  <c r="P15" i="2" s="1"/>
  <c r="O16" i="2"/>
  <c r="P16" i="2" s="1"/>
  <c r="O17" i="2"/>
  <c r="P17" i="2" s="1"/>
  <c r="O18" i="2"/>
  <c r="P18" i="2" s="1"/>
  <c r="O19" i="2"/>
  <c r="P19" i="2" s="1"/>
  <c r="O20" i="2"/>
  <c r="P20" i="2" s="1"/>
  <c r="O21" i="2"/>
  <c r="P21" i="2" s="1"/>
  <c r="O22" i="2"/>
  <c r="P22" i="2" s="1"/>
  <c r="O23" i="2"/>
  <c r="P23" i="2" s="1"/>
  <c r="O24" i="2"/>
  <c r="P24" i="2" s="1"/>
  <c r="O25" i="2"/>
  <c r="P25" i="2" s="1"/>
  <c r="O26" i="2"/>
  <c r="P26" i="2" s="1"/>
  <c r="O27" i="2"/>
  <c r="P27" i="2" s="1"/>
  <c r="O28" i="2"/>
  <c r="P28" i="2" s="1"/>
  <c r="O29" i="2"/>
  <c r="P29" i="2" s="1"/>
  <c r="O30" i="2"/>
  <c r="P30" i="2" s="1"/>
  <c r="O31" i="2"/>
  <c r="P31" i="2" s="1"/>
  <c r="O32" i="2"/>
  <c r="P32" i="2" s="1"/>
  <c r="O33" i="2"/>
  <c r="P33" i="2" s="1"/>
  <c r="O34" i="2"/>
  <c r="P34" i="2" s="1"/>
  <c r="O35" i="2"/>
  <c r="P35" i="2" s="1"/>
  <c r="O36" i="2"/>
  <c r="P36" i="2" s="1"/>
  <c r="O37" i="2"/>
  <c r="P37" i="2" s="1"/>
  <c r="O38" i="2"/>
  <c r="P38" i="2" s="1"/>
  <c r="O39" i="2"/>
  <c r="P39" i="2" s="1"/>
  <c r="O40" i="2"/>
  <c r="P40" i="2" s="1"/>
  <c r="O41" i="2"/>
  <c r="P41" i="2" s="1"/>
  <c r="O42" i="2"/>
  <c r="P42" i="2" s="1"/>
  <c r="O43" i="2"/>
  <c r="P43" i="2" s="1"/>
  <c r="O44" i="2"/>
  <c r="P44" i="2" s="1"/>
  <c r="O45" i="2"/>
  <c r="P45" i="2" s="1"/>
  <c r="O46" i="2"/>
  <c r="P46" i="2" s="1"/>
  <c r="O47" i="2"/>
  <c r="P47" i="2" s="1"/>
  <c r="O48" i="2"/>
  <c r="P48" i="2" s="1"/>
  <c r="O49" i="2"/>
  <c r="P49" i="2" s="1"/>
  <c r="O50" i="2"/>
  <c r="P50" i="2" s="1"/>
  <c r="O51" i="2"/>
  <c r="P51" i="2" s="1"/>
  <c r="O52" i="2"/>
  <c r="P52" i="2" s="1"/>
  <c r="O53" i="2"/>
  <c r="P53" i="2" s="1"/>
  <c r="O54" i="2"/>
  <c r="P54" i="2" s="1"/>
  <c r="O55" i="2"/>
  <c r="P55" i="2" s="1"/>
  <c r="O56" i="2"/>
  <c r="P56" i="2" s="1"/>
  <c r="O57" i="2"/>
  <c r="P57" i="2" s="1"/>
  <c r="O58" i="2"/>
  <c r="P58" i="2" s="1"/>
  <c r="O59" i="2"/>
  <c r="P59" i="2" s="1"/>
  <c r="O60" i="2"/>
  <c r="P60" i="2" s="1"/>
  <c r="O61" i="2"/>
  <c r="P61" i="2" s="1"/>
  <c r="O62" i="2"/>
  <c r="P62" i="2" s="1"/>
  <c r="O63" i="2"/>
  <c r="P63" i="2" s="1"/>
  <c r="O64" i="2"/>
  <c r="P64" i="2" s="1"/>
  <c r="O65" i="2"/>
  <c r="P65" i="2" s="1"/>
  <c r="O66" i="2"/>
  <c r="P66" i="2" s="1"/>
  <c r="O67" i="2"/>
  <c r="P67" i="2" s="1"/>
  <c r="O68" i="2"/>
  <c r="P68" i="2" s="1"/>
  <c r="O69" i="2"/>
  <c r="P69" i="2" s="1"/>
  <c r="O70" i="2"/>
  <c r="P70" i="2" s="1"/>
  <c r="O71" i="2"/>
  <c r="P71" i="2" s="1"/>
  <c r="O72" i="2"/>
  <c r="P72" i="2" s="1"/>
  <c r="O73" i="2"/>
  <c r="P73" i="2" s="1"/>
  <c r="O74" i="2"/>
  <c r="P74" i="2" s="1"/>
  <c r="O75" i="2"/>
  <c r="P75" i="2" s="1"/>
  <c r="O76" i="2"/>
  <c r="P76" i="2" s="1"/>
  <c r="O77" i="2"/>
  <c r="P77" i="2" s="1"/>
  <c r="O78" i="2"/>
  <c r="P78" i="2" s="1"/>
  <c r="O79" i="2"/>
  <c r="P79" i="2" s="1"/>
  <c r="O80" i="2"/>
  <c r="P80" i="2" s="1"/>
  <c r="O81" i="2"/>
  <c r="P81" i="2" s="1"/>
  <c r="O82" i="2"/>
  <c r="P82" i="2" s="1"/>
  <c r="O83" i="2"/>
  <c r="P83" i="2" s="1"/>
  <c r="O84" i="2"/>
  <c r="P84" i="2" s="1"/>
  <c r="O85" i="2"/>
  <c r="P85" i="2" s="1"/>
  <c r="O86" i="2"/>
  <c r="P86" i="2" s="1"/>
  <c r="O87" i="2"/>
  <c r="P87" i="2" s="1"/>
  <c r="O88" i="2"/>
  <c r="P88" i="2" s="1"/>
  <c r="O89" i="2"/>
  <c r="P89" i="2" s="1"/>
  <c r="O90" i="2"/>
  <c r="P90" i="2" s="1"/>
  <c r="O91" i="2"/>
  <c r="P91" i="2" s="1"/>
  <c r="O92" i="2"/>
  <c r="P92" i="2" s="1"/>
  <c r="O93" i="2"/>
  <c r="P93" i="2" s="1"/>
  <c r="O94" i="2"/>
  <c r="P94" i="2" s="1"/>
  <c r="O95" i="2"/>
  <c r="P95" i="2" s="1"/>
  <c r="O96" i="2"/>
  <c r="P96" i="2" s="1"/>
  <c r="O97" i="2"/>
  <c r="P97" i="2" s="1"/>
  <c r="O98" i="2"/>
  <c r="P98" i="2" s="1"/>
  <c r="O99" i="2"/>
  <c r="P99" i="2" s="1"/>
  <c r="O100" i="2"/>
  <c r="P100" i="2" s="1"/>
  <c r="O101" i="2"/>
  <c r="P101" i="2" s="1"/>
  <c r="O102" i="2"/>
  <c r="P102" i="2" s="1"/>
  <c r="O103" i="2"/>
  <c r="P103" i="2" s="1"/>
  <c r="O104" i="2"/>
  <c r="P104" i="2" s="1"/>
  <c r="O105" i="2"/>
  <c r="P105" i="2" s="1"/>
  <c r="O106" i="2"/>
  <c r="P106" i="2" s="1"/>
  <c r="O107" i="2"/>
  <c r="P107" i="2" s="1"/>
  <c r="O108" i="2"/>
  <c r="P108" i="2" s="1"/>
  <c r="O109" i="2"/>
  <c r="P109" i="2" s="1"/>
  <c r="O110" i="2"/>
  <c r="P110" i="2" s="1"/>
  <c r="O111" i="2"/>
  <c r="P111" i="2" s="1"/>
  <c r="O112" i="2"/>
  <c r="P112" i="2" s="1"/>
  <c r="O113" i="2"/>
  <c r="P113" i="2" s="1"/>
  <c r="O114" i="2"/>
  <c r="P114" i="2" s="1"/>
  <c r="O115" i="2"/>
  <c r="P115" i="2" s="1"/>
  <c r="O116" i="2"/>
  <c r="P116" i="2" s="1"/>
  <c r="O117" i="2"/>
  <c r="P117" i="2" s="1"/>
  <c r="O118" i="2"/>
  <c r="P118" i="2" s="1"/>
  <c r="O119" i="2"/>
  <c r="P119" i="2" s="1"/>
  <c r="O120" i="2"/>
  <c r="P120" i="2" s="1"/>
  <c r="O121" i="2"/>
  <c r="P121" i="2" s="1"/>
  <c r="O122" i="2"/>
  <c r="P122" i="2" s="1"/>
  <c r="O123" i="2"/>
  <c r="P123" i="2" s="1"/>
  <c r="O124" i="2"/>
  <c r="P124" i="2" s="1"/>
  <c r="O125" i="2"/>
  <c r="P125" i="2" s="1"/>
  <c r="O126" i="2"/>
  <c r="P126" i="2" s="1"/>
  <c r="O127" i="2"/>
  <c r="P127" i="2" s="1"/>
  <c r="O128" i="2"/>
  <c r="P128" i="2" s="1"/>
  <c r="O129" i="2"/>
  <c r="P129" i="2" s="1"/>
  <c r="O130" i="2"/>
  <c r="P130" i="2" s="1"/>
  <c r="O131" i="2"/>
  <c r="P131" i="2" s="1"/>
  <c r="O132" i="2"/>
  <c r="P132" i="2" s="1"/>
  <c r="O133" i="2"/>
  <c r="P133" i="2" s="1"/>
  <c r="O134" i="2"/>
  <c r="P134" i="2" s="1"/>
  <c r="O135" i="2"/>
  <c r="P135" i="2" s="1"/>
  <c r="O136" i="2"/>
  <c r="P136" i="2" s="1"/>
  <c r="O137" i="2"/>
  <c r="P137" i="2" s="1"/>
  <c r="O138" i="2"/>
  <c r="P138" i="2" s="1"/>
  <c r="O139" i="2"/>
  <c r="P139" i="2" s="1"/>
  <c r="O140" i="2"/>
  <c r="P140" i="2" s="1"/>
  <c r="O141" i="2"/>
  <c r="P141" i="2" s="1"/>
  <c r="O142" i="2"/>
  <c r="P142" i="2" s="1"/>
  <c r="O143" i="2"/>
  <c r="P143" i="2" s="1"/>
  <c r="O144" i="2"/>
  <c r="P144" i="2" s="1"/>
  <c r="O145" i="2"/>
  <c r="P145" i="2" s="1"/>
  <c r="O146" i="2"/>
  <c r="P146" i="2" s="1"/>
  <c r="O147" i="2"/>
  <c r="P147" i="2" s="1"/>
  <c r="O148" i="2"/>
  <c r="P148" i="2" s="1"/>
  <c r="O149" i="2"/>
  <c r="P149" i="2" s="1"/>
  <c r="O150" i="2"/>
  <c r="P150" i="2" s="1"/>
  <c r="O151" i="2"/>
  <c r="P151" i="2" s="1"/>
  <c r="O152" i="2"/>
  <c r="P152" i="2" s="1"/>
  <c r="O153" i="2"/>
  <c r="P153" i="2" s="1"/>
  <c r="O154" i="2"/>
  <c r="P154" i="2" s="1"/>
  <c r="O155" i="2"/>
  <c r="P155" i="2" s="1"/>
  <c r="O156" i="2"/>
  <c r="P156" i="2" s="1"/>
  <c r="O157" i="2"/>
  <c r="P157" i="2" s="1"/>
  <c r="O158" i="2"/>
  <c r="P158" i="2" s="1"/>
  <c r="O159" i="2"/>
  <c r="P159" i="2" s="1"/>
  <c r="O160" i="2"/>
  <c r="P160" i="2" s="1"/>
  <c r="O161" i="2"/>
  <c r="P161" i="2" s="1"/>
  <c r="O162" i="2"/>
  <c r="P162" i="2" s="1"/>
  <c r="O163" i="2"/>
  <c r="P163" i="2" s="1"/>
  <c r="O164" i="2"/>
  <c r="P164" i="2" s="1"/>
  <c r="O165" i="2"/>
  <c r="P165" i="2" s="1"/>
  <c r="O166" i="2"/>
  <c r="P166" i="2" s="1"/>
  <c r="O167" i="2"/>
  <c r="P167" i="2" s="1"/>
  <c r="O168" i="2"/>
  <c r="P168" i="2" s="1"/>
  <c r="O169" i="2"/>
  <c r="P169" i="2" s="1"/>
  <c r="O170" i="2"/>
  <c r="P170" i="2" s="1"/>
  <c r="O171" i="2"/>
  <c r="P171" i="2" s="1"/>
  <c r="O172" i="2"/>
  <c r="P172" i="2" s="1"/>
  <c r="O173" i="2"/>
  <c r="P173" i="2" s="1"/>
  <c r="O174" i="2"/>
  <c r="P174" i="2" s="1"/>
  <c r="O175" i="2"/>
  <c r="P175" i="2" s="1"/>
  <c r="O176" i="2"/>
  <c r="P176" i="2" s="1"/>
  <c r="O177" i="2"/>
  <c r="P177" i="2" s="1"/>
  <c r="O178" i="2"/>
  <c r="P178" i="2" s="1"/>
  <c r="O179" i="2"/>
  <c r="P179" i="2" s="1"/>
  <c r="O180" i="2"/>
  <c r="P180" i="2" s="1"/>
  <c r="O181" i="2"/>
  <c r="P181" i="2" s="1"/>
  <c r="O182" i="2"/>
  <c r="P182" i="2" s="1"/>
  <c r="O183" i="2"/>
  <c r="P183" i="2" s="1"/>
  <c r="O184" i="2"/>
  <c r="P184" i="2" s="1"/>
  <c r="O185" i="2"/>
  <c r="P185" i="2" s="1"/>
  <c r="O186" i="2"/>
  <c r="P186" i="2" s="1"/>
  <c r="O187" i="2"/>
  <c r="P187" i="2" s="1"/>
  <c r="O188" i="2"/>
  <c r="P188" i="2" s="1"/>
  <c r="O189" i="2"/>
  <c r="P189" i="2" s="1"/>
  <c r="O190" i="2"/>
  <c r="P190" i="2" s="1"/>
  <c r="O191" i="2"/>
  <c r="P191" i="2" s="1"/>
  <c r="O192" i="2"/>
  <c r="P192" i="2" s="1"/>
  <c r="O193" i="2"/>
  <c r="P193" i="2" s="1"/>
  <c r="O194" i="2"/>
  <c r="P194" i="2" s="1"/>
  <c r="O195" i="2"/>
  <c r="P195" i="2" s="1"/>
  <c r="O196" i="2"/>
  <c r="P196" i="2" s="1"/>
  <c r="O197" i="2"/>
  <c r="P197" i="2" s="1"/>
  <c r="O198" i="2"/>
  <c r="P198" i="2" s="1"/>
  <c r="O199" i="2"/>
  <c r="P199" i="2" s="1"/>
  <c r="O200" i="2"/>
  <c r="P200" i="2" s="1"/>
  <c r="O201" i="2"/>
  <c r="P201" i="2" s="1"/>
  <c r="O202" i="2"/>
  <c r="P202" i="2" s="1"/>
  <c r="O203" i="2"/>
  <c r="P203" i="2" s="1"/>
  <c r="O204" i="2"/>
  <c r="P204" i="2" s="1"/>
  <c r="O205" i="2"/>
  <c r="P205" i="2" s="1"/>
  <c r="O206" i="2"/>
  <c r="P206" i="2" s="1"/>
  <c r="O207" i="2"/>
  <c r="P207" i="2" s="1"/>
  <c r="O208" i="2"/>
  <c r="P208" i="2" s="1"/>
  <c r="O209" i="2"/>
  <c r="P209" i="2" s="1"/>
  <c r="O210" i="2"/>
  <c r="P210" i="2" s="1"/>
  <c r="O211" i="2"/>
  <c r="P211" i="2" s="1"/>
  <c r="O212" i="2"/>
  <c r="P212" i="2" s="1"/>
  <c r="O213" i="2"/>
  <c r="P213" i="2" s="1"/>
  <c r="O214" i="2"/>
  <c r="P214" i="2" s="1"/>
  <c r="O215" i="2"/>
  <c r="P215" i="2" s="1"/>
  <c r="O216" i="2"/>
  <c r="P216" i="2" s="1"/>
  <c r="O217" i="2"/>
  <c r="P217" i="2" s="1"/>
  <c r="O218" i="2"/>
  <c r="P218" i="2" s="1"/>
  <c r="O219" i="2"/>
  <c r="P219" i="2" s="1"/>
  <c r="O220" i="2"/>
  <c r="P220" i="2" s="1"/>
  <c r="O221" i="2"/>
  <c r="P221" i="2" s="1"/>
  <c r="O222" i="2"/>
  <c r="P222" i="2" s="1"/>
  <c r="O223" i="2"/>
  <c r="P223" i="2" s="1"/>
  <c r="O224" i="2"/>
  <c r="P224" i="2" s="1"/>
  <c r="O225" i="2"/>
  <c r="P225" i="2" s="1"/>
  <c r="O226" i="2"/>
  <c r="P226" i="2" s="1"/>
  <c r="O227" i="2"/>
  <c r="P227" i="2" s="1"/>
  <c r="O228" i="2"/>
  <c r="P228" i="2" s="1"/>
  <c r="O229" i="2"/>
  <c r="P229" i="2" s="1"/>
  <c r="O230" i="2"/>
  <c r="P230" i="2" s="1"/>
  <c r="O231" i="2"/>
  <c r="P231" i="2" s="1"/>
  <c r="O232" i="2"/>
  <c r="P232" i="2" s="1"/>
  <c r="O233" i="2"/>
  <c r="P233" i="2" s="1"/>
  <c r="O234" i="2"/>
  <c r="P234" i="2" s="1"/>
  <c r="O235" i="2"/>
  <c r="P235" i="2" s="1"/>
  <c r="O236" i="2"/>
  <c r="P236" i="2" s="1"/>
  <c r="O237" i="2"/>
  <c r="P237" i="2" s="1"/>
  <c r="O238" i="2"/>
  <c r="P238" i="2" s="1"/>
  <c r="O239" i="2"/>
  <c r="P239" i="2" s="1"/>
  <c r="O240" i="2"/>
  <c r="P240" i="2" s="1"/>
  <c r="O241" i="2"/>
  <c r="P241" i="2" s="1"/>
  <c r="O242" i="2"/>
  <c r="P242" i="2" s="1"/>
  <c r="O243" i="2"/>
  <c r="P243" i="2" s="1"/>
  <c r="O244" i="2"/>
  <c r="P244" i="2" s="1"/>
  <c r="O245" i="2"/>
  <c r="P245" i="2" s="1"/>
  <c r="O246" i="2"/>
  <c r="P246" i="2" s="1"/>
  <c r="O247" i="2"/>
  <c r="P247" i="2" s="1"/>
  <c r="O248" i="2"/>
  <c r="P248" i="2" s="1"/>
  <c r="O249" i="2"/>
  <c r="P249" i="2" s="1"/>
  <c r="O250" i="2"/>
  <c r="P250" i="2" s="1"/>
  <c r="O251" i="2"/>
  <c r="P251" i="2" s="1"/>
  <c r="O252" i="2"/>
  <c r="P252" i="2" s="1"/>
  <c r="O253" i="2"/>
  <c r="P253" i="2" s="1"/>
  <c r="O254" i="2"/>
  <c r="P254" i="2" s="1"/>
  <c r="O255" i="2"/>
  <c r="P255" i="2" s="1"/>
  <c r="O256" i="2"/>
  <c r="P256" i="2" s="1"/>
  <c r="O257" i="2"/>
  <c r="P257" i="2" s="1"/>
  <c r="O258" i="2"/>
  <c r="P258" i="2" s="1"/>
  <c r="O259" i="2"/>
  <c r="P259" i="2" s="1"/>
  <c r="O260" i="2"/>
  <c r="P260" i="2" s="1"/>
  <c r="O261" i="2"/>
  <c r="P261" i="2" s="1"/>
  <c r="O262" i="2"/>
  <c r="P262" i="2" s="1"/>
  <c r="O263" i="2"/>
  <c r="P263" i="2" s="1"/>
  <c r="O264" i="2"/>
  <c r="P264" i="2" s="1"/>
  <c r="O265" i="2"/>
  <c r="P265" i="2" s="1"/>
  <c r="O266" i="2"/>
  <c r="P266" i="2" s="1"/>
  <c r="O267" i="2"/>
  <c r="P267" i="2" s="1"/>
  <c r="O268" i="2"/>
  <c r="P268" i="2" s="1"/>
  <c r="O269" i="2"/>
  <c r="P269" i="2" s="1"/>
  <c r="O270" i="2"/>
  <c r="P270" i="2" s="1"/>
  <c r="O271" i="2"/>
  <c r="P271" i="2" s="1"/>
  <c r="O272" i="2"/>
  <c r="P272" i="2" s="1"/>
  <c r="O273" i="2"/>
  <c r="P273" i="2" s="1"/>
  <c r="O274" i="2"/>
  <c r="P274" i="2" s="1"/>
  <c r="O275" i="2"/>
  <c r="P275" i="2" s="1"/>
  <c r="O276" i="2"/>
  <c r="P276" i="2" s="1"/>
  <c r="O277" i="2"/>
  <c r="P277" i="2" s="1"/>
  <c r="O278" i="2"/>
  <c r="P278" i="2" s="1"/>
  <c r="O279" i="2"/>
  <c r="P279" i="2" s="1"/>
  <c r="O280" i="2"/>
  <c r="P280" i="2" s="1"/>
  <c r="O281" i="2"/>
  <c r="P281" i="2" s="1"/>
  <c r="O282" i="2"/>
  <c r="P282" i="2" s="1"/>
  <c r="O283" i="2"/>
  <c r="P283" i="2" s="1"/>
  <c r="O284" i="2"/>
  <c r="P284" i="2" s="1"/>
  <c r="O285" i="2"/>
  <c r="P285" i="2" s="1"/>
  <c r="O286" i="2"/>
  <c r="P286" i="2" s="1"/>
  <c r="O287" i="2"/>
  <c r="P287" i="2" s="1"/>
  <c r="O288" i="2"/>
  <c r="P288" i="2" s="1"/>
  <c r="O289" i="2"/>
  <c r="P289" i="2" s="1"/>
  <c r="O290" i="2"/>
  <c r="P290" i="2" s="1"/>
  <c r="O291" i="2"/>
  <c r="P291" i="2" s="1"/>
  <c r="O292" i="2"/>
  <c r="P292" i="2" s="1"/>
  <c r="O293" i="2"/>
  <c r="P293" i="2" s="1"/>
  <c r="O294" i="2"/>
  <c r="P294" i="2" s="1"/>
  <c r="O295" i="2"/>
  <c r="P295" i="2" s="1"/>
  <c r="O296" i="2"/>
  <c r="P296" i="2" s="1"/>
  <c r="O297" i="2"/>
  <c r="P297" i="2" s="1"/>
  <c r="O298" i="2"/>
  <c r="P298" i="2" s="1"/>
  <c r="O299" i="2"/>
  <c r="P299" i="2" s="1"/>
  <c r="O300" i="2"/>
  <c r="P300" i="2" s="1"/>
  <c r="O301" i="2"/>
  <c r="P301" i="2" s="1"/>
  <c r="O302" i="2"/>
  <c r="P302" i="2" s="1"/>
  <c r="O303" i="2"/>
  <c r="P303" i="2" s="1"/>
  <c r="O304" i="2"/>
  <c r="P304" i="2" s="1"/>
  <c r="O305" i="2"/>
  <c r="P305" i="2" s="1"/>
  <c r="O306" i="2"/>
  <c r="P306" i="2" s="1"/>
  <c r="O307" i="2"/>
  <c r="P307" i="2" s="1"/>
  <c r="O308" i="2"/>
  <c r="P308" i="2" s="1"/>
  <c r="O309" i="2"/>
  <c r="P309" i="2" s="1"/>
  <c r="O310" i="2"/>
  <c r="P310" i="2" s="1"/>
  <c r="O311" i="2"/>
  <c r="P311" i="2" s="1"/>
  <c r="O312" i="2"/>
  <c r="P312" i="2" s="1"/>
  <c r="O313" i="2"/>
  <c r="P313" i="2" s="1"/>
  <c r="O314" i="2"/>
  <c r="P314" i="2" s="1"/>
  <c r="O315" i="2"/>
  <c r="P315" i="2" s="1"/>
  <c r="O316" i="2"/>
  <c r="P316" i="2" s="1"/>
  <c r="O317" i="2"/>
  <c r="P317" i="2" s="1"/>
  <c r="O318" i="2"/>
  <c r="P318" i="2" s="1"/>
  <c r="O319" i="2"/>
  <c r="P319" i="2" s="1"/>
  <c r="O320" i="2"/>
  <c r="P320" i="2" s="1"/>
  <c r="O321" i="2"/>
  <c r="P321" i="2" s="1"/>
  <c r="O322" i="2"/>
  <c r="P322" i="2" s="1"/>
  <c r="O323" i="2"/>
  <c r="P323" i="2" s="1"/>
  <c r="O324" i="2"/>
  <c r="P324" i="2" s="1"/>
  <c r="O325" i="2"/>
  <c r="P325" i="2" s="1"/>
  <c r="O326" i="2"/>
  <c r="P326" i="2" s="1"/>
  <c r="O327" i="2"/>
  <c r="P327" i="2" s="1"/>
  <c r="O328" i="2"/>
  <c r="P328" i="2" s="1"/>
  <c r="O329" i="2"/>
  <c r="P329" i="2" s="1"/>
  <c r="O330" i="2"/>
  <c r="P330" i="2" s="1"/>
  <c r="O331" i="2"/>
  <c r="P331" i="2" s="1"/>
  <c r="O332" i="2"/>
  <c r="P332" i="2" s="1"/>
  <c r="O333" i="2"/>
  <c r="P333" i="2" s="1"/>
  <c r="O334" i="2"/>
  <c r="P334" i="2" s="1"/>
  <c r="O335" i="2"/>
  <c r="P335" i="2" s="1"/>
  <c r="O336" i="2"/>
  <c r="P336" i="2" s="1"/>
  <c r="O337" i="2"/>
  <c r="P337" i="2" s="1"/>
  <c r="O338" i="2"/>
  <c r="P338" i="2" s="1"/>
  <c r="O339" i="2"/>
  <c r="P339" i="2" s="1"/>
  <c r="O340" i="2"/>
  <c r="P340" i="2" s="1"/>
  <c r="O341" i="2"/>
  <c r="P341" i="2" s="1"/>
  <c r="O342" i="2"/>
  <c r="P342" i="2" s="1"/>
  <c r="O343" i="2"/>
  <c r="P343" i="2" s="1"/>
  <c r="O344" i="2"/>
  <c r="P344" i="2" s="1"/>
  <c r="O345" i="2"/>
  <c r="P345" i="2" s="1"/>
  <c r="O346" i="2"/>
  <c r="P346" i="2" s="1"/>
  <c r="O347" i="2"/>
  <c r="P347" i="2" s="1"/>
  <c r="O348" i="2"/>
  <c r="P348" i="2" s="1"/>
  <c r="O349" i="2"/>
  <c r="P349" i="2" s="1"/>
  <c r="O350" i="2"/>
  <c r="P350" i="2" s="1"/>
  <c r="O351" i="2"/>
  <c r="P351" i="2" s="1"/>
  <c r="O352" i="2"/>
  <c r="P352" i="2" s="1"/>
  <c r="O353" i="2"/>
  <c r="P353" i="2" s="1"/>
  <c r="O354" i="2"/>
  <c r="P354" i="2" s="1"/>
  <c r="O355" i="2"/>
  <c r="P355" i="2" s="1"/>
  <c r="O356" i="2"/>
  <c r="P356" i="2" s="1"/>
  <c r="O357" i="2"/>
  <c r="P357" i="2" s="1"/>
  <c r="O358" i="2"/>
  <c r="P358" i="2" s="1"/>
  <c r="O359" i="2"/>
  <c r="P359" i="2" s="1"/>
  <c r="O360" i="2"/>
  <c r="P360" i="2" s="1"/>
  <c r="O361" i="2"/>
  <c r="P361" i="2" s="1"/>
  <c r="O362" i="2"/>
  <c r="P362" i="2" s="1"/>
  <c r="O363" i="2"/>
  <c r="P363" i="2" s="1"/>
  <c r="O364" i="2"/>
  <c r="P364" i="2" s="1"/>
  <c r="O365" i="2"/>
  <c r="P365" i="2" s="1"/>
  <c r="O366" i="2"/>
  <c r="P366" i="2" s="1"/>
  <c r="O367" i="2"/>
  <c r="P367" i="2" s="1"/>
  <c r="O368" i="2"/>
  <c r="P368" i="2" s="1"/>
  <c r="O369" i="2"/>
  <c r="P369" i="2" s="1"/>
  <c r="O370" i="2"/>
  <c r="P370" i="2" s="1"/>
  <c r="O371" i="2"/>
  <c r="P371" i="2" s="1"/>
  <c r="O372" i="2"/>
  <c r="P372" i="2" s="1"/>
  <c r="O373" i="2"/>
  <c r="P373" i="2" s="1"/>
  <c r="O374" i="2"/>
  <c r="P374" i="2" s="1"/>
  <c r="O375" i="2"/>
  <c r="P375" i="2" s="1"/>
  <c r="O376" i="2"/>
  <c r="P376" i="2" s="1"/>
  <c r="O377" i="2"/>
  <c r="P377" i="2" s="1"/>
  <c r="O378" i="2"/>
  <c r="P378" i="2" s="1"/>
  <c r="O379" i="2"/>
  <c r="P379" i="2" s="1"/>
  <c r="O380" i="2"/>
  <c r="P380" i="2" s="1"/>
  <c r="O381" i="2"/>
  <c r="P381" i="2" s="1"/>
  <c r="O382" i="2"/>
  <c r="P382" i="2" s="1"/>
  <c r="O383" i="2"/>
  <c r="P383" i="2" s="1"/>
  <c r="O384" i="2"/>
  <c r="P384" i="2" s="1"/>
  <c r="O385" i="2"/>
  <c r="P385" i="2" s="1"/>
  <c r="O386" i="2"/>
  <c r="P386" i="2" s="1"/>
  <c r="O387" i="2"/>
  <c r="P387" i="2" s="1"/>
  <c r="O388" i="2"/>
  <c r="P388" i="2" s="1"/>
  <c r="O389" i="2"/>
  <c r="P389" i="2" s="1"/>
  <c r="O390" i="2"/>
  <c r="P390" i="2" s="1"/>
  <c r="O391" i="2"/>
  <c r="P391" i="2" s="1"/>
  <c r="O392" i="2"/>
  <c r="P392" i="2" s="1"/>
  <c r="O393" i="2"/>
  <c r="P393" i="2" s="1"/>
  <c r="O394" i="2"/>
  <c r="P394" i="2" s="1"/>
  <c r="O395" i="2"/>
  <c r="P395" i="2" s="1"/>
  <c r="O396" i="2"/>
  <c r="P396" i="2" s="1"/>
  <c r="O397" i="2"/>
  <c r="P397" i="2" s="1"/>
  <c r="O398" i="2"/>
  <c r="P398" i="2" s="1"/>
  <c r="O399" i="2"/>
  <c r="P399" i="2" s="1"/>
  <c r="O400" i="2"/>
  <c r="P400" i="2" s="1"/>
  <c r="O401" i="2"/>
  <c r="P401" i="2" s="1"/>
  <c r="O402" i="2"/>
  <c r="P402" i="2" s="1"/>
  <c r="O403" i="2"/>
  <c r="P403" i="2" s="1"/>
  <c r="O404" i="2"/>
  <c r="P404" i="2" s="1"/>
  <c r="O405" i="2"/>
  <c r="P405" i="2" s="1"/>
  <c r="O406" i="2"/>
  <c r="P406" i="2" s="1"/>
  <c r="O407" i="2"/>
  <c r="P407" i="2" s="1"/>
  <c r="O408" i="2"/>
  <c r="P408" i="2" s="1"/>
  <c r="O409" i="2"/>
  <c r="P409" i="2" s="1"/>
  <c r="O410" i="2"/>
  <c r="P410" i="2" s="1"/>
  <c r="O411" i="2"/>
  <c r="P411" i="2" s="1"/>
  <c r="O412" i="2"/>
  <c r="P412" i="2" s="1"/>
  <c r="O413" i="2"/>
  <c r="P413" i="2" s="1"/>
  <c r="O414" i="2"/>
  <c r="P414" i="2" s="1"/>
  <c r="O415" i="2"/>
  <c r="P415" i="2" s="1"/>
  <c r="O416" i="2"/>
  <c r="P416" i="2" s="1"/>
  <c r="O417" i="2"/>
  <c r="P417" i="2" s="1"/>
  <c r="O418" i="2"/>
  <c r="P418" i="2" s="1"/>
  <c r="O419" i="2"/>
  <c r="P419" i="2" s="1"/>
  <c r="O420" i="2"/>
  <c r="P420" i="2" s="1"/>
  <c r="O421" i="2"/>
  <c r="P421" i="2" s="1"/>
  <c r="O422" i="2"/>
  <c r="P422" i="2" s="1"/>
  <c r="O423" i="2"/>
  <c r="P423" i="2" s="1"/>
  <c r="O424" i="2"/>
  <c r="P424" i="2" s="1"/>
  <c r="O425" i="2"/>
  <c r="P425" i="2" s="1"/>
  <c r="O426" i="2"/>
  <c r="P426" i="2" s="1"/>
  <c r="O427" i="2"/>
  <c r="P427" i="2" s="1"/>
  <c r="O428" i="2"/>
  <c r="P428" i="2" s="1"/>
  <c r="O429" i="2"/>
  <c r="P429" i="2" s="1"/>
  <c r="O430" i="2"/>
  <c r="P430" i="2" s="1"/>
  <c r="O431" i="2"/>
  <c r="P431" i="2" s="1"/>
  <c r="O432" i="2"/>
  <c r="P432" i="2" s="1"/>
  <c r="O433" i="2"/>
  <c r="P433" i="2" s="1"/>
  <c r="O434" i="2"/>
  <c r="P434" i="2" s="1"/>
  <c r="O435" i="2"/>
  <c r="P435" i="2" s="1"/>
  <c r="O436" i="2"/>
  <c r="P436" i="2" s="1"/>
  <c r="O437" i="2"/>
  <c r="P437" i="2" s="1"/>
  <c r="O438" i="2"/>
  <c r="P438" i="2" s="1"/>
  <c r="O439" i="2"/>
  <c r="P439" i="2" s="1"/>
  <c r="O440" i="2"/>
  <c r="P440" i="2" s="1"/>
  <c r="O441" i="2"/>
  <c r="P441" i="2" s="1"/>
  <c r="O442" i="2"/>
  <c r="P442" i="2" s="1"/>
  <c r="O443" i="2"/>
  <c r="P443" i="2" s="1"/>
  <c r="O444" i="2"/>
  <c r="P444" i="2" s="1"/>
  <c r="O445" i="2"/>
  <c r="P445" i="2" s="1"/>
  <c r="O446" i="2"/>
  <c r="P446" i="2" s="1"/>
  <c r="O447" i="2"/>
  <c r="P447" i="2" s="1"/>
  <c r="O448" i="2"/>
  <c r="P448" i="2" s="1"/>
  <c r="O449" i="2"/>
  <c r="P449" i="2" s="1"/>
  <c r="O450" i="2"/>
  <c r="P450" i="2" s="1"/>
  <c r="O451" i="2"/>
  <c r="P451" i="2" s="1"/>
  <c r="O452" i="2"/>
  <c r="P452" i="2" s="1"/>
  <c r="O453" i="2"/>
  <c r="P453" i="2" s="1"/>
  <c r="O454" i="2"/>
  <c r="P454" i="2" s="1"/>
  <c r="O455" i="2"/>
  <c r="P455" i="2" s="1"/>
  <c r="O456" i="2"/>
  <c r="P456" i="2" s="1"/>
  <c r="O457" i="2"/>
  <c r="P457" i="2" s="1"/>
  <c r="O458" i="2"/>
  <c r="P458" i="2" s="1"/>
  <c r="O459" i="2"/>
  <c r="P459" i="2" s="1"/>
  <c r="O460" i="2"/>
  <c r="P460" i="2" s="1"/>
  <c r="O461" i="2"/>
  <c r="P461" i="2" s="1"/>
  <c r="O462" i="2"/>
  <c r="P462" i="2" s="1"/>
  <c r="O463" i="2"/>
  <c r="P463" i="2" s="1"/>
  <c r="O464" i="2"/>
  <c r="P464" i="2" s="1"/>
  <c r="O465" i="2"/>
  <c r="P465" i="2" s="1"/>
  <c r="O466" i="2"/>
  <c r="P466" i="2" s="1"/>
  <c r="O467" i="2"/>
  <c r="P467" i="2" s="1"/>
  <c r="O468" i="2"/>
  <c r="P468" i="2" s="1"/>
  <c r="O469" i="2"/>
  <c r="P469" i="2" s="1"/>
  <c r="O470" i="2"/>
  <c r="P470" i="2" s="1"/>
  <c r="O471" i="2"/>
  <c r="P471" i="2" s="1"/>
  <c r="O472" i="2"/>
  <c r="P472" i="2" s="1"/>
  <c r="O473" i="2"/>
  <c r="P473" i="2" s="1"/>
  <c r="O474" i="2"/>
  <c r="P474" i="2" s="1"/>
  <c r="O475" i="2"/>
  <c r="P475" i="2" s="1"/>
  <c r="O476" i="2"/>
  <c r="P476" i="2" s="1"/>
  <c r="O477" i="2"/>
  <c r="P477" i="2" s="1"/>
  <c r="O478" i="2"/>
  <c r="P478" i="2" s="1"/>
  <c r="O479" i="2"/>
  <c r="P479" i="2" s="1"/>
  <c r="O480" i="2"/>
  <c r="P480" i="2" s="1"/>
  <c r="O481" i="2"/>
  <c r="P481" i="2" s="1"/>
  <c r="O482" i="2"/>
  <c r="P482" i="2" s="1"/>
  <c r="O483" i="2"/>
  <c r="P483" i="2" s="1"/>
  <c r="O484" i="2"/>
  <c r="P484" i="2" s="1"/>
  <c r="O485" i="2"/>
  <c r="P485" i="2" s="1"/>
  <c r="O486" i="2"/>
  <c r="P486" i="2" s="1"/>
  <c r="O487" i="2"/>
  <c r="P487" i="2" s="1"/>
  <c r="O488" i="2"/>
  <c r="P488" i="2" s="1"/>
  <c r="O489" i="2"/>
  <c r="P489" i="2" s="1"/>
  <c r="O490" i="2"/>
  <c r="P490" i="2" s="1"/>
  <c r="O491" i="2"/>
  <c r="P491" i="2" s="1"/>
  <c r="O492" i="2"/>
  <c r="P492" i="2" s="1"/>
  <c r="O493" i="2"/>
  <c r="P493" i="2" s="1"/>
  <c r="O494" i="2"/>
  <c r="P494" i="2" s="1"/>
  <c r="O495" i="2"/>
  <c r="P495" i="2" s="1"/>
  <c r="O496" i="2"/>
  <c r="P496" i="2" s="1"/>
  <c r="O497" i="2"/>
  <c r="P497" i="2" s="1"/>
  <c r="O498" i="2"/>
  <c r="P498" i="2" s="1"/>
  <c r="O499" i="2"/>
  <c r="P499" i="2" s="1"/>
  <c r="O500" i="2"/>
  <c r="P500" i="2" s="1"/>
  <c r="O501" i="2"/>
  <c r="P501" i="2" s="1"/>
  <c r="I3" i="2"/>
  <c r="Q3" i="2" s="1"/>
  <c r="I4" i="2"/>
  <c r="Q4" i="2" s="1"/>
  <c r="I11" i="21" s="1"/>
  <c r="I5" i="2"/>
  <c r="Q5" i="2" s="1"/>
  <c r="I14" i="21" s="1"/>
  <c r="I6" i="2"/>
  <c r="Q6" i="2" s="1"/>
  <c r="I7" i="2"/>
  <c r="Q7" i="2" s="1"/>
  <c r="I8" i="2"/>
  <c r="Q8" i="2" s="1"/>
  <c r="I9" i="2"/>
  <c r="Q9" i="2" s="1"/>
  <c r="I12" i="21" s="1"/>
  <c r="I10" i="2"/>
  <c r="Q10" i="2" s="1"/>
  <c r="I11" i="2"/>
  <c r="Q11" i="2" s="1"/>
  <c r="I12" i="2"/>
  <c r="Q12" i="2" s="1"/>
  <c r="I13" i="2"/>
  <c r="Q13" i="2" s="1"/>
  <c r="I14" i="2"/>
  <c r="Q14" i="2" s="1"/>
  <c r="I15" i="2"/>
  <c r="Q15" i="2" s="1"/>
  <c r="I16" i="2"/>
  <c r="Q16" i="2" s="1"/>
  <c r="I17" i="2"/>
  <c r="Q17" i="2" s="1"/>
  <c r="I18" i="2"/>
  <c r="Q18" i="2" s="1"/>
  <c r="I19" i="2"/>
  <c r="Q19" i="2" s="1"/>
  <c r="I20" i="2"/>
  <c r="Q20" i="2" s="1"/>
  <c r="I21" i="2"/>
  <c r="Q21" i="2" s="1"/>
  <c r="I22" i="2"/>
  <c r="Q22" i="2" s="1"/>
  <c r="I23" i="2"/>
  <c r="Q23" i="2" s="1"/>
  <c r="I24" i="2"/>
  <c r="Q24" i="2" s="1"/>
  <c r="I25" i="2"/>
  <c r="Q25" i="2" s="1"/>
  <c r="I26" i="2"/>
  <c r="Q26" i="2" s="1"/>
  <c r="I27" i="2"/>
  <c r="Q27" i="2" s="1"/>
  <c r="I28" i="2"/>
  <c r="Q28" i="2" s="1"/>
  <c r="I29" i="2"/>
  <c r="Q29" i="2" s="1"/>
  <c r="I30" i="2"/>
  <c r="Q30" i="2" s="1"/>
  <c r="I31" i="2"/>
  <c r="Q31" i="2" s="1"/>
  <c r="I32" i="2"/>
  <c r="Q32" i="2" s="1"/>
  <c r="I33" i="2"/>
  <c r="Q33" i="2" s="1"/>
  <c r="I34" i="2"/>
  <c r="Q34" i="2" s="1"/>
  <c r="I35" i="2"/>
  <c r="Q35" i="2" s="1"/>
  <c r="I36" i="2"/>
  <c r="Q36" i="2" s="1"/>
  <c r="I37" i="2"/>
  <c r="Q37" i="2" s="1"/>
  <c r="I38" i="2"/>
  <c r="Q38" i="2" s="1"/>
  <c r="I39" i="2"/>
  <c r="Q39" i="2" s="1"/>
  <c r="I40" i="2"/>
  <c r="Q40" i="2" s="1"/>
  <c r="I41" i="2"/>
  <c r="Q41" i="2" s="1"/>
  <c r="I42" i="2"/>
  <c r="Q42" i="2" s="1"/>
  <c r="I43" i="2"/>
  <c r="Q43" i="2" s="1"/>
  <c r="I44" i="2"/>
  <c r="Q44" i="2" s="1"/>
  <c r="I45" i="2"/>
  <c r="Q45" i="2" s="1"/>
  <c r="I15" i="21" s="1"/>
  <c r="I46" i="2"/>
  <c r="Q46" i="2" s="1"/>
  <c r="I47" i="2"/>
  <c r="Q47" i="2" s="1"/>
  <c r="I48" i="2"/>
  <c r="Q48" i="2" s="1"/>
  <c r="I49" i="2"/>
  <c r="Q49" i="2" s="1"/>
  <c r="I50" i="2"/>
  <c r="Q50" i="2" s="1"/>
  <c r="I51" i="2"/>
  <c r="Q51" i="2" s="1"/>
  <c r="I52" i="2"/>
  <c r="Q52" i="2" s="1"/>
  <c r="I53" i="2"/>
  <c r="Q53" i="2" s="1"/>
  <c r="I54" i="2"/>
  <c r="Q54" i="2" s="1"/>
  <c r="I55" i="2"/>
  <c r="Q55" i="2" s="1"/>
  <c r="I56" i="2"/>
  <c r="Q56" i="2" s="1"/>
  <c r="I57" i="2"/>
  <c r="Q57" i="2" s="1"/>
  <c r="I58" i="2"/>
  <c r="Q58" i="2" s="1"/>
  <c r="I59" i="2"/>
  <c r="Q59" i="2" s="1"/>
  <c r="I60" i="2"/>
  <c r="Q60" i="2" s="1"/>
  <c r="I61" i="2"/>
  <c r="Q61" i="2" s="1"/>
  <c r="I62" i="2"/>
  <c r="Q62" i="2" s="1"/>
  <c r="I63" i="2"/>
  <c r="Q63" i="2" s="1"/>
  <c r="I64" i="2"/>
  <c r="Q64" i="2" s="1"/>
  <c r="I65" i="2"/>
  <c r="Q65" i="2" s="1"/>
  <c r="I66" i="2"/>
  <c r="Q66" i="2" s="1"/>
  <c r="I67" i="2"/>
  <c r="Q67" i="2" s="1"/>
  <c r="I68" i="2"/>
  <c r="Q68" i="2" s="1"/>
  <c r="I69" i="2"/>
  <c r="Q69" i="2" s="1"/>
  <c r="I70" i="2"/>
  <c r="Q70" i="2" s="1"/>
  <c r="I71" i="2"/>
  <c r="Q71" i="2" s="1"/>
  <c r="I72" i="2"/>
  <c r="Q72" i="2" s="1"/>
  <c r="I73" i="2"/>
  <c r="Q73" i="2" s="1"/>
  <c r="I74" i="2"/>
  <c r="Q74" i="2" s="1"/>
  <c r="I75" i="2"/>
  <c r="Q75" i="2" s="1"/>
  <c r="I76" i="2"/>
  <c r="Q76" i="2" s="1"/>
  <c r="I77" i="2"/>
  <c r="Q77" i="2" s="1"/>
  <c r="I78" i="2"/>
  <c r="Q78" i="2" s="1"/>
  <c r="I79" i="2"/>
  <c r="Q79" i="2" s="1"/>
  <c r="I80" i="2"/>
  <c r="Q80" i="2" s="1"/>
  <c r="I81" i="2"/>
  <c r="Q81" i="2" s="1"/>
  <c r="I82" i="2"/>
  <c r="Q82" i="2" s="1"/>
  <c r="I83" i="2"/>
  <c r="Q83" i="2" s="1"/>
  <c r="I84" i="2"/>
  <c r="Q84" i="2" s="1"/>
  <c r="I85" i="2"/>
  <c r="Q85" i="2" s="1"/>
  <c r="I86" i="2"/>
  <c r="Q86" i="2" s="1"/>
  <c r="I87" i="2"/>
  <c r="Q87" i="2" s="1"/>
  <c r="I88" i="2"/>
  <c r="Q88" i="2" s="1"/>
  <c r="I89" i="2"/>
  <c r="Q89" i="2" s="1"/>
  <c r="I90" i="2"/>
  <c r="Q90" i="2" s="1"/>
  <c r="I91" i="2"/>
  <c r="Q91" i="2" s="1"/>
  <c r="I92" i="2"/>
  <c r="Q92" i="2" s="1"/>
  <c r="I93" i="2"/>
  <c r="Q93" i="2" s="1"/>
  <c r="I94" i="2"/>
  <c r="Q94" i="2" s="1"/>
  <c r="I95" i="2"/>
  <c r="Q95" i="2" s="1"/>
  <c r="I96" i="2"/>
  <c r="Q96" i="2" s="1"/>
  <c r="I97" i="2"/>
  <c r="Q97" i="2" s="1"/>
  <c r="I98" i="2"/>
  <c r="Q98" i="2" s="1"/>
  <c r="I99" i="2"/>
  <c r="Q99" i="2" s="1"/>
  <c r="I100" i="2"/>
  <c r="Q100" i="2" s="1"/>
  <c r="I101" i="2"/>
  <c r="Q101" i="2" s="1"/>
  <c r="I102" i="2"/>
  <c r="Q102" i="2" s="1"/>
  <c r="I103" i="2"/>
  <c r="Q103" i="2" s="1"/>
  <c r="I104" i="2"/>
  <c r="Q104" i="2" s="1"/>
  <c r="I105" i="2"/>
  <c r="Q105" i="2" s="1"/>
  <c r="I106" i="2"/>
  <c r="Q106" i="2" s="1"/>
  <c r="I107" i="2"/>
  <c r="Q107" i="2" s="1"/>
  <c r="I108" i="2"/>
  <c r="Q108" i="2" s="1"/>
  <c r="I109" i="2"/>
  <c r="Q109" i="2" s="1"/>
  <c r="I110" i="2"/>
  <c r="Q110" i="2" s="1"/>
  <c r="I111" i="2"/>
  <c r="Q111" i="2" s="1"/>
  <c r="I112" i="2"/>
  <c r="Q112" i="2" s="1"/>
  <c r="I113" i="2"/>
  <c r="Q113" i="2" s="1"/>
  <c r="I114" i="2"/>
  <c r="Q114" i="2" s="1"/>
  <c r="I115" i="2"/>
  <c r="Q115" i="2" s="1"/>
  <c r="I116" i="2"/>
  <c r="Q116" i="2" s="1"/>
  <c r="I117" i="2"/>
  <c r="Q117" i="2" s="1"/>
  <c r="I118" i="2"/>
  <c r="Q118" i="2" s="1"/>
  <c r="I119" i="2"/>
  <c r="Q119" i="2" s="1"/>
  <c r="I120" i="2"/>
  <c r="Q120" i="2" s="1"/>
  <c r="I121" i="2"/>
  <c r="Q121" i="2" s="1"/>
  <c r="I122" i="2"/>
  <c r="Q122" i="2" s="1"/>
  <c r="I123" i="2"/>
  <c r="Q123" i="2" s="1"/>
  <c r="I124" i="2"/>
  <c r="Q124" i="2" s="1"/>
  <c r="I125" i="2"/>
  <c r="Q125" i="2" s="1"/>
  <c r="I126" i="2"/>
  <c r="Q126" i="2" s="1"/>
  <c r="I127" i="2"/>
  <c r="Q127" i="2" s="1"/>
  <c r="I128" i="2"/>
  <c r="Q128" i="2" s="1"/>
  <c r="I129" i="2"/>
  <c r="Q129" i="2" s="1"/>
  <c r="I130" i="2"/>
  <c r="Q130" i="2" s="1"/>
  <c r="I131" i="2"/>
  <c r="Q131" i="2" s="1"/>
  <c r="I132" i="2"/>
  <c r="Q132" i="2" s="1"/>
  <c r="I133" i="2"/>
  <c r="Q133" i="2" s="1"/>
  <c r="I134" i="2"/>
  <c r="Q134" i="2" s="1"/>
  <c r="I135" i="2"/>
  <c r="Q135" i="2" s="1"/>
  <c r="I136" i="2"/>
  <c r="Q136" i="2" s="1"/>
  <c r="I137" i="2"/>
  <c r="Q137" i="2" s="1"/>
  <c r="I138" i="2"/>
  <c r="Q138" i="2" s="1"/>
  <c r="I139" i="2"/>
  <c r="Q139" i="2" s="1"/>
  <c r="I140" i="2"/>
  <c r="Q140" i="2" s="1"/>
  <c r="I141" i="2"/>
  <c r="Q141" i="2" s="1"/>
  <c r="I142" i="2"/>
  <c r="Q142" i="2" s="1"/>
  <c r="I143" i="2"/>
  <c r="Q143" i="2" s="1"/>
  <c r="I144" i="2"/>
  <c r="Q144" i="2" s="1"/>
  <c r="I145" i="2"/>
  <c r="Q145" i="2" s="1"/>
  <c r="I146" i="2"/>
  <c r="Q146" i="2" s="1"/>
  <c r="I147" i="2"/>
  <c r="Q147" i="2" s="1"/>
  <c r="I148" i="2"/>
  <c r="Q148" i="2" s="1"/>
  <c r="I149" i="2"/>
  <c r="Q149" i="2" s="1"/>
  <c r="I150" i="2"/>
  <c r="Q150" i="2" s="1"/>
  <c r="I151" i="2"/>
  <c r="Q151" i="2" s="1"/>
  <c r="I152" i="2"/>
  <c r="Q152" i="2" s="1"/>
  <c r="I153" i="2"/>
  <c r="Q153" i="2" s="1"/>
  <c r="I154" i="2"/>
  <c r="Q154" i="2" s="1"/>
  <c r="I155" i="2"/>
  <c r="Q155" i="2" s="1"/>
  <c r="I156" i="2"/>
  <c r="Q156" i="2" s="1"/>
  <c r="I157" i="2"/>
  <c r="Q157" i="2" s="1"/>
  <c r="I158" i="2"/>
  <c r="Q158" i="2" s="1"/>
  <c r="I159" i="2"/>
  <c r="Q159" i="2" s="1"/>
  <c r="I160" i="2"/>
  <c r="Q160" i="2" s="1"/>
  <c r="I161" i="2"/>
  <c r="Q161" i="2" s="1"/>
  <c r="I162" i="2"/>
  <c r="Q162" i="2" s="1"/>
  <c r="I163" i="2"/>
  <c r="Q163" i="2" s="1"/>
  <c r="I164" i="2"/>
  <c r="Q164" i="2" s="1"/>
  <c r="I165" i="2"/>
  <c r="Q165" i="2" s="1"/>
  <c r="I166" i="2"/>
  <c r="Q166" i="2" s="1"/>
  <c r="I167" i="2"/>
  <c r="Q167" i="2" s="1"/>
  <c r="I168" i="2"/>
  <c r="Q168" i="2" s="1"/>
  <c r="I169" i="2"/>
  <c r="Q169" i="2" s="1"/>
  <c r="I170" i="2"/>
  <c r="Q170" i="2" s="1"/>
  <c r="I171" i="2"/>
  <c r="Q171" i="2" s="1"/>
  <c r="I172" i="2"/>
  <c r="Q172" i="2" s="1"/>
  <c r="I173" i="2"/>
  <c r="Q173" i="2" s="1"/>
  <c r="I174" i="2"/>
  <c r="Q174" i="2" s="1"/>
  <c r="I175" i="2"/>
  <c r="Q175" i="2" s="1"/>
  <c r="I176" i="2"/>
  <c r="Q176" i="2" s="1"/>
  <c r="I177" i="2"/>
  <c r="Q177" i="2" s="1"/>
  <c r="I178" i="2"/>
  <c r="Q178" i="2" s="1"/>
  <c r="I179" i="2"/>
  <c r="Q179" i="2" s="1"/>
  <c r="I180" i="2"/>
  <c r="Q180" i="2" s="1"/>
  <c r="I181" i="2"/>
  <c r="Q181" i="2" s="1"/>
  <c r="I182" i="2"/>
  <c r="Q182" i="2" s="1"/>
  <c r="I183" i="2"/>
  <c r="Q183" i="2" s="1"/>
  <c r="I184" i="2"/>
  <c r="Q184" i="2" s="1"/>
  <c r="I185" i="2"/>
  <c r="Q185" i="2" s="1"/>
  <c r="I186" i="2"/>
  <c r="Q186" i="2" s="1"/>
  <c r="I187" i="2"/>
  <c r="Q187" i="2" s="1"/>
  <c r="I188" i="2"/>
  <c r="Q188" i="2" s="1"/>
  <c r="I189" i="2"/>
  <c r="Q189" i="2" s="1"/>
  <c r="I190" i="2"/>
  <c r="Q190" i="2" s="1"/>
  <c r="I191" i="2"/>
  <c r="Q191" i="2" s="1"/>
  <c r="I192" i="2"/>
  <c r="Q192" i="2" s="1"/>
  <c r="I193" i="2"/>
  <c r="Q193" i="2" s="1"/>
  <c r="I194" i="2"/>
  <c r="Q194" i="2" s="1"/>
  <c r="I195" i="2"/>
  <c r="Q195" i="2" s="1"/>
  <c r="I196" i="2"/>
  <c r="Q196" i="2" s="1"/>
  <c r="I197" i="2"/>
  <c r="Q197" i="2" s="1"/>
  <c r="I198" i="2"/>
  <c r="Q198" i="2" s="1"/>
  <c r="I199" i="2"/>
  <c r="Q199" i="2" s="1"/>
  <c r="I200" i="2"/>
  <c r="Q200" i="2" s="1"/>
  <c r="I201" i="2"/>
  <c r="Q201" i="2" s="1"/>
  <c r="I202" i="2"/>
  <c r="Q202" i="2" s="1"/>
  <c r="I203" i="2"/>
  <c r="Q203" i="2" s="1"/>
  <c r="I204" i="2"/>
  <c r="Q204" i="2" s="1"/>
  <c r="I205" i="2"/>
  <c r="Q205" i="2" s="1"/>
  <c r="I206" i="2"/>
  <c r="Q206" i="2" s="1"/>
  <c r="I207" i="2"/>
  <c r="Q207" i="2" s="1"/>
  <c r="I208" i="2"/>
  <c r="Q208" i="2" s="1"/>
  <c r="I209" i="2"/>
  <c r="Q209" i="2" s="1"/>
  <c r="I210" i="2"/>
  <c r="Q210" i="2" s="1"/>
  <c r="I211" i="2"/>
  <c r="Q211" i="2" s="1"/>
  <c r="I212" i="2"/>
  <c r="Q212" i="2" s="1"/>
  <c r="I213" i="2"/>
  <c r="Q213" i="2" s="1"/>
  <c r="I214" i="2"/>
  <c r="Q214" i="2" s="1"/>
  <c r="I215" i="2"/>
  <c r="Q215" i="2" s="1"/>
  <c r="I216" i="2"/>
  <c r="Q216" i="2" s="1"/>
  <c r="I217" i="2"/>
  <c r="Q217" i="2" s="1"/>
  <c r="I218" i="2"/>
  <c r="Q218" i="2" s="1"/>
  <c r="I219" i="2"/>
  <c r="Q219" i="2" s="1"/>
  <c r="I220" i="2"/>
  <c r="Q220" i="2" s="1"/>
  <c r="I221" i="2"/>
  <c r="Q221" i="2" s="1"/>
  <c r="I222" i="2"/>
  <c r="Q222" i="2" s="1"/>
  <c r="I223" i="2"/>
  <c r="Q223" i="2" s="1"/>
  <c r="I224" i="2"/>
  <c r="Q224" i="2" s="1"/>
  <c r="I225" i="2"/>
  <c r="Q225" i="2" s="1"/>
  <c r="I226" i="2"/>
  <c r="Q226" i="2" s="1"/>
  <c r="I227" i="2"/>
  <c r="Q227" i="2" s="1"/>
  <c r="I228" i="2"/>
  <c r="Q228" i="2" s="1"/>
  <c r="I229" i="2"/>
  <c r="Q229" i="2" s="1"/>
  <c r="I230" i="2"/>
  <c r="Q230" i="2" s="1"/>
  <c r="I231" i="2"/>
  <c r="Q231" i="2" s="1"/>
  <c r="I232" i="2"/>
  <c r="Q232" i="2" s="1"/>
  <c r="I233" i="2"/>
  <c r="Q233" i="2" s="1"/>
  <c r="I234" i="2"/>
  <c r="Q234" i="2" s="1"/>
  <c r="I235" i="2"/>
  <c r="Q235" i="2" s="1"/>
  <c r="I236" i="2"/>
  <c r="Q236" i="2" s="1"/>
  <c r="I237" i="2"/>
  <c r="Q237" i="2" s="1"/>
  <c r="I238" i="2"/>
  <c r="Q238" i="2" s="1"/>
  <c r="I239" i="2"/>
  <c r="Q239" i="2" s="1"/>
  <c r="I240" i="2"/>
  <c r="Q240" i="2" s="1"/>
  <c r="I241" i="2"/>
  <c r="Q241" i="2" s="1"/>
  <c r="I242" i="2"/>
  <c r="Q242" i="2" s="1"/>
  <c r="I243" i="2"/>
  <c r="Q243" i="2" s="1"/>
  <c r="I244" i="2"/>
  <c r="Q244" i="2" s="1"/>
  <c r="I245" i="2"/>
  <c r="Q245" i="2" s="1"/>
  <c r="I246" i="2"/>
  <c r="Q246" i="2" s="1"/>
  <c r="I247" i="2"/>
  <c r="Q247" i="2" s="1"/>
  <c r="I248" i="2"/>
  <c r="Q248" i="2" s="1"/>
  <c r="I249" i="2"/>
  <c r="Q249" i="2" s="1"/>
  <c r="I250" i="2"/>
  <c r="Q250" i="2" s="1"/>
  <c r="I251" i="2"/>
  <c r="Q251" i="2" s="1"/>
  <c r="I252" i="2"/>
  <c r="Q252" i="2" s="1"/>
  <c r="I253" i="2"/>
  <c r="Q253" i="2" s="1"/>
  <c r="I254" i="2"/>
  <c r="Q254" i="2" s="1"/>
  <c r="I255" i="2"/>
  <c r="Q255" i="2" s="1"/>
  <c r="I256" i="2"/>
  <c r="Q256" i="2" s="1"/>
  <c r="I257" i="2"/>
  <c r="Q257" i="2" s="1"/>
  <c r="I258" i="2"/>
  <c r="Q258" i="2" s="1"/>
  <c r="I259" i="2"/>
  <c r="Q259" i="2" s="1"/>
  <c r="I260" i="2"/>
  <c r="Q260" i="2" s="1"/>
  <c r="I261" i="2"/>
  <c r="Q261" i="2" s="1"/>
  <c r="I262" i="2"/>
  <c r="Q262" i="2" s="1"/>
  <c r="I263" i="2"/>
  <c r="Q263" i="2" s="1"/>
  <c r="I264" i="2"/>
  <c r="Q264" i="2" s="1"/>
  <c r="I265" i="2"/>
  <c r="Q265" i="2" s="1"/>
  <c r="I266" i="2"/>
  <c r="Q266" i="2" s="1"/>
  <c r="I267" i="2"/>
  <c r="Q267" i="2" s="1"/>
  <c r="I268" i="2"/>
  <c r="Q268" i="2" s="1"/>
  <c r="I269" i="2"/>
  <c r="Q269" i="2" s="1"/>
  <c r="I270" i="2"/>
  <c r="Q270" i="2" s="1"/>
  <c r="I271" i="2"/>
  <c r="Q271" i="2" s="1"/>
  <c r="I272" i="2"/>
  <c r="Q272" i="2" s="1"/>
  <c r="I273" i="2"/>
  <c r="Q273" i="2" s="1"/>
  <c r="I274" i="2"/>
  <c r="Q274" i="2" s="1"/>
  <c r="I275" i="2"/>
  <c r="Q275" i="2" s="1"/>
  <c r="I276" i="2"/>
  <c r="Q276" i="2" s="1"/>
  <c r="I277" i="2"/>
  <c r="Q277" i="2" s="1"/>
  <c r="I278" i="2"/>
  <c r="Q278" i="2" s="1"/>
  <c r="I279" i="2"/>
  <c r="Q279" i="2" s="1"/>
  <c r="I280" i="2"/>
  <c r="Q280" i="2" s="1"/>
  <c r="I281" i="2"/>
  <c r="Q281" i="2" s="1"/>
  <c r="I282" i="2"/>
  <c r="Q282" i="2" s="1"/>
  <c r="I283" i="2"/>
  <c r="Q283" i="2" s="1"/>
  <c r="I284" i="2"/>
  <c r="Q284" i="2" s="1"/>
  <c r="I285" i="2"/>
  <c r="Q285" i="2" s="1"/>
  <c r="I286" i="2"/>
  <c r="Q286" i="2" s="1"/>
  <c r="I287" i="2"/>
  <c r="Q287" i="2" s="1"/>
  <c r="I288" i="2"/>
  <c r="Q288" i="2" s="1"/>
  <c r="I289" i="2"/>
  <c r="Q289" i="2" s="1"/>
  <c r="I290" i="2"/>
  <c r="Q290" i="2" s="1"/>
  <c r="I291" i="2"/>
  <c r="Q291" i="2" s="1"/>
  <c r="I292" i="2"/>
  <c r="Q292" i="2" s="1"/>
  <c r="I293" i="2"/>
  <c r="Q293" i="2" s="1"/>
  <c r="I294" i="2"/>
  <c r="Q294" i="2" s="1"/>
  <c r="I295" i="2"/>
  <c r="Q295" i="2" s="1"/>
  <c r="I296" i="2"/>
  <c r="Q296" i="2" s="1"/>
  <c r="I297" i="2"/>
  <c r="Q297" i="2" s="1"/>
  <c r="I298" i="2"/>
  <c r="Q298" i="2" s="1"/>
  <c r="I299" i="2"/>
  <c r="Q299" i="2" s="1"/>
  <c r="I300" i="2"/>
  <c r="Q300" i="2" s="1"/>
  <c r="I301" i="2"/>
  <c r="Q301" i="2" s="1"/>
  <c r="I302" i="2"/>
  <c r="Q302" i="2" s="1"/>
  <c r="I303" i="2"/>
  <c r="Q303" i="2" s="1"/>
  <c r="I304" i="2"/>
  <c r="Q304" i="2" s="1"/>
  <c r="I305" i="2"/>
  <c r="Q305" i="2" s="1"/>
  <c r="I306" i="2"/>
  <c r="Q306" i="2" s="1"/>
  <c r="I307" i="2"/>
  <c r="Q307" i="2" s="1"/>
  <c r="I308" i="2"/>
  <c r="Q308" i="2" s="1"/>
  <c r="I309" i="2"/>
  <c r="Q309" i="2" s="1"/>
  <c r="I310" i="2"/>
  <c r="Q310" i="2" s="1"/>
  <c r="I311" i="2"/>
  <c r="Q311" i="2" s="1"/>
  <c r="I312" i="2"/>
  <c r="Q312" i="2" s="1"/>
  <c r="I313" i="2"/>
  <c r="Q313" i="2" s="1"/>
  <c r="I314" i="2"/>
  <c r="Q314" i="2" s="1"/>
  <c r="I315" i="2"/>
  <c r="Q315" i="2" s="1"/>
  <c r="I316" i="2"/>
  <c r="Q316" i="2" s="1"/>
  <c r="I317" i="2"/>
  <c r="Q317" i="2" s="1"/>
  <c r="I318" i="2"/>
  <c r="Q318" i="2" s="1"/>
  <c r="I319" i="2"/>
  <c r="Q319" i="2" s="1"/>
  <c r="I320" i="2"/>
  <c r="Q320" i="2" s="1"/>
  <c r="I321" i="2"/>
  <c r="Q321" i="2" s="1"/>
  <c r="I322" i="2"/>
  <c r="Q322" i="2" s="1"/>
  <c r="I323" i="2"/>
  <c r="Q323" i="2" s="1"/>
  <c r="I324" i="2"/>
  <c r="Q324" i="2" s="1"/>
  <c r="I325" i="2"/>
  <c r="Q325" i="2" s="1"/>
  <c r="I326" i="2"/>
  <c r="Q326" i="2" s="1"/>
  <c r="I327" i="2"/>
  <c r="Q327" i="2" s="1"/>
  <c r="I328" i="2"/>
  <c r="Q328" i="2" s="1"/>
  <c r="I329" i="2"/>
  <c r="Q329" i="2" s="1"/>
  <c r="I330" i="2"/>
  <c r="Q330" i="2" s="1"/>
  <c r="I331" i="2"/>
  <c r="Q331" i="2" s="1"/>
  <c r="I332" i="2"/>
  <c r="Q332" i="2" s="1"/>
  <c r="I333" i="2"/>
  <c r="Q333" i="2" s="1"/>
  <c r="I334" i="2"/>
  <c r="Q334" i="2" s="1"/>
  <c r="I335" i="2"/>
  <c r="Q335" i="2" s="1"/>
  <c r="I336" i="2"/>
  <c r="Q336" i="2" s="1"/>
  <c r="I337" i="2"/>
  <c r="Q337" i="2" s="1"/>
  <c r="I338" i="2"/>
  <c r="Q338" i="2" s="1"/>
  <c r="I339" i="2"/>
  <c r="Q339" i="2" s="1"/>
  <c r="I340" i="2"/>
  <c r="Q340" i="2" s="1"/>
  <c r="I341" i="2"/>
  <c r="Q341" i="2" s="1"/>
  <c r="I342" i="2"/>
  <c r="Q342" i="2" s="1"/>
  <c r="I343" i="2"/>
  <c r="Q343" i="2" s="1"/>
  <c r="I344" i="2"/>
  <c r="Q344" i="2" s="1"/>
  <c r="I345" i="2"/>
  <c r="Q345" i="2" s="1"/>
  <c r="I346" i="2"/>
  <c r="Q346" i="2" s="1"/>
  <c r="I347" i="2"/>
  <c r="Q347" i="2" s="1"/>
  <c r="I348" i="2"/>
  <c r="Q348" i="2" s="1"/>
  <c r="I349" i="2"/>
  <c r="Q349" i="2" s="1"/>
  <c r="I350" i="2"/>
  <c r="Q350" i="2" s="1"/>
  <c r="I351" i="2"/>
  <c r="Q351" i="2" s="1"/>
  <c r="I352" i="2"/>
  <c r="Q352" i="2" s="1"/>
  <c r="I353" i="2"/>
  <c r="Q353" i="2" s="1"/>
  <c r="I354" i="2"/>
  <c r="Q354" i="2" s="1"/>
  <c r="I355" i="2"/>
  <c r="Q355" i="2" s="1"/>
  <c r="I356" i="2"/>
  <c r="Q356" i="2" s="1"/>
  <c r="I357" i="2"/>
  <c r="Q357" i="2" s="1"/>
  <c r="I358" i="2"/>
  <c r="Q358" i="2" s="1"/>
  <c r="I359" i="2"/>
  <c r="Q359" i="2" s="1"/>
  <c r="I360" i="2"/>
  <c r="Q360" i="2" s="1"/>
  <c r="I361" i="2"/>
  <c r="Q361" i="2" s="1"/>
  <c r="I362" i="2"/>
  <c r="Q362" i="2" s="1"/>
  <c r="I363" i="2"/>
  <c r="Q363" i="2" s="1"/>
  <c r="I364" i="2"/>
  <c r="Q364" i="2" s="1"/>
  <c r="I365" i="2"/>
  <c r="Q365" i="2" s="1"/>
  <c r="I366" i="2"/>
  <c r="Q366" i="2" s="1"/>
  <c r="I367" i="2"/>
  <c r="Q367" i="2" s="1"/>
  <c r="I368" i="2"/>
  <c r="Q368" i="2" s="1"/>
  <c r="I369" i="2"/>
  <c r="Q369" i="2" s="1"/>
  <c r="I370" i="2"/>
  <c r="Q370" i="2" s="1"/>
  <c r="I371" i="2"/>
  <c r="Q371" i="2" s="1"/>
  <c r="I372" i="2"/>
  <c r="Q372" i="2" s="1"/>
  <c r="I373" i="2"/>
  <c r="Q373" i="2" s="1"/>
  <c r="I374" i="2"/>
  <c r="Q374" i="2" s="1"/>
  <c r="I375" i="2"/>
  <c r="Q375" i="2" s="1"/>
  <c r="I376" i="2"/>
  <c r="Q376" i="2" s="1"/>
  <c r="I377" i="2"/>
  <c r="Q377" i="2" s="1"/>
  <c r="I378" i="2"/>
  <c r="Q378" i="2" s="1"/>
  <c r="I379" i="2"/>
  <c r="Q379" i="2" s="1"/>
  <c r="I380" i="2"/>
  <c r="Q380" i="2" s="1"/>
  <c r="I381" i="2"/>
  <c r="Q381" i="2" s="1"/>
  <c r="I382" i="2"/>
  <c r="Q382" i="2" s="1"/>
  <c r="I383" i="2"/>
  <c r="Q383" i="2" s="1"/>
  <c r="I384" i="2"/>
  <c r="Q384" i="2" s="1"/>
  <c r="I385" i="2"/>
  <c r="Q385" i="2" s="1"/>
  <c r="I386" i="2"/>
  <c r="Q386" i="2" s="1"/>
  <c r="I387" i="2"/>
  <c r="Q387" i="2" s="1"/>
  <c r="I388" i="2"/>
  <c r="Q388" i="2" s="1"/>
  <c r="I389" i="2"/>
  <c r="Q389" i="2" s="1"/>
  <c r="I390" i="2"/>
  <c r="Q390" i="2" s="1"/>
  <c r="I391" i="2"/>
  <c r="Q391" i="2" s="1"/>
  <c r="I392" i="2"/>
  <c r="Q392" i="2" s="1"/>
  <c r="I393" i="2"/>
  <c r="Q393" i="2" s="1"/>
  <c r="I394" i="2"/>
  <c r="Q394" i="2" s="1"/>
  <c r="I395" i="2"/>
  <c r="Q395" i="2" s="1"/>
  <c r="I396" i="2"/>
  <c r="Q396" i="2" s="1"/>
  <c r="I397" i="2"/>
  <c r="Q397" i="2" s="1"/>
  <c r="I398" i="2"/>
  <c r="Q398" i="2" s="1"/>
  <c r="I399" i="2"/>
  <c r="Q399" i="2" s="1"/>
  <c r="I400" i="2"/>
  <c r="Q400" i="2" s="1"/>
  <c r="I401" i="2"/>
  <c r="Q401" i="2" s="1"/>
  <c r="I402" i="2"/>
  <c r="Q402" i="2" s="1"/>
  <c r="I403" i="2"/>
  <c r="Q403" i="2" s="1"/>
  <c r="I404" i="2"/>
  <c r="Q404" i="2" s="1"/>
  <c r="I405" i="2"/>
  <c r="Q405" i="2" s="1"/>
  <c r="I406" i="2"/>
  <c r="Q406" i="2" s="1"/>
  <c r="I407" i="2"/>
  <c r="Q407" i="2" s="1"/>
  <c r="I408" i="2"/>
  <c r="Q408" i="2" s="1"/>
  <c r="I409" i="2"/>
  <c r="Q409" i="2" s="1"/>
  <c r="I410" i="2"/>
  <c r="Q410" i="2" s="1"/>
  <c r="I411" i="2"/>
  <c r="Q411" i="2" s="1"/>
  <c r="I412" i="2"/>
  <c r="Q412" i="2" s="1"/>
  <c r="I413" i="2"/>
  <c r="Q413" i="2" s="1"/>
  <c r="I414" i="2"/>
  <c r="Q414" i="2" s="1"/>
  <c r="I415" i="2"/>
  <c r="Q415" i="2" s="1"/>
  <c r="I416" i="2"/>
  <c r="Q416" i="2" s="1"/>
  <c r="I417" i="2"/>
  <c r="Q417" i="2" s="1"/>
  <c r="I418" i="2"/>
  <c r="Q418" i="2" s="1"/>
  <c r="I419" i="2"/>
  <c r="Q419" i="2" s="1"/>
  <c r="I420" i="2"/>
  <c r="Q420" i="2" s="1"/>
  <c r="I421" i="2"/>
  <c r="Q421" i="2" s="1"/>
  <c r="I422" i="2"/>
  <c r="Q422" i="2" s="1"/>
  <c r="I423" i="2"/>
  <c r="Q423" i="2" s="1"/>
  <c r="I424" i="2"/>
  <c r="Q424" i="2" s="1"/>
  <c r="I425" i="2"/>
  <c r="Q425" i="2" s="1"/>
  <c r="I426" i="2"/>
  <c r="Q426" i="2" s="1"/>
  <c r="I427" i="2"/>
  <c r="Q427" i="2" s="1"/>
  <c r="I428" i="2"/>
  <c r="Q428" i="2" s="1"/>
  <c r="I429" i="2"/>
  <c r="Q429" i="2" s="1"/>
  <c r="I430" i="2"/>
  <c r="Q430" i="2" s="1"/>
  <c r="I431" i="2"/>
  <c r="Q431" i="2" s="1"/>
  <c r="I432" i="2"/>
  <c r="Q432" i="2" s="1"/>
  <c r="I433" i="2"/>
  <c r="Q433" i="2" s="1"/>
  <c r="I434" i="2"/>
  <c r="Q434" i="2" s="1"/>
  <c r="I435" i="2"/>
  <c r="Q435" i="2" s="1"/>
  <c r="I436" i="2"/>
  <c r="Q436" i="2" s="1"/>
  <c r="I437" i="2"/>
  <c r="Q437" i="2" s="1"/>
  <c r="I438" i="2"/>
  <c r="Q438" i="2" s="1"/>
  <c r="I439" i="2"/>
  <c r="Q439" i="2" s="1"/>
  <c r="I440" i="2"/>
  <c r="Q440" i="2" s="1"/>
  <c r="I441" i="2"/>
  <c r="Q441" i="2" s="1"/>
  <c r="I442" i="2"/>
  <c r="Q442" i="2" s="1"/>
  <c r="I443" i="2"/>
  <c r="Q443" i="2" s="1"/>
  <c r="I444" i="2"/>
  <c r="Q444" i="2" s="1"/>
  <c r="I445" i="2"/>
  <c r="Q445" i="2" s="1"/>
  <c r="I446" i="2"/>
  <c r="Q446" i="2" s="1"/>
  <c r="I447" i="2"/>
  <c r="Q447" i="2" s="1"/>
  <c r="I448" i="2"/>
  <c r="Q448" i="2" s="1"/>
  <c r="I449" i="2"/>
  <c r="Q449" i="2" s="1"/>
  <c r="I450" i="2"/>
  <c r="Q450" i="2" s="1"/>
  <c r="I451" i="2"/>
  <c r="Q451" i="2" s="1"/>
  <c r="I452" i="2"/>
  <c r="Q452" i="2" s="1"/>
  <c r="I453" i="2"/>
  <c r="Q453" i="2" s="1"/>
  <c r="I454" i="2"/>
  <c r="Q454" i="2" s="1"/>
  <c r="I455" i="2"/>
  <c r="Q455" i="2" s="1"/>
  <c r="I456" i="2"/>
  <c r="Q456" i="2" s="1"/>
  <c r="I457" i="2"/>
  <c r="Q457" i="2" s="1"/>
  <c r="I458" i="2"/>
  <c r="Q458" i="2" s="1"/>
  <c r="I459" i="2"/>
  <c r="Q459" i="2" s="1"/>
  <c r="I460" i="2"/>
  <c r="Q460" i="2" s="1"/>
  <c r="I461" i="2"/>
  <c r="Q461" i="2" s="1"/>
  <c r="I462" i="2"/>
  <c r="Q462" i="2" s="1"/>
  <c r="I463" i="2"/>
  <c r="Q463" i="2" s="1"/>
  <c r="I464" i="2"/>
  <c r="Q464" i="2" s="1"/>
  <c r="I465" i="2"/>
  <c r="Q465" i="2" s="1"/>
  <c r="I466" i="2"/>
  <c r="Q466" i="2" s="1"/>
  <c r="I467" i="2"/>
  <c r="Q467" i="2" s="1"/>
  <c r="I468" i="2"/>
  <c r="Q468" i="2" s="1"/>
  <c r="I469" i="2"/>
  <c r="Q469" i="2" s="1"/>
  <c r="I470" i="2"/>
  <c r="Q470" i="2" s="1"/>
  <c r="I471" i="2"/>
  <c r="Q471" i="2" s="1"/>
  <c r="I472" i="2"/>
  <c r="Q472" i="2" s="1"/>
  <c r="I473" i="2"/>
  <c r="Q473" i="2" s="1"/>
  <c r="I474" i="2"/>
  <c r="Q474" i="2" s="1"/>
  <c r="I475" i="2"/>
  <c r="Q475" i="2" s="1"/>
  <c r="I476" i="2"/>
  <c r="Q476" i="2" s="1"/>
  <c r="I477" i="2"/>
  <c r="Q477" i="2" s="1"/>
  <c r="I478" i="2"/>
  <c r="Q478" i="2" s="1"/>
  <c r="I479" i="2"/>
  <c r="Q479" i="2" s="1"/>
  <c r="I480" i="2"/>
  <c r="Q480" i="2" s="1"/>
  <c r="I481" i="2"/>
  <c r="Q481" i="2" s="1"/>
  <c r="I482" i="2"/>
  <c r="Q482" i="2" s="1"/>
  <c r="I483" i="2"/>
  <c r="Q483" i="2" s="1"/>
  <c r="I484" i="2"/>
  <c r="Q484" i="2" s="1"/>
  <c r="I485" i="2"/>
  <c r="Q485" i="2" s="1"/>
  <c r="I486" i="2"/>
  <c r="Q486" i="2" s="1"/>
  <c r="I487" i="2"/>
  <c r="Q487" i="2" s="1"/>
  <c r="I488" i="2"/>
  <c r="Q488" i="2" s="1"/>
  <c r="I489" i="2"/>
  <c r="Q489" i="2" s="1"/>
  <c r="I490" i="2"/>
  <c r="Q490" i="2" s="1"/>
  <c r="I491" i="2"/>
  <c r="Q491" i="2" s="1"/>
  <c r="I492" i="2"/>
  <c r="Q492" i="2" s="1"/>
  <c r="I493" i="2"/>
  <c r="Q493" i="2" s="1"/>
  <c r="I494" i="2"/>
  <c r="Q494" i="2" s="1"/>
  <c r="I495" i="2"/>
  <c r="Q495" i="2" s="1"/>
  <c r="I496" i="2"/>
  <c r="Q496" i="2" s="1"/>
  <c r="I497" i="2"/>
  <c r="Q497" i="2" s="1"/>
  <c r="I498" i="2"/>
  <c r="Q498" i="2" s="1"/>
  <c r="I499" i="2"/>
  <c r="Q499" i="2" s="1"/>
  <c r="I500" i="2"/>
  <c r="Q500" i="2" s="1"/>
  <c r="I501" i="2"/>
  <c r="Q501" i="2" s="1"/>
  <c r="I2" i="2"/>
  <c r="K5" i="17" s="1"/>
  <c r="A501" i="5"/>
  <c r="C501" i="5" s="1"/>
  <c r="D501" i="5" s="1"/>
  <c r="A500" i="5"/>
  <c r="C500" i="5" s="1"/>
  <c r="D500" i="5" s="1"/>
  <c r="A499" i="5"/>
  <c r="C499" i="5" s="1"/>
  <c r="D499" i="5" s="1"/>
  <c r="A498" i="5"/>
  <c r="C498" i="5" s="1"/>
  <c r="D498" i="5" s="1"/>
  <c r="A497" i="5"/>
  <c r="C497" i="5" s="1"/>
  <c r="D497" i="5" s="1"/>
  <c r="A496" i="5"/>
  <c r="C496" i="5" s="1"/>
  <c r="D496" i="5" s="1"/>
  <c r="A495" i="5"/>
  <c r="C495" i="5" s="1"/>
  <c r="D495" i="5" s="1"/>
  <c r="A494" i="5"/>
  <c r="C494" i="5" s="1"/>
  <c r="D494" i="5" s="1"/>
  <c r="A493" i="5"/>
  <c r="A492" i="5"/>
  <c r="C492" i="5" s="1"/>
  <c r="D492" i="5" s="1"/>
  <c r="A491" i="5"/>
  <c r="A490" i="5"/>
  <c r="C490" i="5" s="1"/>
  <c r="D490" i="5" s="1"/>
  <c r="A489" i="5"/>
  <c r="C489" i="5" s="1"/>
  <c r="D489" i="5" s="1"/>
  <c r="A488" i="5"/>
  <c r="C488" i="5" s="1"/>
  <c r="D488" i="5" s="1"/>
  <c r="A487" i="5"/>
  <c r="C487" i="5" s="1"/>
  <c r="D487" i="5" s="1"/>
  <c r="A486" i="5"/>
  <c r="C486" i="5" s="1"/>
  <c r="D486" i="5" s="1"/>
  <c r="A485" i="5"/>
  <c r="C485" i="5" s="1"/>
  <c r="D485" i="5" s="1"/>
  <c r="A484" i="5"/>
  <c r="C484" i="5" s="1"/>
  <c r="D484" i="5" s="1"/>
  <c r="A483" i="5"/>
  <c r="C483" i="5" s="1"/>
  <c r="D483" i="5" s="1"/>
  <c r="A482" i="5"/>
  <c r="C482" i="5" s="1"/>
  <c r="D482" i="5" s="1"/>
  <c r="A481" i="5"/>
  <c r="C481" i="5" s="1"/>
  <c r="D481" i="5" s="1"/>
  <c r="A480" i="5"/>
  <c r="C480" i="5" s="1"/>
  <c r="D480" i="5" s="1"/>
  <c r="A479" i="5"/>
  <c r="C479" i="5" s="1"/>
  <c r="D479" i="5" s="1"/>
  <c r="A478" i="5"/>
  <c r="C478" i="5" s="1"/>
  <c r="D478" i="5" s="1"/>
  <c r="A477" i="5"/>
  <c r="A476" i="5"/>
  <c r="C476" i="5" s="1"/>
  <c r="D476" i="5" s="1"/>
  <c r="A475" i="5"/>
  <c r="A474" i="5"/>
  <c r="C474" i="5" s="1"/>
  <c r="D474" i="5" s="1"/>
  <c r="A473" i="5"/>
  <c r="C473" i="5" s="1"/>
  <c r="D473" i="5" s="1"/>
  <c r="A472" i="5"/>
  <c r="C472" i="5" s="1"/>
  <c r="D472" i="5" s="1"/>
  <c r="A471" i="5"/>
  <c r="C471" i="5" s="1"/>
  <c r="D471" i="5" s="1"/>
  <c r="A470" i="5"/>
  <c r="C470" i="5" s="1"/>
  <c r="D470" i="5" s="1"/>
  <c r="A469" i="5"/>
  <c r="C469" i="5" s="1"/>
  <c r="D469" i="5" s="1"/>
  <c r="A468" i="5"/>
  <c r="C468" i="5" s="1"/>
  <c r="D468" i="5" s="1"/>
  <c r="A467" i="5"/>
  <c r="C467" i="5" s="1"/>
  <c r="D467" i="5" s="1"/>
  <c r="A466" i="5"/>
  <c r="C466" i="5" s="1"/>
  <c r="D466" i="5" s="1"/>
  <c r="A465" i="5"/>
  <c r="C465" i="5" s="1"/>
  <c r="D465" i="5" s="1"/>
  <c r="A464" i="5"/>
  <c r="C464" i="5" s="1"/>
  <c r="D464" i="5" s="1"/>
  <c r="A463" i="5"/>
  <c r="C463" i="5" s="1"/>
  <c r="D463" i="5" s="1"/>
  <c r="A462" i="5"/>
  <c r="C462" i="5" s="1"/>
  <c r="D462" i="5" s="1"/>
  <c r="A461" i="5"/>
  <c r="A460" i="5"/>
  <c r="C460" i="5" s="1"/>
  <c r="D460" i="5" s="1"/>
  <c r="A459" i="5"/>
  <c r="A458" i="5"/>
  <c r="C458" i="5" s="1"/>
  <c r="D458" i="5" s="1"/>
  <c r="A457" i="5"/>
  <c r="C457" i="5" s="1"/>
  <c r="D457" i="5" s="1"/>
  <c r="A456" i="5"/>
  <c r="C456" i="5" s="1"/>
  <c r="D456" i="5" s="1"/>
  <c r="A455" i="5"/>
  <c r="C455" i="5" s="1"/>
  <c r="D455" i="5" s="1"/>
  <c r="A454" i="5"/>
  <c r="C454" i="5" s="1"/>
  <c r="D454" i="5" s="1"/>
  <c r="A453" i="5"/>
  <c r="C453" i="5" s="1"/>
  <c r="D453" i="5" s="1"/>
  <c r="A452" i="5"/>
  <c r="C452" i="5" s="1"/>
  <c r="D452" i="5" s="1"/>
  <c r="A451" i="5"/>
  <c r="C451" i="5" s="1"/>
  <c r="D451" i="5" s="1"/>
  <c r="A450" i="5"/>
  <c r="C450" i="5" s="1"/>
  <c r="D450" i="5" s="1"/>
  <c r="A449" i="5"/>
  <c r="C449" i="5" s="1"/>
  <c r="D449" i="5" s="1"/>
  <c r="A448" i="5"/>
  <c r="C448" i="5" s="1"/>
  <c r="D448" i="5" s="1"/>
  <c r="A447" i="5"/>
  <c r="C447" i="5" s="1"/>
  <c r="D447" i="5" s="1"/>
  <c r="A446" i="5"/>
  <c r="C446" i="5" s="1"/>
  <c r="D446" i="5" s="1"/>
  <c r="A445" i="5"/>
  <c r="A444" i="5"/>
  <c r="C444" i="5" s="1"/>
  <c r="D444" i="5" s="1"/>
  <c r="A443" i="5"/>
  <c r="A442" i="5"/>
  <c r="C442" i="5" s="1"/>
  <c r="D442" i="5" s="1"/>
  <c r="A441" i="5"/>
  <c r="C441" i="5" s="1"/>
  <c r="D441" i="5" s="1"/>
  <c r="A440" i="5"/>
  <c r="C440" i="5" s="1"/>
  <c r="D440" i="5" s="1"/>
  <c r="A439" i="5"/>
  <c r="C439" i="5" s="1"/>
  <c r="D439" i="5" s="1"/>
  <c r="A438" i="5"/>
  <c r="C438" i="5" s="1"/>
  <c r="D438" i="5" s="1"/>
  <c r="A437" i="5"/>
  <c r="C437" i="5" s="1"/>
  <c r="D437" i="5" s="1"/>
  <c r="A436" i="5"/>
  <c r="C436" i="5" s="1"/>
  <c r="D436" i="5" s="1"/>
  <c r="A435" i="5"/>
  <c r="C435" i="5" s="1"/>
  <c r="D435" i="5" s="1"/>
  <c r="A434" i="5"/>
  <c r="C434" i="5" s="1"/>
  <c r="D434" i="5" s="1"/>
  <c r="A433" i="5"/>
  <c r="C433" i="5" s="1"/>
  <c r="D433" i="5" s="1"/>
  <c r="A432" i="5"/>
  <c r="C432" i="5" s="1"/>
  <c r="D432" i="5" s="1"/>
  <c r="A431" i="5"/>
  <c r="C431" i="5" s="1"/>
  <c r="D431" i="5" s="1"/>
  <c r="A430" i="5"/>
  <c r="C430" i="5" s="1"/>
  <c r="D430" i="5" s="1"/>
  <c r="A429" i="5"/>
  <c r="A428" i="5"/>
  <c r="C428" i="5" s="1"/>
  <c r="D428" i="5" s="1"/>
  <c r="A427" i="5"/>
  <c r="A426" i="5"/>
  <c r="C426" i="5" s="1"/>
  <c r="D426" i="5" s="1"/>
  <c r="A425" i="5"/>
  <c r="C425" i="5" s="1"/>
  <c r="D425" i="5" s="1"/>
  <c r="A424" i="5"/>
  <c r="C424" i="5" s="1"/>
  <c r="D424" i="5" s="1"/>
  <c r="A423" i="5"/>
  <c r="C423" i="5" s="1"/>
  <c r="D423" i="5" s="1"/>
  <c r="A422" i="5"/>
  <c r="C422" i="5" s="1"/>
  <c r="D422" i="5" s="1"/>
  <c r="A421" i="5"/>
  <c r="C421" i="5" s="1"/>
  <c r="D421" i="5" s="1"/>
  <c r="A420" i="5"/>
  <c r="C420" i="5" s="1"/>
  <c r="D420" i="5" s="1"/>
  <c r="A419" i="5"/>
  <c r="C419" i="5" s="1"/>
  <c r="D419" i="5" s="1"/>
  <c r="A418" i="5"/>
  <c r="C418" i="5" s="1"/>
  <c r="D418" i="5" s="1"/>
  <c r="A417" i="5"/>
  <c r="C417" i="5" s="1"/>
  <c r="D417" i="5" s="1"/>
  <c r="A416" i="5"/>
  <c r="C416" i="5" s="1"/>
  <c r="D416" i="5" s="1"/>
  <c r="A415" i="5"/>
  <c r="C415" i="5" s="1"/>
  <c r="D415" i="5" s="1"/>
  <c r="A414" i="5"/>
  <c r="C414" i="5" s="1"/>
  <c r="D414" i="5" s="1"/>
  <c r="A413" i="5"/>
  <c r="A412" i="5"/>
  <c r="C412" i="5" s="1"/>
  <c r="D412" i="5" s="1"/>
  <c r="A411" i="5"/>
  <c r="A410" i="5"/>
  <c r="C410" i="5" s="1"/>
  <c r="D410" i="5" s="1"/>
  <c r="A409" i="5"/>
  <c r="C409" i="5" s="1"/>
  <c r="D409" i="5" s="1"/>
  <c r="A408" i="5"/>
  <c r="C408" i="5" s="1"/>
  <c r="D408" i="5" s="1"/>
  <c r="A407" i="5"/>
  <c r="C407" i="5" s="1"/>
  <c r="D407" i="5" s="1"/>
  <c r="A406" i="5"/>
  <c r="C406" i="5" s="1"/>
  <c r="D406" i="5" s="1"/>
  <c r="A405" i="5"/>
  <c r="C405" i="5" s="1"/>
  <c r="D405" i="5" s="1"/>
  <c r="A404" i="5"/>
  <c r="C404" i="5" s="1"/>
  <c r="D404" i="5" s="1"/>
  <c r="A403" i="5"/>
  <c r="C403" i="5" s="1"/>
  <c r="D403" i="5" s="1"/>
  <c r="A402" i="5"/>
  <c r="C402" i="5" s="1"/>
  <c r="D402" i="5" s="1"/>
  <c r="A401" i="5"/>
  <c r="C401" i="5" s="1"/>
  <c r="D401" i="5" s="1"/>
  <c r="A400" i="5"/>
  <c r="C400" i="5" s="1"/>
  <c r="D400" i="5" s="1"/>
  <c r="A399" i="5"/>
  <c r="C399" i="5" s="1"/>
  <c r="D399" i="5" s="1"/>
  <c r="A398" i="5"/>
  <c r="C398" i="5" s="1"/>
  <c r="D398" i="5" s="1"/>
  <c r="A397" i="5"/>
  <c r="A396" i="5"/>
  <c r="C396" i="5" s="1"/>
  <c r="D396" i="5" s="1"/>
  <c r="A395" i="5"/>
  <c r="A394" i="5"/>
  <c r="C394" i="5" s="1"/>
  <c r="D394" i="5" s="1"/>
  <c r="A393" i="5"/>
  <c r="C393" i="5" s="1"/>
  <c r="D393" i="5" s="1"/>
  <c r="A392" i="5"/>
  <c r="C392" i="5" s="1"/>
  <c r="D392" i="5" s="1"/>
  <c r="A391" i="5"/>
  <c r="C391" i="5" s="1"/>
  <c r="D391" i="5" s="1"/>
  <c r="A390" i="5"/>
  <c r="C390" i="5" s="1"/>
  <c r="D390" i="5" s="1"/>
  <c r="A389" i="5"/>
  <c r="C389" i="5" s="1"/>
  <c r="D389" i="5" s="1"/>
  <c r="A388" i="5"/>
  <c r="C388" i="5" s="1"/>
  <c r="D388" i="5" s="1"/>
  <c r="A387" i="5"/>
  <c r="C387" i="5" s="1"/>
  <c r="D387" i="5" s="1"/>
  <c r="A386" i="5"/>
  <c r="C386" i="5" s="1"/>
  <c r="D386" i="5" s="1"/>
  <c r="A385" i="5"/>
  <c r="C385" i="5" s="1"/>
  <c r="D385" i="5" s="1"/>
  <c r="A384" i="5"/>
  <c r="C384" i="5" s="1"/>
  <c r="D384" i="5" s="1"/>
  <c r="A383" i="5"/>
  <c r="C383" i="5" s="1"/>
  <c r="D383" i="5" s="1"/>
  <c r="A382" i="5"/>
  <c r="C382" i="5" s="1"/>
  <c r="D382" i="5" s="1"/>
  <c r="A381" i="5"/>
  <c r="A380" i="5"/>
  <c r="C380" i="5" s="1"/>
  <c r="D380" i="5" s="1"/>
  <c r="A379" i="5"/>
  <c r="A378" i="5"/>
  <c r="C378" i="5" s="1"/>
  <c r="D378" i="5" s="1"/>
  <c r="A377" i="5"/>
  <c r="C377" i="5" s="1"/>
  <c r="D377" i="5" s="1"/>
  <c r="A376" i="5"/>
  <c r="C376" i="5" s="1"/>
  <c r="D376" i="5" s="1"/>
  <c r="A375" i="5"/>
  <c r="C375" i="5" s="1"/>
  <c r="D375" i="5" s="1"/>
  <c r="A374" i="5"/>
  <c r="C374" i="5" s="1"/>
  <c r="D374" i="5" s="1"/>
  <c r="A373" i="5"/>
  <c r="C373" i="5" s="1"/>
  <c r="D373" i="5" s="1"/>
  <c r="A372" i="5"/>
  <c r="C372" i="5" s="1"/>
  <c r="D372" i="5" s="1"/>
  <c r="A371" i="5"/>
  <c r="C371" i="5" s="1"/>
  <c r="D371" i="5" s="1"/>
  <c r="A370" i="5"/>
  <c r="C370" i="5" s="1"/>
  <c r="D370" i="5" s="1"/>
  <c r="A369" i="5"/>
  <c r="C369" i="5" s="1"/>
  <c r="D369" i="5" s="1"/>
  <c r="A368" i="5"/>
  <c r="C368" i="5" s="1"/>
  <c r="D368" i="5" s="1"/>
  <c r="A367" i="5"/>
  <c r="C367" i="5" s="1"/>
  <c r="D367" i="5" s="1"/>
  <c r="A366" i="5"/>
  <c r="C366" i="5" s="1"/>
  <c r="D366" i="5" s="1"/>
  <c r="A365" i="5"/>
  <c r="A364" i="5"/>
  <c r="C364" i="5" s="1"/>
  <c r="D364" i="5" s="1"/>
  <c r="A363" i="5"/>
  <c r="A362" i="5"/>
  <c r="C362" i="5" s="1"/>
  <c r="D362" i="5" s="1"/>
  <c r="A361" i="5"/>
  <c r="C361" i="5" s="1"/>
  <c r="D361" i="5" s="1"/>
  <c r="A360" i="5"/>
  <c r="C360" i="5" s="1"/>
  <c r="D360" i="5" s="1"/>
  <c r="A359" i="5"/>
  <c r="C359" i="5" s="1"/>
  <c r="D359" i="5" s="1"/>
  <c r="A358" i="5"/>
  <c r="C358" i="5" s="1"/>
  <c r="D358" i="5" s="1"/>
  <c r="A357" i="5"/>
  <c r="C357" i="5" s="1"/>
  <c r="D357" i="5" s="1"/>
  <c r="A356" i="5"/>
  <c r="C356" i="5" s="1"/>
  <c r="D356" i="5" s="1"/>
  <c r="A355" i="5"/>
  <c r="C355" i="5" s="1"/>
  <c r="D355" i="5" s="1"/>
  <c r="A354" i="5"/>
  <c r="C354" i="5" s="1"/>
  <c r="D354" i="5" s="1"/>
  <c r="A353" i="5"/>
  <c r="C353" i="5" s="1"/>
  <c r="D353" i="5" s="1"/>
  <c r="A352" i="5"/>
  <c r="C352" i="5" s="1"/>
  <c r="D352" i="5" s="1"/>
  <c r="A351" i="5"/>
  <c r="C351" i="5" s="1"/>
  <c r="D351" i="5" s="1"/>
  <c r="A350" i="5"/>
  <c r="C350" i="5" s="1"/>
  <c r="D350" i="5" s="1"/>
  <c r="A349" i="5"/>
  <c r="A348" i="5"/>
  <c r="C348" i="5" s="1"/>
  <c r="D348" i="5" s="1"/>
  <c r="A347" i="5"/>
  <c r="A346" i="5"/>
  <c r="C346" i="5" s="1"/>
  <c r="D346" i="5" s="1"/>
  <c r="A345" i="5"/>
  <c r="C345" i="5" s="1"/>
  <c r="D345" i="5" s="1"/>
  <c r="A344" i="5"/>
  <c r="C344" i="5" s="1"/>
  <c r="D344" i="5" s="1"/>
  <c r="A343" i="5"/>
  <c r="C343" i="5" s="1"/>
  <c r="D343" i="5" s="1"/>
  <c r="A342" i="5"/>
  <c r="C342" i="5" s="1"/>
  <c r="D342" i="5" s="1"/>
  <c r="A341" i="5"/>
  <c r="C341" i="5" s="1"/>
  <c r="D341" i="5" s="1"/>
  <c r="A340" i="5"/>
  <c r="C340" i="5" s="1"/>
  <c r="D340" i="5" s="1"/>
  <c r="A339" i="5"/>
  <c r="C339" i="5" s="1"/>
  <c r="D339" i="5" s="1"/>
  <c r="A338" i="5"/>
  <c r="C338" i="5" s="1"/>
  <c r="D338" i="5" s="1"/>
  <c r="A337" i="5"/>
  <c r="C337" i="5" s="1"/>
  <c r="D337" i="5" s="1"/>
  <c r="A336" i="5"/>
  <c r="C336" i="5" s="1"/>
  <c r="D336" i="5" s="1"/>
  <c r="A335" i="5"/>
  <c r="C335" i="5" s="1"/>
  <c r="D335" i="5" s="1"/>
  <c r="A334" i="5"/>
  <c r="C334" i="5" s="1"/>
  <c r="D334" i="5" s="1"/>
  <c r="A333" i="5"/>
  <c r="A332" i="5"/>
  <c r="C332" i="5" s="1"/>
  <c r="D332" i="5" s="1"/>
  <c r="A331" i="5"/>
  <c r="A330" i="5"/>
  <c r="C330" i="5" s="1"/>
  <c r="D330" i="5" s="1"/>
  <c r="A329" i="5"/>
  <c r="C329" i="5" s="1"/>
  <c r="D329" i="5" s="1"/>
  <c r="A328" i="5"/>
  <c r="C328" i="5" s="1"/>
  <c r="D328" i="5" s="1"/>
  <c r="A327" i="5"/>
  <c r="C327" i="5" s="1"/>
  <c r="D327" i="5" s="1"/>
  <c r="A326" i="5"/>
  <c r="C326" i="5" s="1"/>
  <c r="D326" i="5" s="1"/>
  <c r="A325" i="5"/>
  <c r="C325" i="5" s="1"/>
  <c r="D325" i="5" s="1"/>
  <c r="A324" i="5"/>
  <c r="C324" i="5" s="1"/>
  <c r="D324" i="5" s="1"/>
  <c r="A323" i="5"/>
  <c r="C323" i="5" s="1"/>
  <c r="D323" i="5" s="1"/>
  <c r="A322" i="5"/>
  <c r="C322" i="5" s="1"/>
  <c r="D322" i="5" s="1"/>
  <c r="A321" i="5"/>
  <c r="C321" i="5" s="1"/>
  <c r="D321" i="5" s="1"/>
  <c r="A320" i="5"/>
  <c r="C320" i="5" s="1"/>
  <c r="D320" i="5" s="1"/>
  <c r="A319" i="5"/>
  <c r="C319" i="5" s="1"/>
  <c r="D319" i="5" s="1"/>
  <c r="A318" i="5"/>
  <c r="C318" i="5" s="1"/>
  <c r="D318" i="5" s="1"/>
  <c r="A317" i="5"/>
  <c r="A316" i="5"/>
  <c r="C316" i="5" s="1"/>
  <c r="D316" i="5" s="1"/>
  <c r="A315" i="5"/>
  <c r="A314" i="5"/>
  <c r="C314" i="5" s="1"/>
  <c r="D314" i="5" s="1"/>
  <c r="A313" i="5"/>
  <c r="C313" i="5" s="1"/>
  <c r="D313" i="5" s="1"/>
  <c r="A312" i="5"/>
  <c r="C312" i="5" s="1"/>
  <c r="D312" i="5" s="1"/>
  <c r="A311" i="5"/>
  <c r="C311" i="5" s="1"/>
  <c r="D311" i="5" s="1"/>
  <c r="A310" i="5"/>
  <c r="C310" i="5" s="1"/>
  <c r="D310" i="5" s="1"/>
  <c r="A309" i="5"/>
  <c r="C309" i="5" s="1"/>
  <c r="D309" i="5" s="1"/>
  <c r="A308" i="5"/>
  <c r="C308" i="5" s="1"/>
  <c r="D308" i="5" s="1"/>
  <c r="A307" i="5"/>
  <c r="C307" i="5" s="1"/>
  <c r="D307" i="5" s="1"/>
  <c r="A306" i="5"/>
  <c r="C306" i="5" s="1"/>
  <c r="D306" i="5" s="1"/>
  <c r="A305" i="5"/>
  <c r="C305" i="5" s="1"/>
  <c r="D305" i="5" s="1"/>
  <c r="A304" i="5"/>
  <c r="C304" i="5" s="1"/>
  <c r="D304" i="5" s="1"/>
  <c r="A303" i="5"/>
  <c r="C303" i="5" s="1"/>
  <c r="D303" i="5" s="1"/>
  <c r="A302" i="5"/>
  <c r="C302" i="5" s="1"/>
  <c r="D302" i="5" s="1"/>
  <c r="A301" i="5"/>
  <c r="A300" i="5"/>
  <c r="C300" i="5" s="1"/>
  <c r="D300" i="5" s="1"/>
  <c r="A299" i="5"/>
  <c r="A298" i="5"/>
  <c r="C298" i="5" s="1"/>
  <c r="D298" i="5" s="1"/>
  <c r="A297" i="5"/>
  <c r="C297" i="5" s="1"/>
  <c r="D297" i="5" s="1"/>
  <c r="A296" i="5"/>
  <c r="C296" i="5" s="1"/>
  <c r="D296" i="5" s="1"/>
  <c r="A295" i="5"/>
  <c r="C295" i="5" s="1"/>
  <c r="D295" i="5" s="1"/>
  <c r="A294" i="5"/>
  <c r="C294" i="5" s="1"/>
  <c r="D294" i="5" s="1"/>
  <c r="A293" i="5"/>
  <c r="C293" i="5" s="1"/>
  <c r="D293" i="5" s="1"/>
  <c r="A292" i="5"/>
  <c r="C292" i="5" s="1"/>
  <c r="D292" i="5" s="1"/>
  <c r="A291" i="5"/>
  <c r="C291" i="5" s="1"/>
  <c r="D291" i="5" s="1"/>
  <c r="A290" i="5"/>
  <c r="C290" i="5" s="1"/>
  <c r="D290" i="5" s="1"/>
  <c r="A289" i="5"/>
  <c r="C289" i="5" s="1"/>
  <c r="D289" i="5" s="1"/>
  <c r="A288" i="5"/>
  <c r="C288" i="5" s="1"/>
  <c r="D288" i="5" s="1"/>
  <c r="A287" i="5"/>
  <c r="C287" i="5" s="1"/>
  <c r="D287" i="5" s="1"/>
  <c r="A286" i="5"/>
  <c r="C286" i="5" s="1"/>
  <c r="D286" i="5" s="1"/>
  <c r="A285" i="5"/>
  <c r="A284" i="5"/>
  <c r="C284" i="5" s="1"/>
  <c r="D284" i="5" s="1"/>
  <c r="A283" i="5"/>
  <c r="A282" i="5"/>
  <c r="C282" i="5" s="1"/>
  <c r="D282" i="5" s="1"/>
  <c r="A281" i="5"/>
  <c r="C281" i="5" s="1"/>
  <c r="D281" i="5" s="1"/>
  <c r="A280" i="5"/>
  <c r="C280" i="5" s="1"/>
  <c r="D280" i="5" s="1"/>
  <c r="A279" i="5"/>
  <c r="C279" i="5" s="1"/>
  <c r="D279" i="5" s="1"/>
  <c r="A278" i="5"/>
  <c r="C278" i="5" s="1"/>
  <c r="D278" i="5" s="1"/>
  <c r="A277" i="5"/>
  <c r="C277" i="5" s="1"/>
  <c r="D277" i="5" s="1"/>
  <c r="A276" i="5"/>
  <c r="C276" i="5" s="1"/>
  <c r="D276" i="5" s="1"/>
  <c r="A275" i="5"/>
  <c r="C275" i="5" s="1"/>
  <c r="D275" i="5" s="1"/>
  <c r="A274" i="5"/>
  <c r="C274" i="5" s="1"/>
  <c r="D274" i="5" s="1"/>
  <c r="A273" i="5"/>
  <c r="C273" i="5" s="1"/>
  <c r="D273" i="5" s="1"/>
  <c r="A272" i="5"/>
  <c r="C272" i="5" s="1"/>
  <c r="D272" i="5" s="1"/>
  <c r="A271" i="5"/>
  <c r="C271" i="5" s="1"/>
  <c r="D271" i="5" s="1"/>
  <c r="A270" i="5"/>
  <c r="C270" i="5" s="1"/>
  <c r="D270" i="5" s="1"/>
  <c r="A269" i="5"/>
  <c r="A268" i="5"/>
  <c r="C268" i="5" s="1"/>
  <c r="D268" i="5" s="1"/>
  <c r="A267" i="5"/>
  <c r="A266" i="5"/>
  <c r="C266" i="5" s="1"/>
  <c r="D266" i="5" s="1"/>
  <c r="A265" i="5"/>
  <c r="C265" i="5" s="1"/>
  <c r="D265" i="5" s="1"/>
  <c r="A264" i="5"/>
  <c r="C264" i="5" s="1"/>
  <c r="D264" i="5" s="1"/>
  <c r="A263" i="5"/>
  <c r="C263" i="5" s="1"/>
  <c r="D263" i="5" s="1"/>
  <c r="A262" i="5"/>
  <c r="C262" i="5" s="1"/>
  <c r="D262" i="5" s="1"/>
  <c r="A261" i="5"/>
  <c r="C261" i="5" s="1"/>
  <c r="D261" i="5" s="1"/>
  <c r="A260" i="5"/>
  <c r="C260" i="5" s="1"/>
  <c r="D260" i="5" s="1"/>
  <c r="A259" i="5"/>
  <c r="C259" i="5" s="1"/>
  <c r="D259" i="5" s="1"/>
  <c r="A258" i="5"/>
  <c r="C258" i="5" s="1"/>
  <c r="D258" i="5" s="1"/>
  <c r="A257" i="5"/>
  <c r="C257" i="5" s="1"/>
  <c r="D257" i="5" s="1"/>
  <c r="A256" i="5"/>
  <c r="C256" i="5" s="1"/>
  <c r="D256" i="5" s="1"/>
  <c r="A255" i="5"/>
  <c r="C255" i="5" s="1"/>
  <c r="D255" i="5" s="1"/>
  <c r="A254" i="5"/>
  <c r="C254" i="5" s="1"/>
  <c r="D254" i="5" s="1"/>
  <c r="A253" i="5"/>
  <c r="A252" i="5"/>
  <c r="C252" i="5" s="1"/>
  <c r="D252" i="5" s="1"/>
  <c r="A251" i="5"/>
  <c r="A250" i="5"/>
  <c r="C250" i="5" s="1"/>
  <c r="D250" i="5" s="1"/>
  <c r="A249" i="5"/>
  <c r="C249" i="5" s="1"/>
  <c r="D249" i="5" s="1"/>
  <c r="A248" i="5"/>
  <c r="C248" i="5" s="1"/>
  <c r="D248" i="5" s="1"/>
  <c r="A247" i="5"/>
  <c r="C247" i="5" s="1"/>
  <c r="D247" i="5" s="1"/>
  <c r="A246" i="5"/>
  <c r="C246" i="5" s="1"/>
  <c r="D246" i="5" s="1"/>
  <c r="A245" i="5"/>
  <c r="C245" i="5" s="1"/>
  <c r="D245" i="5" s="1"/>
  <c r="A244" i="5"/>
  <c r="C244" i="5" s="1"/>
  <c r="D244" i="5" s="1"/>
  <c r="A243" i="5"/>
  <c r="C243" i="5" s="1"/>
  <c r="D243" i="5" s="1"/>
  <c r="A242" i="5"/>
  <c r="C242" i="5" s="1"/>
  <c r="D242" i="5" s="1"/>
  <c r="A241" i="5"/>
  <c r="C241" i="5" s="1"/>
  <c r="D241" i="5" s="1"/>
  <c r="A240" i="5"/>
  <c r="C240" i="5" s="1"/>
  <c r="D240" i="5" s="1"/>
  <c r="A239" i="5"/>
  <c r="C239" i="5" s="1"/>
  <c r="D239" i="5" s="1"/>
  <c r="A238" i="5"/>
  <c r="C238" i="5" s="1"/>
  <c r="D238" i="5" s="1"/>
  <c r="A237" i="5"/>
  <c r="A236" i="5"/>
  <c r="C236" i="5" s="1"/>
  <c r="D236" i="5" s="1"/>
  <c r="A235" i="5"/>
  <c r="A234" i="5"/>
  <c r="C234" i="5" s="1"/>
  <c r="D234" i="5" s="1"/>
  <c r="A233" i="5"/>
  <c r="C233" i="5" s="1"/>
  <c r="D233" i="5" s="1"/>
  <c r="A232" i="5"/>
  <c r="C232" i="5" s="1"/>
  <c r="D232" i="5" s="1"/>
  <c r="A231" i="5"/>
  <c r="C231" i="5" s="1"/>
  <c r="D231" i="5" s="1"/>
  <c r="A230" i="5"/>
  <c r="C230" i="5" s="1"/>
  <c r="D230" i="5" s="1"/>
  <c r="A229" i="5"/>
  <c r="C229" i="5" s="1"/>
  <c r="D229" i="5" s="1"/>
  <c r="A228" i="5"/>
  <c r="C228" i="5" s="1"/>
  <c r="D228" i="5" s="1"/>
  <c r="A227" i="5"/>
  <c r="C227" i="5" s="1"/>
  <c r="D227" i="5" s="1"/>
  <c r="A226" i="5"/>
  <c r="C226" i="5" s="1"/>
  <c r="D226" i="5" s="1"/>
  <c r="A225" i="5"/>
  <c r="C225" i="5" s="1"/>
  <c r="D225" i="5" s="1"/>
  <c r="A224" i="5"/>
  <c r="C224" i="5" s="1"/>
  <c r="D224" i="5" s="1"/>
  <c r="A223" i="5"/>
  <c r="C223" i="5" s="1"/>
  <c r="D223" i="5" s="1"/>
  <c r="A222" i="5"/>
  <c r="C222" i="5" s="1"/>
  <c r="D222" i="5" s="1"/>
  <c r="A221" i="5"/>
  <c r="A220" i="5"/>
  <c r="C220" i="5" s="1"/>
  <c r="D220" i="5" s="1"/>
  <c r="A219" i="5"/>
  <c r="A218" i="5"/>
  <c r="C218" i="5" s="1"/>
  <c r="D218" i="5" s="1"/>
  <c r="A217" i="5"/>
  <c r="C217" i="5" s="1"/>
  <c r="D217" i="5" s="1"/>
  <c r="A216" i="5"/>
  <c r="C216" i="5" s="1"/>
  <c r="D216" i="5" s="1"/>
  <c r="A215" i="5"/>
  <c r="C215" i="5" s="1"/>
  <c r="D215" i="5" s="1"/>
  <c r="A214" i="5"/>
  <c r="C214" i="5" s="1"/>
  <c r="D214" i="5" s="1"/>
  <c r="A213" i="5"/>
  <c r="C213" i="5" s="1"/>
  <c r="D213" i="5" s="1"/>
  <c r="A212" i="5"/>
  <c r="C212" i="5" s="1"/>
  <c r="D212" i="5" s="1"/>
  <c r="A211" i="5"/>
  <c r="C211" i="5" s="1"/>
  <c r="D211" i="5" s="1"/>
  <c r="A210" i="5"/>
  <c r="C210" i="5" s="1"/>
  <c r="D210" i="5" s="1"/>
  <c r="A209" i="5"/>
  <c r="C209" i="5" s="1"/>
  <c r="D209" i="5" s="1"/>
  <c r="A208" i="5"/>
  <c r="C208" i="5" s="1"/>
  <c r="D208" i="5" s="1"/>
  <c r="A207" i="5"/>
  <c r="C207" i="5" s="1"/>
  <c r="D207" i="5" s="1"/>
  <c r="A206" i="5"/>
  <c r="C206" i="5" s="1"/>
  <c r="D206" i="5" s="1"/>
  <c r="A205" i="5"/>
  <c r="A204" i="5"/>
  <c r="C204" i="5" s="1"/>
  <c r="D204" i="5" s="1"/>
  <c r="A203" i="5"/>
  <c r="A202" i="5"/>
  <c r="C202" i="5" s="1"/>
  <c r="D202" i="5" s="1"/>
  <c r="A201" i="5"/>
  <c r="C201" i="5" s="1"/>
  <c r="D201" i="5" s="1"/>
  <c r="A200" i="5"/>
  <c r="C200" i="5" s="1"/>
  <c r="D200" i="5" s="1"/>
  <c r="A199" i="5"/>
  <c r="C199" i="5" s="1"/>
  <c r="D199" i="5" s="1"/>
  <c r="A198" i="5"/>
  <c r="C198" i="5" s="1"/>
  <c r="D198" i="5" s="1"/>
  <c r="A197" i="5"/>
  <c r="C197" i="5" s="1"/>
  <c r="D197" i="5" s="1"/>
  <c r="A196" i="5"/>
  <c r="C196" i="5" s="1"/>
  <c r="D196" i="5" s="1"/>
  <c r="A195" i="5"/>
  <c r="C195" i="5" s="1"/>
  <c r="D195" i="5" s="1"/>
  <c r="A194" i="5"/>
  <c r="C194" i="5" s="1"/>
  <c r="D194" i="5" s="1"/>
  <c r="A193" i="5"/>
  <c r="C193" i="5" s="1"/>
  <c r="D193" i="5" s="1"/>
  <c r="A192" i="5"/>
  <c r="C192" i="5" s="1"/>
  <c r="D192" i="5" s="1"/>
  <c r="A191" i="5"/>
  <c r="C191" i="5" s="1"/>
  <c r="D191" i="5" s="1"/>
  <c r="A190" i="5"/>
  <c r="C190" i="5" s="1"/>
  <c r="D190" i="5" s="1"/>
  <c r="A189" i="5"/>
  <c r="A188" i="5"/>
  <c r="C188" i="5" s="1"/>
  <c r="D188" i="5" s="1"/>
  <c r="A187" i="5"/>
  <c r="A186" i="5"/>
  <c r="C186" i="5" s="1"/>
  <c r="D186" i="5" s="1"/>
  <c r="A185" i="5"/>
  <c r="C185" i="5" s="1"/>
  <c r="D185" i="5" s="1"/>
  <c r="A184" i="5"/>
  <c r="C184" i="5" s="1"/>
  <c r="D184" i="5" s="1"/>
  <c r="A183" i="5"/>
  <c r="C183" i="5" s="1"/>
  <c r="D183" i="5" s="1"/>
  <c r="A182" i="5"/>
  <c r="C182" i="5" s="1"/>
  <c r="D182" i="5" s="1"/>
  <c r="A181" i="5"/>
  <c r="C181" i="5" s="1"/>
  <c r="D181" i="5" s="1"/>
  <c r="A180" i="5"/>
  <c r="C180" i="5" s="1"/>
  <c r="D180" i="5" s="1"/>
  <c r="A179" i="5"/>
  <c r="C179" i="5" s="1"/>
  <c r="D179" i="5" s="1"/>
  <c r="A178" i="5"/>
  <c r="C178" i="5" s="1"/>
  <c r="D178" i="5" s="1"/>
  <c r="A177" i="5"/>
  <c r="C177" i="5" s="1"/>
  <c r="D177" i="5" s="1"/>
  <c r="A176" i="5"/>
  <c r="C176" i="5" s="1"/>
  <c r="D176" i="5" s="1"/>
  <c r="A175" i="5"/>
  <c r="C175" i="5" s="1"/>
  <c r="D175" i="5" s="1"/>
  <c r="A174" i="5"/>
  <c r="C174" i="5" s="1"/>
  <c r="D174" i="5" s="1"/>
  <c r="A173" i="5"/>
  <c r="A172" i="5"/>
  <c r="C172" i="5" s="1"/>
  <c r="D172" i="5" s="1"/>
  <c r="A171" i="5"/>
  <c r="A170" i="5"/>
  <c r="C170" i="5" s="1"/>
  <c r="D170" i="5" s="1"/>
  <c r="A169" i="5"/>
  <c r="C169" i="5" s="1"/>
  <c r="D169" i="5" s="1"/>
  <c r="A168" i="5"/>
  <c r="C168" i="5" s="1"/>
  <c r="D168" i="5" s="1"/>
  <c r="A167" i="5"/>
  <c r="C167" i="5" s="1"/>
  <c r="D167" i="5" s="1"/>
  <c r="A166" i="5"/>
  <c r="C166" i="5" s="1"/>
  <c r="D166" i="5" s="1"/>
  <c r="A165" i="5"/>
  <c r="C165" i="5" s="1"/>
  <c r="D165" i="5" s="1"/>
  <c r="A164" i="5"/>
  <c r="C164" i="5" s="1"/>
  <c r="D164" i="5" s="1"/>
  <c r="A163" i="5"/>
  <c r="C163" i="5" s="1"/>
  <c r="D163" i="5" s="1"/>
  <c r="A162" i="5"/>
  <c r="C162" i="5" s="1"/>
  <c r="D162" i="5" s="1"/>
  <c r="A161" i="5"/>
  <c r="C161" i="5" s="1"/>
  <c r="D161" i="5" s="1"/>
  <c r="A160" i="5"/>
  <c r="C160" i="5" s="1"/>
  <c r="D160" i="5" s="1"/>
  <c r="A159" i="5"/>
  <c r="C159" i="5" s="1"/>
  <c r="D159" i="5" s="1"/>
  <c r="A158" i="5"/>
  <c r="C158" i="5" s="1"/>
  <c r="D158" i="5" s="1"/>
  <c r="A157" i="5"/>
  <c r="A156" i="5"/>
  <c r="C156" i="5" s="1"/>
  <c r="D156" i="5" s="1"/>
  <c r="A155" i="5"/>
  <c r="A154" i="5"/>
  <c r="C154" i="5" s="1"/>
  <c r="D154" i="5" s="1"/>
  <c r="A153" i="5"/>
  <c r="C153" i="5" s="1"/>
  <c r="D153" i="5" s="1"/>
  <c r="A152" i="5"/>
  <c r="C152" i="5" s="1"/>
  <c r="D152" i="5" s="1"/>
  <c r="A151" i="5"/>
  <c r="C151" i="5" s="1"/>
  <c r="D151" i="5" s="1"/>
  <c r="A150" i="5"/>
  <c r="C150" i="5" s="1"/>
  <c r="D150" i="5" s="1"/>
  <c r="A149" i="5"/>
  <c r="C149" i="5" s="1"/>
  <c r="D149" i="5" s="1"/>
  <c r="A148" i="5"/>
  <c r="C148" i="5" s="1"/>
  <c r="D148" i="5" s="1"/>
  <c r="A147" i="5"/>
  <c r="C147" i="5" s="1"/>
  <c r="D147" i="5" s="1"/>
  <c r="A146" i="5"/>
  <c r="C146" i="5" s="1"/>
  <c r="D146" i="5" s="1"/>
  <c r="A145" i="5"/>
  <c r="C145" i="5" s="1"/>
  <c r="D145" i="5" s="1"/>
  <c r="A144" i="5"/>
  <c r="C144" i="5" s="1"/>
  <c r="D144" i="5" s="1"/>
  <c r="A143" i="5"/>
  <c r="C143" i="5" s="1"/>
  <c r="D143" i="5" s="1"/>
  <c r="A142" i="5"/>
  <c r="C142" i="5" s="1"/>
  <c r="D142" i="5" s="1"/>
  <c r="A141" i="5"/>
  <c r="A140" i="5"/>
  <c r="C140" i="5" s="1"/>
  <c r="D140" i="5" s="1"/>
  <c r="A139" i="5"/>
  <c r="A138" i="5"/>
  <c r="C138" i="5" s="1"/>
  <c r="D138" i="5" s="1"/>
  <c r="A137" i="5"/>
  <c r="C137" i="5" s="1"/>
  <c r="D137" i="5" s="1"/>
  <c r="A136" i="5"/>
  <c r="C136" i="5" s="1"/>
  <c r="D136" i="5" s="1"/>
  <c r="A135" i="5"/>
  <c r="C135" i="5" s="1"/>
  <c r="D135" i="5" s="1"/>
  <c r="A134" i="5"/>
  <c r="C134" i="5" s="1"/>
  <c r="D134" i="5" s="1"/>
  <c r="A133" i="5"/>
  <c r="C133" i="5" s="1"/>
  <c r="D133" i="5" s="1"/>
  <c r="A132" i="5"/>
  <c r="C132" i="5" s="1"/>
  <c r="D132" i="5" s="1"/>
  <c r="A131" i="5"/>
  <c r="C131" i="5" s="1"/>
  <c r="D131" i="5" s="1"/>
  <c r="A130" i="5"/>
  <c r="C130" i="5" s="1"/>
  <c r="D130" i="5" s="1"/>
  <c r="A129" i="5"/>
  <c r="C129" i="5" s="1"/>
  <c r="D129" i="5" s="1"/>
  <c r="A128" i="5"/>
  <c r="C128" i="5" s="1"/>
  <c r="D128" i="5" s="1"/>
  <c r="A127" i="5"/>
  <c r="C127" i="5" s="1"/>
  <c r="D127" i="5" s="1"/>
  <c r="A126" i="5"/>
  <c r="C126" i="5" s="1"/>
  <c r="D126" i="5" s="1"/>
  <c r="A125" i="5"/>
  <c r="A124" i="5"/>
  <c r="C124" i="5" s="1"/>
  <c r="D124" i="5" s="1"/>
  <c r="A123" i="5"/>
  <c r="A122" i="5"/>
  <c r="C122" i="5" s="1"/>
  <c r="D122" i="5" s="1"/>
  <c r="A121" i="5"/>
  <c r="C121" i="5" s="1"/>
  <c r="D121" i="5" s="1"/>
  <c r="A120" i="5"/>
  <c r="C120" i="5" s="1"/>
  <c r="D120" i="5" s="1"/>
  <c r="A119" i="5"/>
  <c r="C119" i="5" s="1"/>
  <c r="D119" i="5" s="1"/>
  <c r="A118" i="5"/>
  <c r="C118" i="5" s="1"/>
  <c r="D118" i="5" s="1"/>
  <c r="A117" i="5"/>
  <c r="C117" i="5" s="1"/>
  <c r="D117" i="5" s="1"/>
  <c r="A116" i="5"/>
  <c r="C116" i="5" s="1"/>
  <c r="D116" i="5" s="1"/>
  <c r="A115" i="5"/>
  <c r="C115" i="5" s="1"/>
  <c r="D115" i="5" s="1"/>
  <c r="A114" i="5"/>
  <c r="C114" i="5" s="1"/>
  <c r="D114" i="5" s="1"/>
  <c r="A113" i="5"/>
  <c r="C113" i="5" s="1"/>
  <c r="D113" i="5" s="1"/>
  <c r="A112" i="5"/>
  <c r="C112" i="5" s="1"/>
  <c r="D112" i="5" s="1"/>
  <c r="A111" i="5"/>
  <c r="C111" i="5" s="1"/>
  <c r="D111" i="5" s="1"/>
  <c r="A110" i="5"/>
  <c r="C110" i="5" s="1"/>
  <c r="D110" i="5" s="1"/>
  <c r="A109" i="5"/>
  <c r="A108" i="5"/>
  <c r="C108" i="5" s="1"/>
  <c r="D108" i="5" s="1"/>
  <c r="A107" i="5"/>
  <c r="A106" i="5"/>
  <c r="C106" i="5" s="1"/>
  <c r="D106" i="5" s="1"/>
  <c r="A105" i="5"/>
  <c r="C105" i="5" s="1"/>
  <c r="D105" i="5" s="1"/>
  <c r="A104" i="5"/>
  <c r="C104" i="5" s="1"/>
  <c r="D104" i="5" s="1"/>
  <c r="A103" i="5"/>
  <c r="C103" i="5" s="1"/>
  <c r="D103" i="5" s="1"/>
  <c r="A102" i="5"/>
  <c r="C102" i="5" s="1"/>
  <c r="D102" i="5" s="1"/>
  <c r="A101" i="5"/>
  <c r="C101" i="5" s="1"/>
  <c r="D101" i="5" s="1"/>
  <c r="A100" i="5"/>
  <c r="C100" i="5" s="1"/>
  <c r="D100" i="5" s="1"/>
  <c r="A99" i="5"/>
  <c r="C99" i="5" s="1"/>
  <c r="D99" i="5" s="1"/>
  <c r="A98" i="5"/>
  <c r="C98" i="5" s="1"/>
  <c r="D98" i="5" s="1"/>
  <c r="A97" i="5"/>
  <c r="C97" i="5" s="1"/>
  <c r="D97" i="5" s="1"/>
  <c r="A96" i="5"/>
  <c r="C96" i="5" s="1"/>
  <c r="D96" i="5" s="1"/>
  <c r="A95" i="5"/>
  <c r="C95" i="5" s="1"/>
  <c r="D95" i="5" s="1"/>
  <c r="A94" i="5"/>
  <c r="C94" i="5" s="1"/>
  <c r="D94" i="5" s="1"/>
  <c r="A93" i="5"/>
  <c r="A92" i="5"/>
  <c r="C92" i="5" s="1"/>
  <c r="D92" i="5" s="1"/>
  <c r="A91" i="5"/>
  <c r="A90" i="5"/>
  <c r="C90" i="5" s="1"/>
  <c r="D90" i="5" s="1"/>
  <c r="A89" i="5"/>
  <c r="C89" i="5" s="1"/>
  <c r="D89" i="5" s="1"/>
  <c r="A88" i="5"/>
  <c r="C88" i="5" s="1"/>
  <c r="D88" i="5" s="1"/>
  <c r="A87" i="5"/>
  <c r="C87" i="5" s="1"/>
  <c r="D87" i="5" s="1"/>
  <c r="A86" i="5"/>
  <c r="C86" i="5" s="1"/>
  <c r="D86" i="5" s="1"/>
  <c r="A85" i="5"/>
  <c r="C85" i="5" s="1"/>
  <c r="D85" i="5" s="1"/>
  <c r="A84" i="5"/>
  <c r="C84" i="5" s="1"/>
  <c r="D84" i="5" s="1"/>
  <c r="A83" i="5"/>
  <c r="C83" i="5" s="1"/>
  <c r="D83" i="5" s="1"/>
  <c r="A82" i="5"/>
  <c r="C82" i="5" s="1"/>
  <c r="D82" i="5" s="1"/>
  <c r="A81" i="5"/>
  <c r="C81" i="5" s="1"/>
  <c r="D81" i="5" s="1"/>
  <c r="A80" i="5"/>
  <c r="C80" i="5" s="1"/>
  <c r="D80" i="5" s="1"/>
  <c r="A79" i="5"/>
  <c r="C79" i="5" s="1"/>
  <c r="D79" i="5" s="1"/>
  <c r="A78" i="5"/>
  <c r="C78" i="5" s="1"/>
  <c r="D78" i="5" s="1"/>
  <c r="A77" i="5"/>
  <c r="A76" i="5"/>
  <c r="C76" i="5" s="1"/>
  <c r="D76" i="5" s="1"/>
  <c r="A75" i="5"/>
  <c r="A74" i="5"/>
  <c r="C74" i="5" s="1"/>
  <c r="D74" i="5" s="1"/>
  <c r="A73" i="5"/>
  <c r="C73" i="5" s="1"/>
  <c r="D73" i="5" s="1"/>
  <c r="A72" i="5"/>
  <c r="C72" i="5" s="1"/>
  <c r="D72" i="5" s="1"/>
  <c r="A71" i="5"/>
  <c r="C71" i="5" s="1"/>
  <c r="D71" i="5" s="1"/>
  <c r="A70" i="5"/>
  <c r="C70" i="5" s="1"/>
  <c r="D70" i="5" s="1"/>
  <c r="A69" i="5"/>
  <c r="C69" i="5" s="1"/>
  <c r="D69" i="5" s="1"/>
  <c r="A68" i="5"/>
  <c r="C68" i="5" s="1"/>
  <c r="D68" i="5" s="1"/>
  <c r="A67" i="5"/>
  <c r="C67" i="5" s="1"/>
  <c r="D67" i="5" s="1"/>
  <c r="A66" i="5"/>
  <c r="C66" i="5" s="1"/>
  <c r="D66" i="5" s="1"/>
  <c r="A65" i="5"/>
  <c r="C65" i="5" s="1"/>
  <c r="D65" i="5" s="1"/>
  <c r="A64" i="5"/>
  <c r="C64" i="5" s="1"/>
  <c r="D64" i="5" s="1"/>
  <c r="A63" i="5"/>
  <c r="C63" i="5" s="1"/>
  <c r="D63" i="5" s="1"/>
  <c r="A62" i="5"/>
  <c r="C62" i="5" s="1"/>
  <c r="D62" i="5" s="1"/>
  <c r="A61" i="5"/>
  <c r="A60" i="5"/>
  <c r="C60" i="5" s="1"/>
  <c r="D60" i="5" s="1"/>
  <c r="A59" i="5"/>
  <c r="A58" i="5"/>
  <c r="C58" i="5" s="1"/>
  <c r="D58" i="5" s="1"/>
  <c r="A57" i="5"/>
  <c r="C57" i="5" s="1"/>
  <c r="D57" i="5" s="1"/>
  <c r="A56" i="5"/>
  <c r="C56" i="5" s="1"/>
  <c r="D56" i="5" s="1"/>
  <c r="A55" i="5"/>
  <c r="C55" i="5" s="1"/>
  <c r="D55" i="5" s="1"/>
  <c r="A54" i="5"/>
  <c r="C54" i="5" s="1"/>
  <c r="D54" i="5" s="1"/>
  <c r="A53" i="5"/>
  <c r="C53" i="5" s="1"/>
  <c r="D53" i="5" s="1"/>
  <c r="A52" i="5"/>
  <c r="C52" i="5" s="1"/>
  <c r="D52" i="5" s="1"/>
  <c r="A51" i="5"/>
  <c r="C51" i="5" s="1"/>
  <c r="D51" i="5" s="1"/>
  <c r="A50" i="5"/>
  <c r="C50" i="5" s="1"/>
  <c r="D50" i="5" s="1"/>
  <c r="A49" i="5"/>
  <c r="C49" i="5" s="1"/>
  <c r="D49" i="5" s="1"/>
  <c r="A48" i="5"/>
  <c r="C48" i="5" s="1"/>
  <c r="D48" i="5" s="1"/>
  <c r="A47" i="5"/>
  <c r="C47" i="5" s="1"/>
  <c r="D47" i="5" s="1"/>
  <c r="A46" i="5"/>
  <c r="C46" i="5" s="1"/>
  <c r="D46" i="5" s="1"/>
  <c r="A45" i="5"/>
  <c r="A44" i="5"/>
  <c r="C44" i="5" s="1"/>
  <c r="D44" i="5" s="1"/>
  <c r="A43" i="5"/>
  <c r="A42" i="5"/>
  <c r="C42" i="5" s="1"/>
  <c r="D42" i="5" s="1"/>
  <c r="A41" i="5"/>
  <c r="C41" i="5" s="1"/>
  <c r="D41" i="5" s="1"/>
  <c r="A40" i="5"/>
  <c r="C40" i="5" s="1"/>
  <c r="D40" i="5" s="1"/>
  <c r="A39" i="5"/>
  <c r="C39" i="5" s="1"/>
  <c r="D39" i="5" s="1"/>
  <c r="A38" i="5"/>
  <c r="C38" i="5" s="1"/>
  <c r="D38" i="5" s="1"/>
  <c r="A37" i="5"/>
  <c r="C37" i="5" s="1"/>
  <c r="D37" i="5" s="1"/>
  <c r="A36" i="5"/>
  <c r="C36" i="5" s="1"/>
  <c r="D36" i="5" s="1"/>
  <c r="A35" i="5"/>
  <c r="C35" i="5" s="1"/>
  <c r="D35" i="5" s="1"/>
  <c r="A34" i="5"/>
  <c r="C34" i="5" s="1"/>
  <c r="D34" i="5" s="1"/>
  <c r="A33" i="5"/>
  <c r="C33" i="5" s="1"/>
  <c r="D33" i="5" s="1"/>
  <c r="A32" i="5"/>
  <c r="C32" i="5" s="1"/>
  <c r="D32" i="5" s="1"/>
  <c r="A31" i="5"/>
  <c r="C31" i="5" s="1"/>
  <c r="D31" i="5" s="1"/>
  <c r="A30" i="5"/>
  <c r="C30" i="5" s="1"/>
  <c r="D30" i="5" s="1"/>
  <c r="A29" i="5"/>
  <c r="A28" i="5"/>
  <c r="C28" i="5" s="1"/>
  <c r="D28" i="5" s="1"/>
  <c r="A27" i="5"/>
  <c r="A26" i="5"/>
  <c r="C26" i="5" s="1"/>
  <c r="D26" i="5" s="1"/>
  <c r="A25" i="5"/>
  <c r="C25" i="5" s="1"/>
  <c r="D25" i="5" s="1"/>
  <c r="A24" i="5"/>
  <c r="C24" i="5" s="1"/>
  <c r="D24" i="5" s="1"/>
  <c r="A23" i="5"/>
  <c r="C23" i="5" s="1"/>
  <c r="D23" i="5" s="1"/>
  <c r="A22" i="5"/>
  <c r="C22" i="5" s="1"/>
  <c r="D22" i="5" s="1"/>
  <c r="A21" i="5"/>
  <c r="C21" i="5" s="1"/>
  <c r="D21" i="5" s="1"/>
  <c r="A20" i="5"/>
  <c r="C20" i="5" s="1"/>
  <c r="D20" i="5" s="1"/>
  <c r="A19" i="5"/>
  <c r="C19" i="5" s="1"/>
  <c r="D19" i="5" s="1"/>
  <c r="A18" i="5"/>
  <c r="C18" i="5" s="1"/>
  <c r="D18" i="5" s="1"/>
  <c r="A17" i="5"/>
  <c r="C17" i="5" s="1"/>
  <c r="D17" i="5" s="1"/>
  <c r="A16" i="5"/>
  <c r="C16" i="5" s="1"/>
  <c r="D16" i="5" s="1"/>
  <c r="A15" i="5"/>
  <c r="C15" i="5" s="1"/>
  <c r="D15" i="5" s="1"/>
  <c r="A14" i="5"/>
  <c r="C14" i="5" s="1"/>
  <c r="D14" i="5" s="1"/>
  <c r="A13" i="5"/>
  <c r="A12" i="5"/>
  <c r="C12" i="5" s="1"/>
  <c r="D12" i="5" s="1"/>
  <c r="A11" i="5"/>
  <c r="A10" i="5"/>
  <c r="C10" i="5" s="1"/>
  <c r="D10" i="5" s="1"/>
  <c r="A9" i="5"/>
  <c r="C9" i="5" s="1"/>
  <c r="D9" i="5" s="1"/>
  <c r="A8" i="5"/>
  <c r="C8" i="5" s="1"/>
  <c r="D8" i="5" s="1"/>
  <c r="A7" i="5"/>
  <c r="C7" i="5" s="1"/>
  <c r="D7" i="5" s="1"/>
  <c r="A6" i="5"/>
  <c r="C6" i="5" s="1"/>
  <c r="D6" i="5" s="1"/>
  <c r="A5" i="5"/>
  <c r="C5" i="5" s="1"/>
  <c r="D5" i="5" s="1"/>
  <c r="A4" i="5"/>
  <c r="C4" i="5" s="1"/>
  <c r="D4" i="5" s="1"/>
  <c r="A3" i="5"/>
  <c r="C3" i="5" s="1"/>
  <c r="D3" i="5" s="1"/>
  <c r="A2" i="5"/>
  <c r="C2" i="5" s="1"/>
  <c r="D2" i="5" s="1"/>
  <c r="I3" i="1"/>
  <c r="I4" i="1"/>
  <c r="I5" i="1"/>
  <c r="I6" i="1"/>
  <c r="I7" i="1"/>
  <c r="I8" i="1"/>
  <c r="I9" i="1"/>
  <c r="I10" i="1"/>
  <c r="I11" i="1"/>
  <c r="I12" i="1"/>
  <c r="I13" i="1"/>
  <c r="I14" i="1"/>
  <c r="I15" i="1"/>
  <c r="I16" i="1"/>
  <c r="I17" i="1"/>
  <c r="I18" i="1"/>
  <c r="I19" i="1"/>
  <c r="I20" i="1"/>
  <c r="I21" i="1"/>
  <c r="I22" i="1"/>
  <c r="I23" i="1"/>
  <c r="I24" i="1"/>
  <c r="I25" i="1"/>
  <c r="I26" i="1"/>
  <c r="I27" i="1"/>
  <c r="I28" i="1"/>
  <c r="I29" i="1"/>
  <c r="I30" i="1"/>
  <c r="I31" i="1"/>
  <c r="I32" i="1"/>
  <c r="I33" i="1"/>
  <c r="I34" i="1"/>
  <c r="I35" i="1"/>
  <c r="I36" i="1"/>
  <c r="I37" i="1"/>
  <c r="I38" i="1"/>
  <c r="I39" i="1"/>
  <c r="I40" i="1"/>
  <c r="I41" i="1"/>
  <c r="I42" i="1"/>
  <c r="I43" i="1"/>
  <c r="I44" i="1"/>
  <c r="I45" i="1"/>
  <c r="I46" i="1"/>
  <c r="I47" i="1"/>
  <c r="I48" i="1"/>
  <c r="I49" i="1"/>
  <c r="I50" i="1"/>
  <c r="I51" i="1"/>
  <c r="I52" i="1"/>
  <c r="I53" i="1"/>
  <c r="I54" i="1"/>
  <c r="I55" i="1"/>
  <c r="I56" i="1"/>
  <c r="I57" i="1"/>
  <c r="I58" i="1"/>
  <c r="I59" i="1"/>
  <c r="I60" i="1"/>
  <c r="I61" i="1"/>
  <c r="I62" i="1"/>
  <c r="I63" i="1"/>
  <c r="I64" i="1"/>
  <c r="I65" i="1"/>
  <c r="I66" i="1"/>
  <c r="I67" i="1"/>
  <c r="I68" i="1"/>
  <c r="I69" i="1"/>
  <c r="I70" i="1"/>
  <c r="I71" i="1"/>
  <c r="I72" i="1"/>
  <c r="I73" i="1"/>
  <c r="I74" i="1"/>
  <c r="I75" i="1"/>
  <c r="I76" i="1"/>
  <c r="I77" i="1"/>
  <c r="I78" i="1"/>
  <c r="I79" i="1"/>
  <c r="I80" i="1"/>
  <c r="I81" i="1"/>
  <c r="I82" i="1"/>
  <c r="I83" i="1"/>
  <c r="I84" i="1"/>
  <c r="I85" i="1"/>
  <c r="I86" i="1"/>
  <c r="I87" i="1"/>
  <c r="I88" i="1"/>
  <c r="I89" i="1"/>
  <c r="I90" i="1"/>
  <c r="I91" i="1"/>
  <c r="I92" i="1"/>
  <c r="I93" i="1"/>
  <c r="I94" i="1"/>
  <c r="I95" i="1"/>
  <c r="I96" i="1"/>
  <c r="I97" i="1"/>
  <c r="I98" i="1"/>
  <c r="I99" i="1"/>
  <c r="I100" i="1"/>
  <c r="I101" i="1"/>
  <c r="I102" i="1"/>
  <c r="I103" i="1"/>
  <c r="I104" i="1"/>
  <c r="I105" i="1"/>
  <c r="I106" i="1"/>
  <c r="I107" i="1"/>
  <c r="I108" i="1"/>
  <c r="I109" i="1"/>
  <c r="I110" i="1"/>
  <c r="I111" i="1"/>
  <c r="I112" i="1"/>
  <c r="I113" i="1"/>
  <c r="I114" i="1"/>
  <c r="I115" i="1"/>
  <c r="I116" i="1"/>
  <c r="I117" i="1"/>
  <c r="I118" i="1"/>
  <c r="I119" i="1"/>
  <c r="I120" i="1"/>
  <c r="I121" i="1"/>
  <c r="I122" i="1"/>
  <c r="I123" i="1"/>
  <c r="I124" i="1"/>
  <c r="I125" i="1"/>
  <c r="I126" i="1"/>
  <c r="I127" i="1"/>
  <c r="I128" i="1"/>
  <c r="I129" i="1"/>
  <c r="I130" i="1"/>
  <c r="I131" i="1"/>
  <c r="I132" i="1"/>
  <c r="I133" i="1"/>
  <c r="I134" i="1"/>
  <c r="I135" i="1"/>
  <c r="I136" i="1"/>
  <c r="I137" i="1"/>
  <c r="I138" i="1"/>
  <c r="I139" i="1"/>
  <c r="I140" i="1"/>
  <c r="I141" i="1"/>
  <c r="I142" i="1"/>
  <c r="I143" i="1"/>
  <c r="I144" i="1"/>
  <c r="I145" i="1"/>
  <c r="I146" i="1"/>
  <c r="I147" i="1"/>
  <c r="I148" i="1"/>
  <c r="I149" i="1"/>
  <c r="I150" i="1"/>
  <c r="I151" i="1"/>
  <c r="I152" i="1"/>
  <c r="I153" i="1"/>
  <c r="I154" i="1"/>
  <c r="I155" i="1"/>
  <c r="I156" i="1"/>
  <c r="I157" i="1"/>
  <c r="I158" i="1"/>
  <c r="I159" i="1"/>
  <c r="I160" i="1"/>
  <c r="I161" i="1"/>
  <c r="I162" i="1"/>
  <c r="I163" i="1"/>
  <c r="I164" i="1"/>
  <c r="I165" i="1"/>
  <c r="I166" i="1"/>
  <c r="I167" i="1"/>
  <c r="I168" i="1"/>
  <c r="I169" i="1"/>
  <c r="I170" i="1"/>
  <c r="I171" i="1"/>
  <c r="I172" i="1"/>
  <c r="I173" i="1"/>
  <c r="I174" i="1"/>
  <c r="I175" i="1"/>
  <c r="I176" i="1"/>
  <c r="I177" i="1"/>
  <c r="I178" i="1"/>
  <c r="I179" i="1"/>
  <c r="I180" i="1"/>
  <c r="I181" i="1"/>
  <c r="I182" i="1"/>
  <c r="I183" i="1"/>
  <c r="I184" i="1"/>
  <c r="I185" i="1"/>
  <c r="I186" i="1"/>
  <c r="I187" i="1"/>
  <c r="I188" i="1"/>
  <c r="I189" i="1"/>
  <c r="I190" i="1"/>
  <c r="I191" i="1"/>
  <c r="I192" i="1"/>
  <c r="I193" i="1"/>
  <c r="I194" i="1"/>
  <c r="I195" i="1"/>
  <c r="I196" i="1"/>
  <c r="I197" i="1"/>
  <c r="I198" i="1"/>
  <c r="I199" i="1"/>
  <c r="I200" i="1"/>
  <c r="I201" i="1"/>
  <c r="I202" i="1"/>
  <c r="I203" i="1"/>
  <c r="I204" i="1"/>
  <c r="I205" i="1"/>
  <c r="I206" i="1"/>
  <c r="I207" i="1"/>
  <c r="I208" i="1"/>
  <c r="I209" i="1"/>
  <c r="I210" i="1"/>
  <c r="I211" i="1"/>
  <c r="I212" i="1"/>
  <c r="I213" i="1"/>
  <c r="I214" i="1"/>
  <c r="I215" i="1"/>
  <c r="I216" i="1"/>
  <c r="I217" i="1"/>
  <c r="I218" i="1"/>
  <c r="I219" i="1"/>
  <c r="I220" i="1"/>
  <c r="I221" i="1"/>
  <c r="I222" i="1"/>
  <c r="I223" i="1"/>
  <c r="I224" i="1"/>
  <c r="I225" i="1"/>
  <c r="I226" i="1"/>
  <c r="I227" i="1"/>
  <c r="I228" i="1"/>
  <c r="I229" i="1"/>
  <c r="I230" i="1"/>
  <c r="I231" i="1"/>
  <c r="I232" i="1"/>
  <c r="I233" i="1"/>
  <c r="I234" i="1"/>
  <c r="I235" i="1"/>
  <c r="I236" i="1"/>
  <c r="I237" i="1"/>
  <c r="I238" i="1"/>
  <c r="I239" i="1"/>
  <c r="I240" i="1"/>
  <c r="I241" i="1"/>
  <c r="I242" i="1"/>
  <c r="I243" i="1"/>
  <c r="I244" i="1"/>
  <c r="I245" i="1"/>
  <c r="I246" i="1"/>
  <c r="I247" i="1"/>
  <c r="I248" i="1"/>
  <c r="I249" i="1"/>
  <c r="I250" i="1"/>
  <c r="I251" i="1"/>
  <c r="I252" i="1"/>
  <c r="I253" i="1"/>
  <c r="I254" i="1"/>
  <c r="I255" i="1"/>
  <c r="I256" i="1"/>
  <c r="I257" i="1"/>
  <c r="I258" i="1"/>
  <c r="I259" i="1"/>
  <c r="I260" i="1"/>
  <c r="I261" i="1"/>
  <c r="I262" i="1"/>
  <c r="I263" i="1"/>
  <c r="I264" i="1"/>
  <c r="I265" i="1"/>
  <c r="I266" i="1"/>
  <c r="I267" i="1"/>
  <c r="I268" i="1"/>
  <c r="I269" i="1"/>
  <c r="I270" i="1"/>
  <c r="I271" i="1"/>
  <c r="I272" i="1"/>
  <c r="I273" i="1"/>
  <c r="I274" i="1"/>
  <c r="I275" i="1"/>
  <c r="I276" i="1"/>
  <c r="I277" i="1"/>
  <c r="I278" i="1"/>
  <c r="I279" i="1"/>
  <c r="I280" i="1"/>
  <c r="I281" i="1"/>
  <c r="I282" i="1"/>
  <c r="I283" i="1"/>
  <c r="I284" i="1"/>
  <c r="I285" i="1"/>
  <c r="I286" i="1"/>
  <c r="I287" i="1"/>
  <c r="I288" i="1"/>
  <c r="I289" i="1"/>
  <c r="I290" i="1"/>
  <c r="I291" i="1"/>
  <c r="I292" i="1"/>
  <c r="I293" i="1"/>
  <c r="I294" i="1"/>
  <c r="I295" i="1"/>
  <c r="I296" i="1"/>
  <c r="I297" i="1"/>
  <c r="I298" i="1"/>
  <c r="I299" i="1"/>
  <c r="I300" i="1"/>
  <c r="I301" i="1"/>
  <c r="I302" i="1"/>
  <c r="I303" i="1"/>
  <c r="I304" i="1"/>
  <c r="I305" i="1"/>
  <c r="I306" i="1"/>
  <c r="I307" i="1"/>
  <c r="I308" i="1"/>
  <c r="I309" i="1"/>
  <c r="I310" i="1"/>
  <c r="I311" i="1"/>
  <c r="I312" i="1"/>
  <c r="I313" i="1"/>
  <c r="I314" i="1"/>
  <c r="I315" i="1"/>
  <c r="I316" i="1"/>
  <c r="I317" i="1"/>
  <c r="I318" i="1"/>
  <c r="I319" i="1"/>
  <c r="I320" i="1"/>
  <c r="I321" i="1"/>
  <c r="I322" i="1"/>
  <c r="I323" i="1"/>
  <c r="I324" i="1"/>
  <c r="I325" i="1"/>
  <c r="I326" i="1"/>
  <c r="I327" i="1"/>
  <c r="I328" i="1"/>
  <c r="I329" i="1"/>
  <c r="I330" i="1"/>
  <c r="I331" i="1"/>
  <c r="I332" i="1"/>
  <c r="I333" i="1"/>
  <c r="I334" i="1"/>
  <c r="I335" i="1"/>
  <c r="I336" i="1"/>
  <c r="I337" i="1"/>
  <c r="I338" i="1"/>
  <c r="I339" i="1"/>
  <c r="I340" i="1"/>
  <c r="I341" i="1"/>
  <c r="I342" i="1"/>
  <c r="I343" i="1"/>
  <c r="I344" i="1"/>
  <c r="I345" i="1"/>
  <c r="I346" i="1"/>
  <c r="I347" i="1"/>
  <c r="I348" i="1"/>
  <c r="I349" i="1"/>
  <c r="I350" i="1"/>
  <c r="I351" i="1"/>
  <c r="I352" i="1"/>
  <c r="I353" i="1"/>
  <c r="I354" i="1"/>
  <c r="I355" i="1"/>
  <c r="I356" i="1"/>
  <c r="I357" i="1"/>
  <c r="I358" i="1"/>
  <c r="I359" i="1"/>
  <c r="I360" i="1"/>
  <c r="I361" i="1"/>
  <c r="I362" i="1"/>
  <c r="I363" i="1"/>
  <c r="I364" i="1"/>
  <c r="I365" i="1"/>
  <c r="I366" i="1"/>
  <c r="I367" i="1"/>
  <c r="I368" i="1"/>
  <c r="I369" i="1"/>
  <c r="I370" i="1"/>
  <c r="I371" i="1"/>
  <c r="I372" i="1"/>
  <c r="I373" i="1"/>
  <c r="I374" i="1"/>
  <c r="I375" i="1"/>
  <c r="I376" i="1"/>
  <c r="I377" i="1"/>
  <c r="I378" i="1"/>
  <c r="I379" i="1"/>
  <c r="I380" i="1"/>
  <c r="I381" i="1"/>
  <c r="I382" i="1"/>
  <c r="I383" i="1"/>
  <c r="I384" i="1"/>
  <c r="I385" i="1"/>
  <c r="I386" i="1"/>
  <c r="I387" i="1"/>
  <c r="I388" i="1"/>
  <c r="I389" i="1"/>
  <c r="I390" i="1"/>
  <c r="I391" i="1"/>
  <c r="I392" i="1"/>
  <c r="I393" i="1"/>
  <c r="I394" i="1"/>
  <c r="I395" i="1"/>
  <c r="I396" i="1"/>
  <c r="I397" i="1"/>
  <c r="I398" i="1"/>
  <c r="I399" i="1"/>
  <c r="I400" i="1"/>
  <c r="I401" i="1"/>
  <c r="I402" i="1"/>
  <c r="I403" i="1"/>
  <c r="I404" i="1"/>
  <c r="I405" i="1"/>
  <c r="I406" i="1"/>
  <c r="I407" i="1"/>
  <c r="I408" i="1"/>
  <c r="I409" i="1"/>
  <c r="I410" i="1"/>
  <c r="I411" i="1"/>
  <c r="I412" i="1"/>
  <c r="I413" i="1"/>
  <c r="I414" i="1"/>
  <c r="I415" i="1"/>
  <c r="I416" i="1"/>
  <c r="I417" i="1"/>
  <c r="I418" i="1"/>
  <c r="I419" i="1"/>
  <c r="I420" i="1"/>
  <c r="I421" i="1"/>
  <c r="I422" i="1"/>
  <c r="I423" i="1"/>
  <c r="I424" i="1"/>
  <c r="I425" i="1"/>
  <c r="I426" i="1"/>
  <c r="I427" i="1"/>
  <c r="I428" i="1"/>
  <c r="I429" i="1"/>
  <c r="I430" i="1"/>
  <c r="I431" i="1"/>
  <c r="I432" i="1"/>
  <c r="I433" i="1"/>
  <c r="I434" i="1"/>
  <c r="I435" i="1"/>
  <c r="I436" i="1"/>
  <c r="I437" i="1"/>
  <c r="I438" i="1"/>
  <c r="I439" i="1"/>
  <c r="I440" i="1"/>
  <c r="I441" i="1"/>
  <c r="I442" i="1"/>
  <c r="I443" i="1"/>
  <c r="I444" i="1"/>
  <c r="I445" i="1"/>
  <c r="I446" i="1"/>
  <c r="I447" i="1"/>
  <c r="I448" i="1"/>
  <c r="I449" i="1"/>
  <c r="I450" i="1"/>
  <c r="I451" i="1"/>
  <c r="I452" i="1"/>
  <c r="I453" i="1"/>
  <c r="I454" i="1"/>
  <c r="I455" i="1"/>
  <c r="I456" i="1"/>
  <c r="I457" i="1"/>
  <c r="I458" i="1"/>
  <c r="I459" i="1"/>
  <c r="I460" i="1"/>
  <c r="I461" i="1"/>
  <c r="I462" i="1"/>
  <c r="I463" i="1"/>
  <c r="I464" i="1"/>
  <c r="I465" i="1"/>
  <c r="I466" i="1"/>
  <c r="I467" i="1"/>
  <c r="I468" i="1"/>
  <c r="I469" i="1"/>
  <c r="I470" i="1"/>
  <c r="I471" i="1"/>
  <c r="I472" i="1"/>
  <c r="I473" i="1"/>
  <c r="I474" i="1"/>
  <c r="I475" i="1"/>
  <c r="I476" i="1"/>
  <c r="I477" i="1"/>
  <c r="I478" i="1"/>
  <c r="I479" i="1"/>
  <c r="I480" i="1"/>
  <c r="I481" i="1"/>
  <c r="I482" i="1"/>
  <c r="I483" i="1"/>
  <c r="I484" i="1"/>
  <c r="I485" i="1"/>
  <c r="I486" i="1"/>
  <c r="I487" i="1"/>
  <c r="I488" i="1"/>
  <c r="I489" i="1"/>
  <c r="I490" i="1"/>
  <c r="I491" i="1"/>
  <c r="I492" i="1"/>
  <c r="I493" i="1"/>
  <c r="I494" i="1"/>
  <c r="I495" i="1"/>
  <c r="I496" i="1"/>
  <c r="I497" i="1"/>
  <c r="I498" i="1"/>
  <c r="I499" i="1"/>
  <c r="I500" i="1"/>
  <c r="I501" i="1"/>
  <c r="I2" i="1"/>
  <c r="D2" i="3"/>
  <c r="C2" i="3"/>
  <c r="D3" i="3"/>
  <c r="D4" i="3"/>
  <c r="D5" i="3"/>
  <c r="D6" i="3"/>
  <c r="D7" i="3"/>
  <c r="D8" i="3"/>
  <c r="D9" i="3"/>
  <c r="D10" i="3"/>
  <c r="D11" i="3"/>
  <c r="D12" i="3"/>
  <c r="D13" i="3"/>
  <c r="D14" i="3"/>
  <c r="D15" i="3"/>
  <c r="D16" i="3"/>
  <c r="D17" i="3"/>
  <c r="D18" i="3"/>
  <c r="D19" i="3"/>
  <c r="D20" i="3"/>
  <c r="D21" i="3"/>
  <c r="D22" i="3"/>
  <c r="D23" i="3"/>
  <c r="D24" i="3"/>
  <c r="D25" i="3"/>
  <c r="D26" i="3"/>
  <c r="D27" i="3"/>
  <c r="D28" i="3"/>
  <c r="D29" i="3"/>
  <c r="D30" i="3"/>
  <c r="D31" i="3"/>
  <c r="D32" i="3"/>
  <c r="D33" i="3"/>
  <c r="D34" i="3"/>
  <c r="D35" i="3"/>
  <c r="D36" i="3"/>
  <c r="D37" i="3"/>
  <c r="D38" i="3"/>
  <c r="D39" i="3"/>
  <c r="D40" i="3"/>
  <c r="D41" i="3"/>
  <c r="D42" i="3"/>
  <c r="D43" i="3"/>
  <c r="D44" i="3"/>
  <c r="D45" i="3"/>
  <c r="D46" i="3"/>
  <c r="D47" i="3"/>
  <c r="D48" i="3"/>
  <c r="D49" i="3"/>
  <c r="D50" i="3"/>
  <c r="D51" i="3"/>
  <c r="D52" i="3"/>
  <c r="D53" i="3"/>
  <c r="D54" i="3"/>
  <c r="D55" i="3"/>
  <c r="D56" i="3"/>
  <c r="D57" i="3"/>
  <c r="D58" i="3"/>
  <c r="D59" i="3"/>
  <c r="D60" i="3"/>
  <c r="D61" i="3"/>
  <c r="D62" i="3"/>
  <c r="D63" i="3"/>
  <c r="D64" i="3"/>
  <c r="D65" i="3"/>
  <c r="D66" i="3"/>
  <c r="D67" i="3"/>
  <c r="D68" i="3"/>
  <c r="D69" i="3"/>
  <c r="D70" i="3"/>
  <c r="D71" i="3"/>
  <c r="D72" i="3"/>
  <c r="D73" i="3"/>
  <c r="D74" i="3"/>
  <c r="D75" i="3"/>
  <c r="D76" i="3"/>
  <c r="D77" i="3"/>
  <c r="D78" i="3"/>
  <c r="D79" i="3"/>
  <c r="D80" i="3"/>
  <c r="D81" i="3"/>
  <c r="D82" i="3"/>
  <c r="D83" i="3"/>
  <c r="D84" i="3"/>
  <c r="D85" i="3"/>
  <c r="D86" i="3"/>
  <c r="D87" i="3"/>
  <c r="D88" i="3"/>
  <c r="D89" i="3"/>
  <c r="D90" i="3"/>
  <c r="D91" i="3"/>
  <c r="D92" i="3"/>
  <c r="D93" i="3"/>
  <c r="D94" i="3"/>
  <c r="D95" i="3"/>
  <c r="D96" i="3"/>
  <c r="D97" i="3"/>
  <c r="D98" i="3"/>
  <c r="D99" i="3"/>
  <c r="D100" i="3"/>
  <c r="D101" i="3"/>
  <c r="D102" i="3"/>
  <c r="D103" i="3"/>
  <c r="D104" i="3"/>
  <c r="D105" i="3"/>
  <c r="D106" i="3"/>
  <c r="D107" i="3"/>
  <c r="D108" i="3"/>
  <c r="D109" i="3"/>
  <c r="D110" i="3"/>
  <c r="D111" i="3"/>
  <c r="D112" i="3"/>
  <c r="D113" i="3"/>
  <c r="D114" i="3"/>
  <c r="D115" i="3"/>
  <c r="D116" i="3"/>
  <c r="D117" i="3"/>
  <c r="D118" i="3"/>
  <c r="D119" i="3"/>
  <c r="D120" i="3"/>
  <c r="D121" i="3"/>
  <c r="D122" i="3"/>
  <c r="D123" i="3"/>
  <c r="D124" i="3"/>
  <c r="D125" i="3"/>
  <c r="D126" i="3"/>
  <c r="D127" i="3"/>
  <c r="D128" i="3"/>
  <c r="D129" i="3"/>
  <c r="D130" i="3"/>
  <c r="D131" i="3"/>
  <c r="D132" i="3"/>
  <c r="D133" i="3"/>
  <c r="D134" i="3"/>
  <c r="D135" i="3"/>
  <c r="D136" i="3"/>
  <c r="D137" i="3"/>
  <c r="D138" i="3"/>
  <c r="D139" i="3"/>
  <c r="D140" i="3"/>
  <c r="D141" i="3"/>
  <c r="D142" i="3"/>
  <c r="D143" i="3"/>
  <c r="D144" i="3"/>
  <c r="D145" i="3"/>
  <c r="D146" i="3"/>
  <c r="D147" i="3"/>
  <c r="D148" i="3"/>
  <c r="D149" i="3"/>
  <c r="D150" i="3"/>
  <c r="D151" i="3"/>
  <c r="D152" i="3"/>
  <c r="D153" i="3"/>
  <c r="D154" i="3"/>
  <c r="D155" i="3"/>
  <c r="D156" i="3"/>
  <c r="D157" i="3"/>
  <c r="D158" i="3"/>
  <c r="D159" i="3"/>
  <c r="D160" i="3"/>
  <c r="D161" i="3"/>
  <c r="D162" i="3"/>
  <c r="D163" i="3"/>
  <c r="D164" i="3"/>
  <c r="D165" i="3"/>
  <c r="D166" i="3"/>
  <c r="D167" i="3"/>
  <c r="D168" i="3"/>
  <c r="D169" i="3"/>
  <c r="D170" i="3"/>
  <c r="D171" i="3"/>
  <c r="D172" i="3"/>
  <c r="D173" i="3"/>
  <c r="D174" i="3"/>
  <c r="D175" i="3"/>
  <c r="D176" i="3"/>
  <c r="D177" i="3"/>
  <c r="D178" i="3"/>
  <c r="D179" i="3"/>
  <c r="D180" i="3"/>
  <c r="D181" i="3"/>
  <c r="D182" i="3"/>
  <c r="D183" i="3"/>
  <c r="D184" i="3"/>
  <c r="D185" i="3"/>
  <c r="D186" i="3"/>
  <c r="D187" i="3"/>
  <c r="D188" i="3"/>
  <c r="D189" i="3"/>
  <c r="D190" i="3"/>
  <c r="D191" i="3"/>
  <c r="D192" i="3"/>
  <c r="D193" i="3"/>
  <c r="D194" i="3"/>
  <c r="D195" i="3"/>
  <c r="D196" i="3"/>
  <c r="D197" i="3"/>
  <c r="D198" i="3"/>
  <c r="D199" i="3"/>
  <c r="D200" i="3"/>
  <c r="D201" i="3"/>
  <c r="D202" i="3"/>
  <c r="D203" i="3"/>
  <c r="D204" i="3"/>
  <c r="D205" i="3"/>
  <c r="D206" i="3"/>
  <c r="D207" i="3"/>
  <c r="D208" i="3"/>
  <c r="D209" i="3"/>
  <c r="D210" i="3"/>
  <c r="D211" i="3"/>
  <c r="D212" i="3"/>
  <c r="D213" i="3"/>
  <c r="D214" i="3"/>
  <c r="D215" i="3"/>
  <c r="D216" i="3"/>
  <c r="D217" i="3"/>
  <c r="D218" i="3"/>
  <c r="D219" i="3"/>
  <c r="D220" i="3"/>
  <c r="D221" i="3"/>
  <c r="D222" i="3"/>
  <c r="D223" i="3"/>
  <c r="D224" i="3"/>
  <c r="D225" i="3"/>
  <c r="D226" i="3"/>
  <c r="D227" i="3"/>
  <c r="D228" i="3"/>
  <c r="D229" i="3"/>
  <c r="D230" i="3"/>
  <c r="D231" i="3"/>
  <c r="D232" i="3"/>
  <c r="D233" i="3"/>
  <c r="D234" i="3"/>
  <c r="D235" i="3"/>
  <c r="D236" i="3"/>
  <c r="D237" i="3"/>
  <c r="D238" i="3"/>
  <c r="D239" i="3"/>
  <c r="D240" i="3"/>
  <c r="D241" i="3"/>
  <c r="D242" i="3"/>
  <c r="D243" i="3"/>
  <c r="D244" i="3"/>
  <c r="D245" i="3"/>
  <c r="D246" i="3"/>
  <c r="D247" i="3"/>
  <c r="D248" i="3"/>
  <c r="D249" i="3"/>
  <c r="D250" i="3"/>
  <c r="D251" i="3"/>
  <c r="D252" i="3"/>
  <c r="D253" i="3"/>
  <c r="D254" i="3"/>
  <c r="D255" i="3"/>
  <c r="D256" i="3"/>
  <c r="D257" i="3"/>
  <c r="D258" i="3"/>
  <c r="D259" i="3"/>
  <c r="D260" i="3"/>
  <c r="D261" i="3"/>
  <c r="D262" i="3"/>
  <c r="D263" i="3"/>
  <c r="D264" i="3"/>
  <c r="D265" i="3"/>
  <c r="D266" i="3"/>
  <c r="D267" i="3"/>
  <c r="D268" i="3"/>
  <c r="D269" i="3"/>
  <c r="D270" i="3"/>
  <c r="D271" i="3"/>
  <c r="D272" i="3"/>
  <c r="D273" i="3"/>
  <c r="D274" i="3"/>
  <c r="D275" i="3"/>
  <c r="D276" i="3"/>
  <c r="D277" i="3"/>
  <c r="D278" i="3"/>
  <c r="D279" i="3"/>
  <c r="D280" i="3"/>
  <c r="D281" i="3"/>
  <c r="D282" i="3"/>
  <c r="D283" i="3"/>
  <c r="D284" i="3"/>
  <c r="D285" i="3"/>
  <c r="D286" i="3"/>
  <c r="D287" i="3"/>
  <c r="D288" i="3"/>
  <c r="D289" i="3"/>
  <c r="D290" i="3"/>
  <c r="D291" i="3"/>
  <c r="D292" i="3"/>
  <c r="D293" i="3"/>
  <c r="D294" i="3"/>
  <c r="D295" i="3"/>
  <c r="D296" i="3"/>
  <c r="D297" i="3"/>
  <c r="D298" i="3"/>
  <c r="D299" i="3"/>
  <c r="D300" i="3"/>
  <c r="D301" i="3"/>
  <c r="D302" i="3"/>
  <c r="D303" i="3"/>
  <c r="D304" i="3"/>
  <c r="D305" i="3"/>
  <c r="D306" i="3"/>
  <c r="D307" i="3"/>
  <c r="D308" i="3"/>
  <c r="D309" i="3"/>
  <c r="D310" i="3"/>
  <c r="D311" i="3"/>
  <c r="D312" i="3"/>
  <c r="D313" i="3"/>
  <c r="D314" i="3"/>
  <c r="D315" i="3"/>
  <c r="D316" i="3"/>
  <c r="D317" i="3"/>
  <c r="D318" i="3"/>
  <c r="D319" i="3"/>
  <c r="D320" i="3"/>
  <c r="D321" i="3"/>
  <c r="D322" i="3"/>
  <c r="D323" i="3"/>
  <c r="D324" i="3"/>
  <c r="D325" i="3"/>
  <c r="D326" i="3"/>
  <c r="D327" i="3"/>
  <c r="D328" i="3"/>
  <c r="D329" i="3"/>
  <c r="D330" i="3"/>
  <c r="D331" i="3"/>
  <c r="D332" i="3"/>
  <c r="D333" i="3"/>
  <c r="D334" i="3"/>
  <c r="D335" i="3"/>
  <c r="D336" i="3"/>
  <c r="D337" i="3"/>
  <c r="D338" i="3"/>
  <c r="D339" i="3"/>
  <c r="D340" i="3"/>
  <c r="D341" i="3"/>
  <c r="D342" i="3"/>
  <c r="D343" i="3"/>
  <c r="D344" i="3"/>
  <c r="D345" i="3"/>
  <c r="D346" i="3"/>
  <c r="D347" i="3"/>
  <c r="D348" i="3"/>
  <c r="D349" i="3"/>
  <c r="D350" i="3"/>
  <c r="D351" i="3"/>
  <c r="D352" i="3"/>
  <c r="D353" i="3"/>
  <c r="D354" i="3"/>
  <c r="D355" i="3"/>
  <c r="D356" i="3"/>
  <c r="D357" i="3"/>
  <c r="D358" i="3"/>
  <c r="D359" i="3"/>
  <c r="D360" i="3"/>
  <c r="D361" i="3"/>
  <c r="D362" i="3"/>
  <c r="D363" i="3"/>
  <c r="D364" i="3"/>
  <c r="D365" i="3"/>
  <c r="D366" i="3"/>
  <c r="D367" i="3"/>
  <c r="D368" i="3"/>
  <c r="D369" i="3"/>
  <c r="D370" i="3"/>
  <c r="D371" i="3"/>
  <c r="D372" i="3"/>
  <c r="D373" i="3"/>
  <c r="D374" i="3"/>
  <c r="D375" i="3"/>
  <c r="D376" i="3"/>
  <c r="D377" i="3"/>
  <c r="D378" i="3"/>
  <c r="D379" i="3"/>
  <c r="D380" i="3"/>
  <c r="D381" i="3"/>
  <c r="D382" i="3"/>
  <c r="D383" i="3"/>
  <c r="D384" i="3"/>
  <c r="D385" i="3"/>
  <c r="D386" i="3"/>
  <c r="D387" i="3"/>
  <c r="D388" i="3"/>
  <c r="D389" i="3"/>
  <c r="D390" i="3"/>
  <c r="D391" i="3"/>
  <c r="D392" i="3"/>
  <c r="D393" i="3"/>
  <c r="D394" i="3"/>
  <c r="D395" i="3"/>
  <c r="D396" i="3"/>
  <c r="D397" i="3"/>
  <c r="D398" i="3"/>
  <c r="D399" i="3"/>
  <c r="D400" i="3"/>
  <c r="D401" i="3"/>
  <c r="D402" i="3"/>
  <c r="D403" i="3"/>
  <c r="D404" i="3"/>
  <c r="D405" i="3"/>
  <c r="D406" i="3"/>
  <c r="D407" i="3"/>
  <c r="D408" i="3"/>
  <c r="D409" i="3"/>
  <c r="D410" i="3"/>
  <c r="D411" i="3"/>
  <c r="D412" i="3"/>
  <c r="D413" i="3"/>
  <c r="D414" i="3"/>
  <c r="D415" i="3"/>
  <c r="D416" i="3"/>
  <c r="D417" i="3"/>
  <c r="D418" i="3"/>
  <c r="D419" i="3"/>
  <c r="D420" i="3"/>
  <c r="D421" i="3"/>
  <c r="D422" i="3"/>
  <c r="D423" i="3"/>
  <c r="D424" i="3"/>
  <c r="D425" i="3"/>
  <c r="D426" i="3"/>
  <c r="D427" i="3"/>
  <c r="D428" i="3"/>
  <c r="D429" i="3"/>
  <c r="D430" i="3"/>
  <c r="D431" i="3"/>
  <c r="D432" i="3"/>
  <c r="D433" i="3"/>
  <c r="D434" i="3"/>
  <c r="D435" i="3"/>
  <c r="D436" i="3"/>
  <c r="D437" i="3"/>
  <c r="D438" i="3"/>
  <c r="D439" i="3"/>
  <c r="D440" i="3"/>
  <c r="D441" i="3"/>
  <c r="D442" i="3"/>
  <c r="D443" i="3"/>
  <c r="D444" i="3"/>
  <c r="D445" i="3"/>
  <c r="D446" i="3"/>
  <c r="D447" i="3"/>
  <c r="D448" i="3"/>
  <c r="D449" i="3"/>
  <c r="D450" i="3"/>
  <c r="D451" i="3"/>
  <c r="D452" i="3"/>
  <c r="D453" i="3"/>
  <c r="D454" i="3"/>
  <c r="D455" i="3"/>
  <c r="D456" i="3"/>
  <c r="D457" i="3"/>
  <c r="D458" i="3"/>
  <c r="D459" i="3"/>
  <c r="D460" i="3"/>
  <c r="D461" i="3"/>
  <c r="D462" i="3"/>
  <c r="D463" i="3"/>
  <c r="D464" i="3"/>
  <c r="D465" i="3"/>
  <c r="D466" i="3"/>
  <c r="D467" i="3"/>
  <c r="D468" i="3"/>
  <c r="D469" i="3"/>
  <c r="D470" i="3"/>
  <c r="D471" i="3"/>
  <c r="D472" i="3"/>
  <c r="D473" i="3"/>
  <c r="D474" i="3"/>
  <c r="D475" i="3"/>
  <c r="D476" i="3"/>
  <c r="D477" i="3"/>
  <c r="D478" i="3"/>
  <c r="D479" i="3"/>
  <c r="D480" i="3"/>
  <c r="D481" i="3"/>
  <c r="D482" i="3"/>
  <c r="D483" i="3"/>
  <c r="D484" i="3"/>
  <c r="D485" i="3"/>
  <c r="D486" i="3"/>
  <c r="D487" i="3"/>
  <c r="D488" i="3"/>
  <c r="D489" i="3"/>
  <c r="D490" i="3"/>
  <c r="D491" i="3"/>
  <c r="D492" i="3"/>
  <c r="D493" i="3"/>
  <c r="D494" i="3"/>
  <c r="D495" i="3"/>
  <c r="D496" i="3"/>
  <c r="D497" i="3"/>
  <c r="D498" i="3"/>
  <c r="D499" i="3"/>
  <c r="D500" i="3"/>
  <c r="D501" i="3"/>
  <c r="B3" i="3"/>
  <c r="B4" i="3"/>
  <c r="B5" i="3"/>
  <c r="B6" i="3"/>
  <c r="B7" i="3"/>
  <c r="B8" i="3"/>
  <c r="B9" i="3"/>
  <c r="B10" i="3"/>
  <c r="B11" i="3"/>
  <c r="B12" i="3"/>
  <c r="B13" i="3"/>
  <c r="B14" i="3"/>
  <c r="B15" i="3"/>
  <c r="B16" i="3"/>
  <c r="B17" i="3"/>
  <c r="B18" i="3"/>
  <c r="B19" i="3"/>
  <c r="B20" i="3"/>
  <c r="B21" i="3"/>
  <c r="B22" i="3"/>
  <c r="B23" i="3"/>
  <c r="B24" i="3"/>
  <c r="B25" i="3"/>
  <c r="B26" i="3"/>
  <c r="B27" i="3"/>
  <c r="B28" i="3"/>
  <c r="B29" i="3"/>
  <c r="B30" i="3"/>
  <c r="B31" i="3"/>
  <c r="B32" i="3"/>
  <c r="B33" i="3"/>
  <c r="B34" i="3"/>
  <c r="B35" i="3"/>
  <c r="B36" i="3"/>
  <c r="B37" i="3"/>
  <c r="B38" i="3"/>
  <c r="B39" i="3"/>
  <c r="B40" i="3"/>
  <c r="B41" i="3"/>
  <c r="B42" i="3"/>
  <c r="B43" i="3"/>
  <c r="B44" i="3"/>
  <c r="B45" i="3"/>
  <c r="B46" i="3"/>
  <c r="B47" i="3"/>
  <c r="B48" i="3"/>
  <c r="B49" i="3"/>
  <c r="B50" i="3"/>
  <c r="B51" i="3"/>
  <c r="B52" i="3"/>
  <c r="B53" i="3"/>
  <c r="B54" i="3"/>
  <c r="B55" i="3"/>
  <c r="B56" i="3"/>
  <c r="B57" i="3"/>
  <c r="B58" i="3"/>
  <c r="B59" i="3"/>
  <c r="B60" i="3"/>
  <c r="B61" i="3"/>
  <c r="B62" i="3"/>
  <c r="B63" i="3"/>
  <c r="B64" i="3"/>
  <c r="B65" i="3"/>
  <c r="B66" i="3"/>
  <c r="B67" i="3"/>
  <c r="B68" i="3"/>
  <c r="B69" i="3"/>
  <c r="B70" i="3"/>
  <c r="B71" i="3"/>
  <c r="B72" i="3"/>
  <c r="B73" i="3"/>
  <c r="B74" i="3"/>
  <c r="B75" i="3"/>
  <c r="B76" i="3"/>
  <c r="B77" i="3"/>
  <c r="B78" i="3"/>
  <c r="B79" i="3"/>
  <c r="B80" i="3"/>
  <c r="B81" i="3"/>
  <c r="B82" i="3"/>
  <c r="B83" i="3"/>
  <c r="B84" i="3"/>
  <c r="B85" i="3"/>
  <c r="B86" i="3"/>
  <c r="B87" i="3"/>
  <c r="B88" i="3"/>
  <c r="B89" i="3"/>
  <c r="B90" i="3"/>
  <c r="B91" i="3"/>
  <c r="B92" i="3"/>
  <c r="B93" i="3"/>
  <c r="B94" i="3"/>
  <c r="B95" i="3"/>
  <c r="B96" i="3"/>
  <c r="B97" i="3"/>
  <c r="B98" i="3"/>
  <c r="B99" i="3"/>
  <c r="B100" i="3"/>
  <c r="B101" i="3"/>
  <c r="B102" i="3"/>
  <c r="B103" i="3"/>
  <c r="B104" i="3"/>
  <c r="B105" i="3"/>
  <c r="B106" i="3"/>
  <c r="B107" i="3"/>
  <c r="B108" i="3"/>
  <c r="B109" i="3"/>
  <c r="B110" i="3"/>
  <c r="B111" i="3"/>
  <c r="B112" i="3"/>
  <c r="B113" i="3"/>
  <c r="B114" i="3"/>
  <c r="B115" i="3"/>
  <c r="B116" i="3"/>
  <c r="B117" i="3"/>
  <c r="B118" i="3"/>
  <c r="B119" i="3"/>
  <c r="B120" i="3"/>
  <c r="B121" i="3"/>
  <c r="B122" i="3"/>
  <c r="B123" i="3"/>
  <c r="B124" i="3"/>
  <c r="B125" i="3"/>
  <c r="B126" i="3"/>
  <c r="B127" i="3"/>
  <c r="B128" i="3"/>
  <c r="B129" i="3"/>
  <c r="B130" i="3"/>
  <c r="B131" i="3"/>
  <c r="B132" i="3"/>
  <c r="B133" i="3"/>
  <c r="B134" i="3"/>
  <c r="B135" i="3"/>
  <c r="B136" i="3"/>
  <c r="B137" i="3"/>
  <c r="B138" i="3"/>
  <c r="B139" i="3"/>
  <c r="B140" i="3"/>
  <c r="B141" i="3"/>
  <c r="B142" i="3"/>
  <c r="B143" i="3"/>
  <c r="B144" i="3"/>
  <c r="B145" i="3"/>
  <c r="B146" i="3"/>
  <c r="B147" i="3"/>
  <c r="B148" i="3"/>
  <c r="B149" i="3"/>
  <c r="B150" i="3"/>
  <c r="B151" i="3"/>
  <c r="B152" i="3"/>
  <c r="B153" i="3"/>
  <c r="B154" i="3"/>
  <c r="B155" i="3"/>
  <c r="B156" i="3"/>
  <c r="B157" i="3"/>
  <c r="B158" i="3"/>
  <c r="B159" i="3"/>
  <c r="B160" i="3"/>
  <c r="B161" i="3"/>
  <c r="B162" i="3"/>
  <c r="B163" i="3"/>
  <c r="B164" i="3"/>
  <c r="B165" i="3"/>
  <c r="B166" i="3"/>
  <c r="B167" i="3"/>
  <c r="B168" i="3"/>
  <c r="B169" i="3"/>
  <c r="B170" i="3"/>
  <c r="B171" i="3"/>
  <c r="B172" i="3"/>
  <c r="B173" i="3"/>
  <c r="B174" i="3"/>
  <c r="B175" i="3"/>
  <c r="B176" i="3"/>
  <c r="B177" i="3"/>
  <c r="B178" i="3"/>
  <c r="B179" i="3"/>
  <c r="B180" i="3"/>
  <c r="B181" i="3"/>
  <c r="B182" i="3"/>
  <c r="B183" i="3"/>
  <c r="B184" i="3"/>
  <c r="B185" i="3"/>
  <c r="B186" i="3"/>
  <c r="B187" i="3"/>
  <c r="B188" i="3"/>
  <c r="B189" i="3"/>
  <c r="B190" i="3"/>
  <c r="B191" i="3"/>
  <c r="B192" i="3"/>
  <c r="B193" i="3"/>
  <c r="B194" i="3"/>
  <c r="B195" i="3"/>
  <c r="B196" i="3"/>
  <c r="B197" i="3"/>
  <c r="B198" i="3"/>
  <c r="B199" i="3"/>
  <c r="B200" i="3"/>
  <c r="B201" i="3"/>
  <c r="B202" i="3"/>
  <c r="B203" i="3"/>
  <c r="B204" i="3"/>
  <c r="B205" i="3"/>
  <c r="B206" i="3"/>
  <c r="B207" i="3"/>
  <c r="B208" i="3"/>
  <c r="B209" i="3"/>
  <c r="B210" i="3"/>
  <c r="B211" i="3"/>
  <c r="B212" i="3"/>
  <c r="B213" i="3"/>
  <c r="B214" i="3"/>
  <c r="B215" i="3"/>
  <c r="B216" i="3"/>
  <c r="B217" i="3"/>
  <c r="B218" i="3"/>
  <c r="B219" i="3"/>
  <c r="B220" i="3"/>
  <c r="B221" i="3"/>
  <c r="B222" i="3"/>
  <c r="B223" i="3"/>
  <c r="B224" i="3"/>
  <c r="B225" i="3"/>
  <c r="B226" i="3"/>
  <c r="B227" i="3"/>
  <c r="B228" i="3"/>
  <c r="B229" i="3"/>
  <c r="B230" i="3"/>
  <c r="B231" i="3"/>
  <c r="B232" i="3"/>
  <c r="B233" i="3"/>
  <c r="B234" i="3"/>
  <c r="B235" i="3"/>
  <c r="B236" i="3"/>
  <c r="B237" i="3"/>
  <c r="B238" i="3"/>
  <c r="B239" i="3"/>
  <c r="B240" i="3"/>
  <c r="B241" i="3"/>
  <c r="B242" i="3"/>
  <c r="B243" i="3"/>
  <c r="B244" i="3"/>
  <c r="B245" i="3"/>
  <c r="B246" i="3"/>
  <c r="B247" i="3"/>
  <c r="B248" i="3"/>
  <c r="B249" i="3"/>
  <c r="B250" i="3"/>
  <c r="B251" i="3"/>
  <c r="B252" i="3"/>
  <c r="B253" i="3"/>
  <c r="B254" i="3"/>
  <c r="B255" i="3"/>
  <c r="B256" i="3"/>
  <c r="B257" i="3"/>
  <c r="B258" i="3"/>
  <c r="B259" i="3"/>
  <c r="B260" i="3"/>
  <c r="B261" i="3"/>
  <c r="B262" i="3"/>
  <c r="B263" i="3"/>
  <c r="B264" i="3"/>
  <c r="B265" i="3"/>
  <c r="B266" i="3"/>
  <c r="B267" i="3"/>
  <c r="B268" i="3"/>
  <c r="B269" i="3"/>
  <c r="B270" i="3"/>
  <c r="B271" i="3"/>
  <c r="B272" i="3"/>
  <c r="B273" i="3"/>
  <c r="B274" i="3"/>
  <c r="B275" i="3"/>
  <c r="B276" i="3"/>
  <c r="B277" i="3"/>
  <c r="B278" i="3"/>
  <c r="B279" i="3"/>
  <c r="B280" i="3"/>
  <c r="B281" i="3"/>
  <c r="B282" i="3"/>
  <c r="B283" i="3"/>
  <c r="B284" i="3"/>
  <c r="B285" i="3"/>
  <c r="B286" i="3"/>
  <c r="B287" i="3"/>
  <c r="B288" i="3"/>
  <c r="B289" i="3"/>
  <c r="B290" i="3"/>
  <c r="B291" i="3"/>
  <c r="B292" i="3"/>
  <c r="B293" i="3"/>
  <c r="B294" i="3"/>
  <c r="B295" i="3"/>
  <c r="B296" i="3"/>
  <c r="B297" i="3"/>
  <c r="B298" i="3"/>
  <c r="B299" i="3"/>
  <c r="B300" i="3"/>
  <c r="B301" i="3"/>
  <c r="B302" i="3"/>
  <c r="B303" i="3"/>
  <c r="B304" i="3"/>
  <c r="B305" i="3"/>
  <c r="B306" i="3"/>
  <c r="B307" i="3"/>
  <c r="B308" i="3"/>
  <c r="B309" i="3"/>
  <c r="B310" i="3"/>
  <c r="B311" i="3"/>
  <c r="B312" i="3"/>
  <c r="B313" i="3"/>
  <c r="B314" i="3"/>
  <c r="B315" i="3"/>
  <c r="B316" i="3"/>
  <c r="B317" i="3"/>
  <c r="B318" i="3"/>
  <c r="B319" i="3"/>
  <c r="B320" i="3"/>
  <c r="B321" i="3"/>
  <c r="B322" i="3"/>
  <c r="B323" i="3"/>
  <c r="B324" i="3"/>
  <c r="B325" i="3"/>
  <c r="B326" i="3"/>
  <c r="B327" i="3"/>
  <c r="B328" i="3"/>
  <c r="B329" i="3"/>
  <c r="B330" i="3"/>
  <c r="B331" i="3"/>
  <c r="B332" i="3"/>
  <c r="B333" i="3"/>
  <c r="B334" i="3"/>
  <c r="B335" i="3"/>
  <c r="B336" i="3"/>
  <c r="B337" i="3"/>
  <c r="B338" i="3"/>
  <c r="B339" i="3"/>
  <c r="B340" i="3"/>
  <c r="B341" i="3"/>
  <c r="B342" i="3"/>
  <c r="B343" i="3"/>
  <c r="B344" i="3"/>
  <c r="B345" i="3"/>
  <c r="B346" i="3"/>
  <c r="B347" i="3"/>
  <c r="B348" i="3"/>
  <c r="B349" i="3"/>
  <c r="B350" i="3"/>
  <c r="B351" i="3"/>
  <c r="B352" i="3"/>
  <c r="B353" i="3"/>
  <c r="B354" i="3"/>
  <c r="B355" i="3"/>
  <c r="B356" i="3"/>
  <c r="B357" i="3"/>
  <c r="B358" i="3"/>
  <c r="B359" i="3"/>
  <c r="B360" i="3"/>
  <c r="B361" i="3"/>
  <c r="B362" i="3"/>
  <c r="B363" i="3"/>
  <c r="B364" i="3"/>
  <c r="B365" i="3"/>
  <c r="B366" i="3"/>
  <c r="B367" i="3"/>
  <c r="B368" i="3"/>
  <c r="B369" i="3"/>
  <c r="B370" i="3"/>
  <c r="B371" i="3"/>
  <c r="B372" i="3"/>
  <c r="B373" i="3"/>
  <c r="B374" i="3"/>
  <c r="B375" i="3"/>
  <c r="B376" i="3"/>
  <c r="B377" i="3"/>
  <c r="B378" i="3"/>
  <c r="B379" i="3"/>
  <c r="B380" i="3"/>
  <c r="B381" i="3"/>
  <c r="B382" i="3"/>
  <c r="B383" i="3"/>
  <c r="B384" i="3"/>
  <c r="B385" i="3"/>
  <c r="B386" i="3"/>
  <c r="B387" i="3"/>
  <c r="B388" i="3"/>
  <c r="B389" i="3"/>
  <c r="B390" i="3"/>
  <c r="B391" i="3"/>
  <c r="B392" i="3"/>
  <c r="B393" i="3"/>
  <c r="B394" i="3"/>
  <c r="B395" i="3"/>
  <c r="B396" i="3"/>
  <c r="B397" i="3"/>
  <c r="B398" i="3"/>
  <c r="B399" i="3"/>
  <c r="B400" i="3"/>
  <c r="B401" i="3"/>
  <c r="B402" i="3"/>
  <c r="B403" i="3"/>
  <c r="B404" i="3"/>
  <c r="B405" i="3"/>
  <c r="B406" i="3"/>
  <c r="B407" i="3"/>
  <c r="B408" i="3"/>
  <c r="B409" i="3"/>
  <c r="B410" i="3"/>
  <c r="B411" i="3"/>
  <c r="B412" i="3"/>
  <c r="B413" i="3"/>
  <c r="B414" i="3"/>
  <c r="B415" i="3"/>
  <c r="B416" i="3"/>
  <c r="B417" i="3"/>
  <c r="B418" i="3"/>
  <c r="B419" i="3"/>
  <c r="B420" i="3"/>
  <c r="B421" i="3"/>
  <c r="B422" i="3"/>
  <c r="B423" i="3"/>
  <c r="B424" i="3"/>
  <c r="B425" i="3"/>
  <c r="B426" i="3"/>
  <c r="B427" i="3"/>
  <c r="B428" i="3"/>
  <c r="B429" i="3"/>
  <c r="B430" i="3"/>
  <c r="B431" i="3"/>
  <c r="B432" i="3"/>
  <c r="B433" i="3"/>
  <c r="B434" i="3"/>
  <c r="B435" i="3"/>
  <c r="B436" i="3"/>
  <c r="B437" i="3"/>
  <c r="B438" i="3"/>
  <c r="B439" i="3"/>
  <c r="B440" i="3"/>
  <c r="B441" i="3"/>
  <c r="B442" i="3"/>
  <c r="B443" i="3"/>
  <c r="B444" i="3"/>
  <c r="B445" i="3"/>
  <c r="B446" i="3"/>
  <c r="B447" i="3"/>
  <c r="B448" i="3"/>
  <c r="B449" i="3"/>
  <c r="B450" i="3"/>
  <c r="B451" i="3"/>
  <c r="B452" i="3"/>
  <c r="B453" i="3"/>
  <c r="B454" i="3"/>
  <c r="B455" i="3"/>
  <c r="B456" i="3"/>
  <c r="B457" i="3"/>
  <c r="B458" i="3"/>
  <c r="B459" i="3"/>
  <c r="B460" i="3"/>
  <c r="B461" i="3"/>
  <c r="B462" i="3"/>
  <c r="B463" i="3"/>
  <c r="B464" i="3"/>
  <c r="B465" i="3"/>
  <c r="B466" i="3"/>
  <c r="B467" i="3"/>
  <c r="B468" i="3"/>
  <c r="B469" i="3"/>
  <c r="B470" i="3"/>
  <c r="B471" i="3"/>
  <c r="B472" i="3"/>
  <c r="B473" i="3"/>
  <c r="B474" i="3"/>
  <c r="B475" i="3"/>
  <c r="B476" i="3"/>
  <c r="B477" i="3"/>
  <c r="B478" i="3"/>
  <c r="B479" i="3"/>
  <c r="B480" i="3"/>
  <c r="B481" i="3"/>
  <c r="B482" i="3"/>
  <c r="B483" i="3"/>
  <c r="B484" i="3"/>
  <c r="B485" i="3"/>
  <c r="B486" i="3"/>
  <c r="B487" i="3"/>
  <c r="B488" i="3"/>
  <c r="B489" i="3"/>
  <c r="B490" i="3"/>
  <c r="B491" i="3"/>
  <c r="B492" i="3"/>
  <c r="B493" i="3"/>
  <c r="B494" i="3"/>
  <c r="B495" i="3"/>
  <c r="B496" i="3"/>
  <c r="B497" i="3"/>
  <c r="B498" i="3"/>
  <c r="B499" i="3"/>
  <c r="B500" i="3"/>
  <c r="B501" i="3"/>
  <c r="C3" i="3"/>
  <c r="C4" i="3"/>
  <c r="C5" i="3"/>
  <c r="C6" i="3"/>
  <c r="C7" i="3"/>
  <c r="C8" i="3"/>
  <c r="C9" i="3"/>
  <c r="C10" i="3"/>
  <c r="C11" i="3"/>
  <c r="C12" i="3"/>
  <c r="C13" i="3"/>
  <c r="C14" i="3"/>
  <c r="C15" i="3"/>
  <c r="C16" i="3"/>
  <c r="C17" i="3"/>
  <c r="C18" i="3"/>
  <c r="C19" i="3"/>
  <c r="C20" i="3"/>
  <c r="C21" i="3"/>
  <c r="C22" i="3"/>
  <c r="C23" i="3"/>
  <c r="C24" i="3"/>
  <c r="C25" i="3"/>
  <c r="C26" i="3"/>
  <c r="C27" i="3"/>
  <c r="C28" i="3"/>
  <c r="C29" i="3"/>
  <c r="C30" i="3"/>
  <c r="C31" i="3"/>
  <c r="C32" i="3"/>
  <c r="C33" i="3"/>
  <c r="C34" i="3"/>
  <c r="C35" i="3"/>
  <c r="C36" i="3"/>
  <c r="C37" i="3"/>
  <c r="C38" i="3"/>
  <c r="C39" i="3"/>
  <c r="C40" i="3"/>
  <c r="C41" i="3"/>
  <c r="C42" i="3"/>
  <c r="C43" i="3"/>
  <c r="C44" i="3"/>
  <c r="C45" i="3"/>
  <c r="C46" i="3"/>
  <c r="C47" i="3"/>
  <c r="C48" i="3"/>
  <c r="C49" i="3"/>
  <c r="C50" i="3"/>
  <c r="C51" i="3"/>
  <c r="C52" i="3"/>
  <c r="C53" i="3"/>
  <c r="C54" i="3"/>
  <c r="C55" i="3"/>
  <c r="C56" i="3"/>
  <c r="C57" i="3"/>
  <c r="C58" i="3"/>
  <c r="C59" i="3"/>
  <c r="C60" i="3"/>
  <c r="C61" i="3"/>
  <c r="C62" i="3"/>
  <c r="C63" i="3"/>
  <c r="C64" i="3"/>
  <c r="C65" i="3"/>
  <c r="C66" i="3"/>
  <c r="C67" i="3"/>
  <c r="C68" i="3"/>
  <c r="C69" i="3"/>
  <c r="C70" i="3"/>
  <c r="C71" i="3"/>
  <c r="C72" i="3"/>
  <c r="C73" i="3"/>
  <c r="C74" i="3"/>
  <c r="C75" i="3"/>
  <c r="C76" i="3"/>
  <c r="C77" i="3"/>
  <c r="C78" i="3"/>
  <c r="C79" i="3"/>
  <c r="C80" i="3"/>
  <c r="C81" i="3"/>
  <c r="C82" i="3"/>
  <c r="C83" i="3"/>
  <c r="C84" i="3"/>
  <c r="C85" i="3"/>
  <c r="C86" i="3"/>
  <c r="C87" i="3"/>
  <c r="C88" i="3"/>
  <c r="C89" i="3"/>
  <c r="C90" i="3"/>
  <c r="C91" i="3"/>
  <c r="C92" i="3"/>
  <c r="C93" i="3"/>
  <c r="C94" i="3"/>
  <c r="C95" i="3"/>
  <c r="C96" i="3"/>
  <c r="C97" i="3"/>
  <c r="C98" i="3"/>
  <c r="C99" i="3"/>
  <c r="C100" i="3"/>
  <c r="C101" i="3"/>
  <c r="C102" i="3"/>
  <c r="C103" i="3"/>
  <c r="C104" i="3"/>
  <c r="C105" i="3"/>
  <c r="C106" i="3"/>
  <c r="C107" i="3"/>
  <c r="C108" i="3"/>
  <c r="C109" i="3"/>
  <c r="C110" i="3"/>
  <c r="C111" i="3"/>
  <c r="C112" i="3"/>
  <c r="C113" i="3"/>
  <c r="C114" i="3"/>
  <c r="C115" i="3"/>
  <c r="C116" i="3"/>
  <c r="C117" i="3"/>
  <c r="C118" i="3"/>
  <c r="C119" i="3"/>
  <c r="C120" i="3"/>
  <c r="C121" i="3"/>
  <c r="C122" i="3"/>
  <c r="C123" i="3"/>
  <c r="C124" i="3"/>
  <c r="C125" i="3"/>
  <c r="C126" i="3"/>
  <c r="C127" i="3"/>
  <c r="C128" i="3"/>
  <c r="C129" i="3"/>
  <c r="C130" i="3"/>
  <c r="C131" i="3"/>
  <c r="C132" i="3"/>
  <c r="C133" i="3"/>
  <c r="C134" i="3"/>
  <c r="C135" i="3"/>
  <c r="C136" i="3"/>
  <c r="C137" i="3"/>
  <c r="C138" i="3"/>
  <c r="C139" i="3"/>
  <c r="C140" i="3"/>
  <c r="C141" i="3"/>
  <c r="C142" i="3"/>
  <c r="C143" i="3"/>
  <c r="C144" i="3"/>
  <c r="C145" i="3"/>
  <c r="C146" i="3"/>
  <c r="C147" i="3"/>
  <c r="C148" i="3"/>
  <c r="C149" i="3"/>
  <c r="C150" i="3"/>
  <c r="C151" i="3"/>
  <c r="C152" i="3"/>
  <c r="C153" i="3"/>
  <c r="C154" i="3"/>
  <c r="C155" i="3"/>
  <c r="C156" i="3"/>
  <c r="C157" i="3"/>
  <c r="C158" i="3"/>
  <c r="C159" i="3"/>
  <c r="C160" i="3"/>
  <c r="C161" i="3"/>
  <c r="C162" i="3"/>
  <c r="C163" i="3"/>
  <c r="C164" i="3"/>
  <c r="C165" i="3"/>
  <c r="C166" i="3"/>
  <c r="C167" i="3"/>
  <c r="C168" i="3"/>
  <c r="C169" i="3"/>
  <c r="C170" i="3"/>
  <c r="C171" i="3"/>
  <c r="C172" i="3"/>
  <c r="C173" i="3"/>
  <c r="C174" i="3"/>
  <c r="C175" i="3"/>
  <c r="C176" i="3"/>
  <c r="C177" i="3"/>
  <c r="C178" i="3"/>
  <c r="C179" i="3"/>
  <c r="C180" i="3"/>
  <c r="C181" i="3"/>
  <c r="C182" i="3"/>
  <c r="C183" i="3"/>
  <c r="C184" i="3"/>
  <c r="C185" i="3"/>
  <c r="C186" i="3"/>
  <c r="C187" i="3"/>
  <c r="C188" i="3"/>
  <c r="C189" i="3"/>
  <c r="C190" i="3"/>
  <c r="C191" i="3"/>
  <c r="C192" i="3"/>
  <c r="C193" i="3"/>
  <c r="C194" i="3"/>
  <c r="C195" i="3"/>
  <c r="C196" i="3"/>
  <c r="C197" i="3"/>
  <c r="C198" i="3"/>
  <c r="C199" i="3"/>
  <c r="C200" i="3"/>
  <c r="C201" i="3"/>
  <c r="C202" i="3"/>
  <c r="C203" i="3"/>
  <c r="C204" i="3"/>
  <c r="C205" i="3"/>
  <c r="C206" i="3"/>
  <c r="C207" i="3"/>
  <c r="C208" i="3"/>
  <c r="C209" i="3"/>
  <c r="C210" i="3"/>
  <c r="C211" i="3"/>
  <c r="C212" i="3"/>
  <c r="C213" i="3"/>
  <c r="C214" i="3"/>
  <c r="C215" i="3"/>
  <c r="C216" i="3"/>
  <c r="C217" i="3"/>
  <c r="C218" i="3"/>
  <c r="C219" i="3"/>
  <c r="C220" i="3"/>
  <c r="C221" i="3"/>
  <c r="C222" i="3"/>
  <c r="C223" i="3"/>
  <c r="C224" i="3"/>
  <c r="C225" i="3"/>
  <c r="C226" i="3"/>
  <c r="C227" i="3"/>
  <c r="C228" i="3"/>
  <c r="C229" i="3"/>
  <c r="C230" i="3"/>
  <c r="C231" i="3"/>
  <c r="C232" i="3"/>
  <c r="C233" i="3"/>
  <c r="C234" i="3"/>
  <c r="C235" i="3"/>
  <c r="C236" i="3"/>
  <c r="C237" i="3"/>
  <c r="C238" i="3"/>
  <c r="C239" i="3"/>
  <c r="C240" i="3"/>
  <c r="C241" i="3"/>
  <c r="C242" i="3"/>
  <c r="C243" i="3"/>
  <c r="C244" i="3"/>
  <c r="C245" i="3"/>
  <c r="C246" i="3"/>
  <c r="C247" i="3"/>
  <c r="C248" i="3"/>
  <c r="C249" i="3"/>
  <c r="C250" i="3"/>
  <c r="C251" i="3"/>
  <c r="C252" i="3"/>
  <c r="C253" i="3"/>
  <c r="C254" i="3"/>
  <c r="C255" i="3"/>
  <c r="C256" i="3"/>
  <c r="C257" i="3"/>
  <c r="C258" i="3"/>
  <c r="C259" i="3"/>
  <c r="C260" i="3"/>
  <c r="C261" i="3"/>
  <c r="C262" i="3"/>
  <c r="C263" i="3"/>
  <c r="C264" i="3"/>
  <c r="C265" i="3"/>
  <c r="C266" i="3"/>
  <c r="C267" i="3"/>
  <c r="C268" i="3"/>
  <c r="C269" i="3"/>
  <c r="C270" i="3"/>
  <c r="C271" i="3"/>
  <c r="C272" i="3"/>
  <c r="C273" i="3"/>
  <c r="C274" i="3"/>
  <c r="C275" i="3"/>
  <c r="C276" i="3"/>
  <c r="C277" i="3"/>
  <c r="C278" i="3"/>
  <c r="C279" i="3"/>
  <c r="C280" i="3"/>
  <c r="C281" i="3"/>
  <c r="C282" i="3"/>
  <c r="C283" i="3"/>
  <c r="C284" i="3"/>
  <c r="C285" i="3"/>
  <c r="C286" i="3"/>
  <c r="C287" i="3"/>
  <c r="C288" i="3"/>
  <c r="C289" i="3"/>
  <c r="C290" i="3"/>
  <c r="C291" i="3"/>
  <c r="C292" i="3"/>
  <c r="C293" i="3"/>
  <c r="C294" i="3"/>
  <c r="C295" i="3"/>
  <c r="C296" i="3"/>
  <c r="C297" i="3"/>
  <c r="C298" i="3"/>
  <c r="C299" i="3"/>
  <c r="C300" i="3"/>
  <c r="C301" i="3"/>
  <c r="C302" i="3"/>
  <c r="C303" i="3"/>
  <c r="C304" i="3"/>
  <c r="C305" i="3"/>
  <c r="C306" i="3"/>
  <c r="C307" i="3"/>
  <c r="C308" i="3"/>
  <c r="C309" i="3"/>
  <c r="C310" i="3"/>
  <c r="C311" i="3"/>
  <c r="C312" i="3"/>
  <c r="C313" i="3"/>
  <c r="C314" i="3"/>
  <c r="C315" i="3"/>
  <c r="C316" i="3"/>
  <c r="C317" i="3"/>
  <c r="C318" i="3"/>
  <c r="C319" i="3"/>
  <c r="C320" i="3"/>
  <c r="C321" i="3"/>
  <c r="C322" i="3"/>
  <c r="C323" i="3"/>
  <c r="C324" i="3"/>
  <c r="C325" i="3"/>
  <c r="C326" i="3"/>
  <c r="C327" i="3"/>
  <c r="C328" i="3"/>
  <c r="C329" i="3"/>
  <c r="C330" i="3"/>
  <c r="C331" i="3"/>
  <c r="C332" i="3"/>
  <c r="C333" i="3"/>
  <c r="C334" i="3"/>
  <c r="C335" i="3"/>
  <c r="C336" i="3"/>
  <c r="C337" i="3"/>
  <c r="C338" i="3"/>
  <c r="C339" i="3"/>
  <c r="C340" i="3"/>
  <c r="C341" i="3"/>
  <c r="C342" i="3"/>
  <c r="C343" i="3"/>
  <c r="C344" i="3"/>
  <c r="C345" i="3"/>
  <c r="C346" i="3"/>
  <c r="C347" i="3"/>
  <c r="C348" i="3"/>
  <c r="C349" i="3"/>
  <c r="C350" i="3"/>
  <c r="C351" i="3"/>
  <c r="C352" i="3"/>
  <c r="C353" i="3"/>
  <c r="C354" i="3"/>
  <c r="C355" i="3"/>
  <c r="C356" i="3"/>
  <c r="C357" i="3"/>
  <c r="C358" i="3"/>
  <c r="C359" i="3"/>
  <c r="C360" i="3"/>
  <c r="C361" i="3"/>
  <c r="C362" i="3"/>
  <c r="C363" i="3"/>
  <c r="C364" i="3"/>
  <c r="C365" i="3"/>
  <c r="C366" i="3"/>
  <c r="C367" i="3"/>
  <c r="C368" i="3"/>
  <c r="C369" i="3"/>
  <c r="C370" i="3"/>
  <c r="C371" i="3"/>
  <c r="C372" i="3"/>
  <c r="C373" i="3"/>
  <c r="C374" i="3"/>
  <c r="C375" i="3"/>
  <c r="C376" i="3"/>
  <c r="C377" i="3"/>
  <c r="C378" i="3"/>
  <c r="C379" i="3"/>
  <c r="C380" i="3"/>
  <c r="C381" i="3"/>
  <c r="C382" i="3"/>
  <c r="C383" i="3"/>
  <c r="C384" i="3"/>
  <c r="C385" i="3"/>
  <c r="C386" i="3"/>
  <c r="C387" i="3"/>
  <c r="C388" i="3"/>
  <c r="C389" i="3"/>
  <c r="C390" i="3"/>
  <c r="C391" i="3"/>
  <c r="C392" i="3"/>
  <c r="C393" i="3"/>
  <c r="C394" i="3"/>
  <c r="C395" i="3"/>
  <c r="C396" i="3"/>
  <c r="C397" i="3"/>
  <c r="C398" i="3"/>
  <c r="C399" i="3"/>
  <c r="C400" i="3"/>
  <c r="C401" i="3"/>
  <c r="C402" i="3"/>
  <c r="C403" i="3"/>
  <c r="C404" i="3"/>
  <c r="C405" i="3"/>
  <c r="C406" i="3"/>
  <c r="C407" i="3"/>
  <c r="C408" i="3"/>
  <c r="C409" i="3"/>
  <c r="C410" i="3"/>
  <c r="C411" i="3"/>
  <c r="C412" i="3"/>
  <c r="C413" i="3"/>
  <c r="C414" i="3"/>
  <c r="C415" i="3"/>
  <c r="C416" i="3"/>
  <c r="C417" i="3"/>
  <c r="C418" i="3"/>
  <c r="C419" i="3"/>
  <c r="C420" i="3"/>
  <c r="C421" i="3"/>
  <c r="C422" i="3"/>
  <c r="C423" i="3"/>
  <c r="C424" i="3"/>
  <c r="C425" i="3"/>
  <c r="C426" i="3"/>
  <c r="C427" i="3"/>
  <c r="C428" i="3"/>
  <c r="C429" i="3"/>
  <c r="C430" i="3"/>
  <c r="C431" i="3"/>
  <c r="C432" i="3"/>
  <c r="C433" i="3"/>
  <c r="C434" i="3"/>
  <c r="C435" i="3"/>
  <c r="C436" i="3"/>
  <c r="C437" i="3"/>
  <c r="C438" i="3"/>
  <c r="C439" i="3"/>
  <c r="C440" i="3"/>
  <c r="C441" i="3"/>
  <c r="C442" i="3"/>
  <c r="C443" i="3"/>
  <c r="C444" i="3"/>
  <c r="C445" i="3"/>
  <c r="C446" i="3"/>
  <c r="C447" i="3"/>
  <c r="C448" i="3"/>
  <c r="C449" i="3"/>
  <c r="C450" i="3"/>
  <c r="C451" i="3"/>
  <c r="C452" i="3"/>
  <c r="C453" i="3"/>
  <c r="C454" i="3"/>
  <c r="C455" i="3"/>
  <c r="C456" i="3"/>
  <c r="C457" i="3"/>
  <c r="C458" i="3"/>
  <c r="C459" i="3"/>
  <c r="C460" i="3"/>
  <c r="C461" i="3"/>
  <c r="C462" i="3"/>
  <c r="C463" i="3"/>
  <c r="C464" i="3"/>
  <c r="C465" i="3"/>
  <c r="C466" i="3"/>
  <c r="C467" i="3"/>
  <c r="C468" i="3"/>
  <c r="C469" i="3"/>
  <c r="C470" i="3"/>
  <c r="C471" i="3"/>
  <c r="C472" i="3"/>
  <c r="C473" i="3"/>
  <c r="C474" i="3"/>
  <c r="C475" i="3"/>
  <c r="C476" i="3"/>
  <c r="C477" i="3"/>
  <c r="C478" i="3"/>
  <c r="C479" i="3"/>
  <c r="C480" i="3"/>
  <c r="C481" i="3"/>
  <c r="C482" i="3"/>
  <c r="C483" i="3"/>
  <c r="C484" i="3"/>
  <c r="C485" i="3"/>
  <c r="C486" i="3"/>
  <c r="C487" i="3"/>
  <c r="C488" i="3"/>
  <c r="C489" i="3"/>
  <c r="C490" i="3"/>
  <c r="C491" i="3"/>
  <c r="C492" i="3"/>
  <c r="C493" i="3"/>
  <c r="C494" i="3"/>
  <c r="C495" i="3"/>
  <c r="C496" i="3"/>
  <c r="C497" i="3"/>
  <c r="C498" i="3"/>
  <c r="C499" i="3"/>
  <c r="C500" i="3"/>
  <c r="C501" i="3"/>
  <c r="P15" i="10" l="1"/>
  <c r="P7" i="10"/>
  <c r="P14" i="10"/>
  <c r="P6" i="10"/>
  <c r="P5" i="10"/>
  <c r="P4" i="10"/>
  <c r="P12" i="10"/>
  <c r="P3" i="10"/>
  <c r="P17" i="10"/>
  <c r="P13" i="10"/>
  <c r="P8" i="10"/>
  <c r="P16" i="10"/>
  <c r="D3" i="10"/>
  <c r="D15" i="10"/>
  <c r="F4" i="10"/>
  <c r="D7" i="10"/>
  <c r="B17" i="10"/>
  <c r="D13" i="10"/>
  <c r="B38" i="21"/>
  <c r="Q2" i="2"/>
  <c r="D6" i="10"/>
  <c r="B16" i="10"/>
  <c r="E12" i="10"/>
  <c r="B12" i="10"/>
  <c r="B30" i="21"/>
  <c r="F5" i="10"/>
  <c r="D8" i="10"/>
  <c r="D5" i="10"/>
  <c r="B15" i="10"/>
  <c r="E17" i="10"/>
  <c r="B36" i="21"/>
  <c r="B33" i="21"/>
  <c r="B31" i="21"/>
  <c r="B14" i="10"/>
  <c r="E3" i="10"/>
  <c r="B13" i="10"/>
  <c r="E15" i="10"/>
  <c r="B6" i="10"/>
  <c r="E8" i="10"/>
  <c r="C12" i="10"/>
  <c r="E14" i="10"/>
  <c r="K8" i="17" a="1"/>
  <c r="K8" i="17" s="1"/>
  <c r="B7" i="10"/>
  <c r="B5" i="10"/>
  <c r="E7" i="10"/>
  <c r="C17" i="10"/>
  <c r="E13" i="10"/>
  <c r="B4" i="10"/>
  <c r="E6" i="10"/>
  <c r="C16" i="10"/>
  <c r="F12" i="10"/>
  <c r="C8" i="10"/>
  <c r="E4" i="10"/>
  <c r="C14" i="10"/>
  <c r="F16" i="10"/>
  <c r="C7" i="10"/>
  <c r="C13" i="10"/>
  <c r="C6" i="10"/>
  <c r="F8" i="10"/>
  <c r="D12" i="10"/>
  <c r="F13" i="10"/>
  <c r="B34" i="21"/>
  <c r="D4" i="10"/>
  <c r="E5" i="10"/>
  <c r="F3" i="10"/>
  <c r="F14" i="10"/>
  <c r="C5" i="10"/>
  <c r="F7" i="10"/>
  <c r="D17" i="10"/>
  <c r="B3" i="10"/>
  <c r="B35" i="21"/>
  <c r="C3" i="10"/>
  <c r="C4" i="10"/>
  <c r="D16" i="10"/>
  <c r="B32" i="21"/>
  <c r="B37" i="21"/>
  <c r="J22" i="10" l="1"/>
  <c r="G15" i="10"/>
  <c r="G3" i="10"/>
  <c r="G5" i="10"/>
  <c r="G8" i="10"/>
  <c r="G7" i="10"/>
  <c r="H22" i="10"/>
  <c r="G12" i="10"/>
  <c r="G6" i="10"/>
  <c r="G16" i="10"/>
  <c r="G13" i="10"/>
  <c r="I10" i="21"/>
  <c r="S14" i="2"/>
  <c r="T14" i="2"/>
  <c r="Q5" i="17"/>
  <c r="G14" i="10"/>
  <c r="G17" i="10"/>
  <c r="G4" i="10"/>
  <c r="I22" i="10" l="1"/>
  <c r="G22" i="10"/>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<sst xmlns="http://schemas.openxmlformats.org/spreadsheetml/2006/main" count="15553" uniqueCount="1097">
  <si>
    <t>Order_ID</t>
  </si>
  <si>
    <t>Order_Date</t>
  </si>
  <si>
    <t>Customer_Name</t>
  </si>
  <si>
    <t>Country</t>
  </si>
  <si>
    <t>Product</t>
  </si>
  <si>
    <t>Category</t>
  </si>
  <si>
    <t>Quantity</t>
  </si>
  <si>
    <t>Unit_Price</t>
  </si>
  <si>
    <t>Total_Sales</t>
  </si>
  <si>
    <t>Shipping_Cost</t>
  </si>
  <si>
    <t>Profit</t>
  </si>
  <si>
    <t>Ship_Mode</t>
  </si>
  <si>
    <t>Order_Priority</t>
  </si>
  <si>
    <t>Region_Code</t>
  </si>
  <si>
    <t>ORD_2025_0001</t>
  </si>
  <si>
    <t>Smith, Emily</t>
  </si>
  <si>
    <t>USA</t>
  </si>
  <si>
    <t>Travel Backpack</t>
  </si>
  <si>
    <t>Accessories</t>
  </si>
  <si>
    <t>Land</t>
  </si>
  <si>
    <t>Low</t>
  </si>
  <si>
    <t>NA</t>
  </si>
  <si>
    <t>ORD_2025_0002</t>
  </si>
  <si>
    <t>Brown, Laura</t>
  </si>
  <si>
    <t>UK</t>
  </si>
  <si>
    <t>Leather Wallet</t>
  </si>
  <si>
    <t>Sea</t>
  </si>
  <si>
    <t>Medium</t>
  </si>
  <si>
    <t>EU</t>
  </si>
  <si>
    <t>ORD_2025_0003</t>
  </si>
  <si>
    <t>Davis, John</t>
  </si>
  <si>
    <t>Italy</t>
  </si>
  <si>
    <t>High</t>
  </si>
  <si>
    <t>ORD_2025_0004</t>
  </si>
  <si>
    <t>Miller, Daniel</t>
  </si>
  <si>
    <t>Brazil</t>
  </si>
  <si>
    <t>Bluetooth Speaker</t>
  </si>
  <si>
    <t>Electronics</t>
  </si>
  <si>
    <t>Air</t>
  </si>
  <si>
    <t>SA</t>
  </si>
  <si>
    <t>ORD_2025_0005</t>
  </si>
  <si>
    <t>Johnson, Emma</t>
  </si>
  <si>
    <t>Canada</t>
  </si>
  <si>
    <t>Denim Jacket</t>
  </si>
  <si>
    <t>Apparel</t>
  </si>
  <si>
    <t>ORD_2025_0006</t>
  </si>
  <si>
    <t>Johnson, Michael</t>
  </si>
  <si>
    <t>Mexico</t>
  </si>
  <si>
    <t>Wireless Mouse</t>
  </si>
  <si>
    <t>ORD_2025_0007</t>
  </si>
  <si>
    <t>Hernandez, Emma</t>
  </si>
  <si>
    <t>Glass Bowl Set</t>
  </si>
  <si>
    <t>Home Decor</t>
  </si>
  <si>
    <t>ORD_2025_0008</t>
  </si>
  <si>
    <t>Miller, John</t>
  </si>
  <si>
    <t>China</t>
  </si>
  <si>
    <t>Cotton Bedsheet</t>
  </si>
  <si>
    <t>Textiles</t>
  </si>
  <si>
    <t>AS</t>
  </si>
  <si>
    <t>ORD_2025_0009</t>
  </si>
  <si>
    <t>Ceramic Vase</t>
  </si>
  <si>
    <t>ORD_2025_0010</t>
  </si>
  <si>
    <t>Martinez, Laura</t>
  </si>
  <si>
    <t>LED Lamp</t>
  </si>
  <si>
    <t>ORD_2025_0011</t>
  </si>
  <si>
    <t>Martinez, James</t>
  </si>
  <si>
    <t>ORD_2025_0012</t>
  </si>
  <si>
    <t>Davis, James</t>
  </si>
  <si>
    <t>ORD_2025_0013</t>
  </si>
  <si>
    <t>Singapore</t>
  </si>
  <si>
    <t>ORD_2025_0014</t>
  </si>
  <si>
    <t>Smith, Emma</t>
  </si>
  <si>
    <t>ORD_2025_0015</t>
  </si>
  <si>
    <t>Davis, Sarah</t>
  </si>
  <si>
    <t>UAE</t>
  </si>
  <si>
    <t>ORD_2025_0016</t>
  </si>
  <si>
    <t>Williams, David</t>
  </si>
  <si>
    <t>Japan</t>
  </si>
  <si>
    <t>ORD_2025_0017</t>
  </si>
  <si>
    <t>ORD_2025_0018</t>
  </si>
  <si>
    <t>ORD_2025_0019</t>
  </si>
  <si>
    <t>Smith, Sarah</t>
  </si>
  <si>
    <t>ORD_2025_0020</t>
  </si>
  <si>
    <t>Table Lamp</t>
  </si>
  <si>
    <t>ORD_2025_0021</t>
  </si>
  <si>
    <t>Miller, Michael</t>
  </si>
  <si>
    <t>South Africa</t>
  </si>
  <si>
    <t>AF</t>
  </si>
  <si>
    <t>ORD_2025_0022</t>
  </si>
  <si>
    <t>Davis, David</t>
  </si>
  <si>
    <t>ORD_2025_0023</t>
  </si>
  <si>
    <t>Johnson, Sarah</t>
  </si>
  <si>
    <t>ORD_2025_0024</t>
  </si>
  <si>
    <t>Hernandez, Sophia</t>
  </si>
  <si>
    <t>ORD_2025_0025</t>
  </si>
  <si>
    <t>Williams, Daniel</t>
  </si>
  <si>
    <t>ORD_2025_0026</t>
  </si>
  <si>
    <t>Martinez, Michael</t>
  </si>
  <si>
    <t>ORD_2025_0027</t>
  </si>
  <si>
    <t>ORD_2025_0028</t>
  </si>
  <si>
    <t>Jones, Laura</t>
  </si>
  <si>
    <t>ORD_2025_0029</t>
  </si>
  <si>
    <t>Brown, Michael</t>
  </si>
  <si>
    <t>ORD_2025_0030</t>
  </si>
  <si>
    <t>ORD_2025_0031</t>
  </si>
  <si>
    <t>Miller, Laura</t>
  </si>
  <si>
    <t>France</t>
  </si>
  <si>
    <t>ORD_2025_0032</t>
  </si>
  <si>
    <t>Garcia, Sophia</t>
  </si>
  <si>
    <t>ORD_2025_0033</t>
  </si>
  <si>
    <t>Smith, Sophia</t>
  </si>
  <si>
    <t>ORD_2025_0034</t>
  </si>
  <si>
    <t>ORD_2025_0035</t>
  </si>
  <si>
    <t>Hernandez, John</t>
  </si>
  <si>
    <t>ORD_2025_0036</t>
  </si>
  <si>
    <t>Williams, Laura</t>
  </si>
  <si>
    <t>ORD_2025_0037</t>
  </si>
  <si>
    <t>Miller, David</t>
  </si>
  <si>
    <t>ORD_2025_0038</t>
  </si>
  <si>
    <t>Smith, Michael</t>
  </si>
  <si>
    <t>ORD_2025_0039</t>
  </si>
  <si>
    <t>Martinez, Sarah</t>
  </si>
  <si>
    <t>ORD_2025_0040</t>
  </si>
  <si>
    <t>Garcia, Emily</t>
  </si>
  <si>
    <t>ORD_2025_0041</t>
  </si>
  <si>
    <t>Williams, Emma</t>
  </si>
  <si>
    <t>ORD_2025_0042</t>
  </si>
  <si>
    <t>ORD_2025_0043</t>
  </si>
  <si>
    <t>ORD_2025_0044</t>
  </si>
  <si>
    <t>Australia</t>
  </si>
  <si>
    <t>OC</t>
  </si>
  <si>
    <t>ORD_2025_0045</t>
  </si>
  <si>
    <t>ORD_2025_0046</t>
  </si>
  <si>
    <t>ORD_2025_0047</t>
  </si>
  <si>
    <t>ORD_2025_0048</t>
  </si>
  <si>
    <t>Smith, Daniel</t>
  </si>
  <si>
    <t>ORD_2025_0049</t>
  </si>
  <si>
    <t>Jones, David</t>
  </si>
  <si>
    <t>ORD_2025_0050</t>
  </si>
  <si>
    <t>Brown, Sarah</t>
  </si>
  <si>
    <t>ORD_2025_0051</t>
  </si>
  <si>
    <t>ORD_2025_0052</t>
  </si>
  <si>
    <t>Martinez, Emma</t>
  </si>
  <si>
    <t>ORD_2025_0053</t>
  </si>
  <si>
    <t>ORD_2025_0054</t>
  </si>
  <si>
    <t>Johnson, Daniel</t>
  </si>
  <si>
    <t>ORD_2025_0055</t>
  </si>
  <si>
    <t>Jones, Sophia</t>
  </si>
  <si>
    <t>ORD_2025_0056</t>
  </si>
  <si>
    <t>Garcia, Sarah</t>
  </si>
  <si>
    <t>ORD_2025_0057</t>
  </si>
  <si>
    <t>Germany</t>
  </si>
  <si>
    <t>ORD_2025_0058</t>
  </si>
  <si>
    <t>ORD_2025_0059</t>
  </si>
  <si>
    <t>Williams, Michael</t>
  </si>
  <si>
    <t>ORD_2025_0060</t>
  </si>
  <si>
    <t>Hernandez, James</t>
  </si>
  <si>
    <t>ORD_2025_0061</t>
  </si>
  <si>
    <t>Williams, Sarah</t>
  </si>
  <si>
    <t>ORD_2025_0062</t>
  </si>
  <si>
    <t>ORD_2025_0063</t>
  </si>
  <si>
    <t>Williams, Emily</t>
  </si>
  <si>
    <t>ORD_2025_0064</t>
  </si>
  <si>
    <t>ORD_2025_0065</t>
  </si>
  <si>
    <t>ORD_2025_0066</t>
  </si>
  <si>
    <t>ORD_2025_0067</t>
  </si>
  <si>
    <t>Brown, Daniel</t>
  </si>
  <si>
    <t>ORD_2025_0068</t>
  </si>
  <si>
    <t>Martinez, Daniel</t>
  </si>
  <si>
    <t>ORD_2025_0069</t>
  </si>
  <si>
    <t>Jones, Michael</t>
  </si>
  <si>
    <t>ORD_2025_0070</t>
  </si>
  <si>
    <t>ORD_2025_0071</t>
  </si>
  <si>
    <t>Garcia, Michael</t>
  </si>
  <si>
    <t>ORD_2025_0072</t>
  </si>
  <si>
    <t>ORD_2025_0073</t>
  </si>
  <si>
    <t>Smith, David</t>
  </si>
  <si>
    <t>India</t>
  </si>
  <si>
    <t>ORD_2025_0074</t>
  </si>
  <si>
    <t>Miller, Sophia</t>
  </si>
  <si>
    <t>ORD_2025_0075</t>
  </si>
  <si>
    <t>Garcia, Laura</t>
  </si>
  <si>
    <t>ORD_2025_0076</t>
  </si>
  <si>
    <t>Davis, Michael</t>
  </si>
  <si>
    <t>ORD_2025_0077</t>
  </si>
  <si>
    <t>ORD_2025_0078</t>
  </si>
  <si>
    <t>ORD_2025_0079</t>
  </si>
  <si>
    <t>ORD_2025_0080</t>
  </si>
  <si>
    <t>ORD_2025_0081</t>
  </si>
  <si>
    <t>Davis, Emma</t>
  </si>
  <si>
    <t>ORD_2025_0082</t>
  </si>
  <si>
    <t>ORD_2025_0083</t>
  </si>
  <si>
    <t>ORD_2025_0084</t>
  </si>
  <si>
    <t>Hernandez, Laura</t>
  </si>
  <si>
    <t>ORD_2025_0085</t>
  </si>
  <si>
    <t>ORD_2025_0086</t>
  </si>
  <si>
    <t>ORD_2025_0087</t>
  </si>
  <si>
    <t>ORD_2025_0088</t>
  </si>
  <si>
    <t>ORD_2025_0089</t>
  </si>
  <si>
    <t>Davis, Emily</t>
  </si>
  <si>
    <t>ORD_2025_0090</t>
  </si>
  <si>
    <t>ORD_2025_0091</t>
  </si>
  <si>
    <t>Johnson, James</t>
  </si>
  <si>
    <t>ORD_2025_0092</t>
  </si>
  <si>
    <t>Martinez, Sophia</t>
  </si>
  <si>
    <t>ORD_2025_0093</t>
  </si>
  <si>
    <t>ORD_2025_0094</t>
  </si>
  <si>
    <t>Miller, Sarah</t>
  </si>
  <si>
    <t>ORD_2025_0095</t>
  </si>
  <si>
    <t>Williams, James</t>
  </si>
  <si>
    <t>ORD_2025_0096</t>
  </si>
  <si>
    <t>Garcia, Emma</t>
  </si>
  <si>
    <t>ORD_2025_0097</t>
  </si>
  <si>
    <t>ORD_2025_0098</t>
  </si>
  <si>
    <t>ORD_2025_0099</t>
  </si>
  <si>
    <t>ORD_2025_0100</t>
  </si>
  <si>
    <t>ORD_2025_0101</t>
  </si>
  <si>
    <t>ORD_2025_0102</t>
  </si>
  <si>
    <t>ORD_2025_0103</t>
  </si>
  <si>
    <t>ORD_2025_0104</t>
  </si>
  <si>
    <t>ORD_2025_0105</t>
  </si>
  <si>
    <t>Johnson, David</t>
  </si>
  <si>
    <t>ORD_2025_0106</t>
  </si>
  <si>
    <t>ORD_2025_0107</t>
  </si>
  <si>
    <t>ORD_2025_0108</t>
  </si>
  <si>
    <t>ORD_2025_0109</t>
  </si>
  <si>
    <t>Miller, Emily</t>
  </si>
  <si>
    <t>ORD_2025_0110</t>
  </si>
  <si>
    <t>ORD_2025_0111</t>
  </si>
  <si>
    <t>ORD_2025_0112</t>
  </si>
  <si>
    <t>ORD_2025_0113</t>
  </si>
  <si>
    <t>Martinez, Emily</t>
  </si>
  <si>
    <t>ORD_2025_0114</t>
  </si>
  <si>
    <t>Hernandez, Daniel</t>
  </si>
  <si>
    <t>ORD_2025_0115</t>
  </si>
  <si>
    <t>ORD_2025_0116</t>
  </si>
  <si>
    <t>ORD_2025_0117</t>
  </si>
  <si>
    <t>ORD_2025_0118</t>
  </si>
  <si>
    <t>ORD_2025_0119</t>
  </si>
  <si>
    <t>ORD_2025_0120</t>
  </si>
  <si>
    <t>Hernandez, David</t>
  </si>
  <si>
    <t>ORD_2025_0121</t>
  </si>
  <si>
    <t>ORD_2025_0122</t>
  </si>
  <si>
    <t>ORD_2025_0123</t>
  </si>
  <si>
    <t>ORD_2025_0124</t>
  </si>
  <si>
    <t>ORD_2025_0125</t>
  </si>
  <si>
    <t>Martinez, John</t>
  </si>
  <si>
    <t>ORD_2025_0126</t>
  </si>
  <si>
    <t>ORD_2025_0127</t>
  </si>
  <si>
    <t>Garcia, David</t>
  </si>
  <si>
    <t>ORD_2025_0128</t>
  </si>
  <si>
    <t>ORD_2025_0129</t>
  </si>
  <si>
    <t>ORD_2025_0130</t>
  </si>
  <si>
    <t>ORD_2025_0131</t>
  </si>
  <si>
    <t>ORD_2025_0132</t>
  </si>
  <si>
    <t>ORD_2025_0133</t>
  </si>
  <si>
    <t>ORD_2025_0134</t>
  </si>
  <si>
    <t>Smith, James</t>
  </si>
  <si>
    <t>ORD_2025_0135</t>
  </si>
  <si>
    <t>ORD_2025_0136</t>
  </si>
  <si>
    <t>ORD_2025_0137</t>
  </si>
  <si>
    <t>Brown, Emily</t>
  </si>
  <si>
    <t>ORD_2025_0138</t>
  </si>
  <si>
    <t>ORD_2025_0139</t>
  </si>
  <si>
    <t>ORD_2025_0140</t>
  </si>
  <si>
    <t>ORD_2025_0141</t>
  </si>
  <si>
    <t>ORD_2025_0142</t>
  </si>
  <si>
    <t>ORD_2025_0143</t>
  </si>
  <si>
    <t>Brown, James</t>
  </si>
  <si>
    <t>ORD_2025_0144</t>
  </si>
  <si>
    <t>ORD_2025_0145</t>
  </si>
  <si>
    <t>ORD_2025_0146</t>
  </si>
  <si>
    <t>ORD_2025_0147</t>
  </si>
  <si>
    <t>ORD_2025_0148</t>
  </si>
  <si>
    <t>Johnson, Sophia</t>
  </si>
  <si>
    <t>ORD_2025_0149</t>
  </si>
  <si>
    <t>Davis, Sophia</t>
  </si>
  <si>
    <t>ORD_2025_0150</t>
  </si>
  <si>
    <t>Jones, Daniel</t>
  </si>
  <si>
    <t>ORD_2025_0151</t>
  </si>
  <si>
    <t>ORD_2025_0152</t>
  </si>
  <si>
    <t>Davis, Laura</t>
  </si>
  <si>
    <t>ORD_2025_0153</t>
  </si>
  <si>
    <t>ORD_2025_0154</t>
  </si>
  <si>
    <t>ORD_2025_0155</t>
  </si>
  <si>
    <t>ORD_2025_0156</t>
  </si>
  <si>
    <t>Hernandez, Michael</t>
  </si>
  <si>
    <t>ORD_2025_0157</t>
  </si>
  <si>
    <t>ORD_2025_0158</t>
  </si>
  <si>
    <t>ORD_2025_0159</t>
  </si>
  <si>
    <t>ORD_2025_0160</t>
  </si>
  <si>
    <t>Brown, John</t>
  </si>
  <si>
    <t>ORD_2025_0161</t>
  </si>
  <si>
    <t>Martinez, David</t>
  </si>
  <si>
    <t>ORD_2025_0162</t>
  </si>
  <si>
    <t>ORD_2025_0163</t>
  </si>
  <si>
    <t>ORD_2025_0164</t>
  </si>
  <si>
    <t>Johnson, Emily</t>
  </si>
  <si>
    <t>ORD_2025_0165</t>
  </si>
  <si>
    <t>ORD_2025_0166</t>
  </si>
  <si>
    <t>Garcia, John</t>
  </si>
  <si>
    <t>ORD_2025_0167</t>
  </si>
  <si>
    <t>ORD_2025_0168</t>
  </si>
  <si>
    <t>Jones, Emily</t>
  </si>
  <si>
    <t>ORD_2025_0169</t>
  </si>
  <si>
    <t>ORD_2025_0170</t>
  </si>
  <si>
    <t>Miller, James</t>
  </si>
  <si>
    <t>ORD_2025_0171</t>
  </si>
  <si>
    <t>ORD_2025_0172</t>
  </si>
  <si>
    <t>ORD_2025_0173</t>
  </si>
  <si>
    <t>ORD_2025_0174</t>
  </si>
  <si>
    <t>ORD_2025_0175</t>
  </si>
  <si>
    <t>ORD_2025_0176</t>
  </si>
  <si>
    <t>ORD_2025_0177</t>
  </si>
  <si>
    <t>ORD_2025_0178</t>
  </si>
  <si>
    <t>Hernandez, Sarah</t>
  </si>
  <si>
    <t>ORD_2025_0179</t>
  </si>
  <si>
    <t>ORD_2025_0180</t>
  </si>
  <si>
    <t>ORD_2025_0181</t>
  </si>
  <si>
    <t>Davis, Daniel</t>
  </si>
  <si>
    <t>ORD_2025_0182</t>
  </si>
  <si>
    <t>ORD_2025_0183</t>
  </si>
  <si>
    <t>ORD_2025_0184</t>
  </si>
  <si>
    <t>Miller, Emma</t>
  </si>
  <si>
    <t>ORD_2025_0185</t>
  </si>
  <si>
    <t>ORD_2025_0186</t>
  </si>
  <si>
    <t>ORD_2025_0187</t>
  </si>
  <si>
    <t>ORD_2025_0188</t>
  </si>
  <si>
    <t>ORD_2025_0189</t>
  </si>
  <si>
    <t>ORD_2025_0190</t>
  </si>
  <si>
    <t>Garcia, Daniel</t>
  </si>
  <si>
    <t>ORD_2025_0191</t>
  </si>
  <si>
    <t>ORD_2025_0192</t>
  </si>
  <si>
    <t>ORD_2025_0193</t>
  </si>
  <si>
    <t>ORD_2025_0194</t>
  </si>
  <si>
    <t>ORD_2025_0195</t>
  </si>
  <si>
    <t>ORD_2025_0196</t>
  </si>
  <si>
    <t>ORD_2025_0197</t>
  </si>
  <si>
    <t>ORD_2025_0198</t>
  </si>
  <si>
    <t>ORD_2025_0199</t>
  </si>
  <si>
    <t>ORD_2025_0200</t>
  </si>
  <si>
    <t>ORD_2025_0201</t>
  </si>
  <si>
    <t>Jones, Sarah</t>
  </si>
  <si>
    <t>ORD_2025_0202</t>
  </si>
  <si>
    <t>ORD_2025_0203</t>
  </si>
  <si>
    <t>ORD_2025_0204</t>
  </si>
  <si>
    <t>ORD_2025_0205</t>
  </si>
  <si>
    <t>ORD_2025_0206</t>
  </si>
  <si>
    <t>ORD_2025_0207</t>
  </si>
  <si>
    <t>ORD_2025_0208</t>
  </si>
  <si>
    <t>ORD_2025_0209</t>
  </si>
  <si>
    <t>ORD_2025_0210</t>
  </si>
  <si>
    <t>ORD_2025_0211</t>
  </si>
  <si>
    <t>ORD_2025_0212</t>
  </si>
  <si>
    <t>Brown, David</t>
  </si>
  <si>
    <t>ORD_2025_0213</t>
  </si>
  <si>
    <t>ORD_2025_0214</t>
  </si>
  <si>
    <t>ORD_2025_0215</t>
  </si>
  <si>
    <t>ORD_2025_0216</t>
  </si>
  <si>
    <t>ORD_2025_0217</t>
  </si>
  <si>
    <t>Johnson, John</t>
  </si>
  <si>
    <t>ORD_2025_0218</t>
  </si>
  <si>
    <t>ORD_2025_0219</t>
  </si>
  <si>
    <t>ORD_2025_0220</t>
  </si>
  <si>
    <t>Brown, Sophia</t>
  </si>
  <si>
    <t>ORD_2025_0221</t>
  </si>
  <si>
    <t>ORD_2025_0222</t>
  </si>
  <si>
    <t>ORD_2025_0223</t>
  </si>
  <si>
    <t>ORD_2025_0224</t>
  </si>
  <si>
    <t>ORD_2025_0225</t>
  </si>
  <si>
    <t>ORD_2025_0226</t>
  </si>
  <si>
    <t>Jones, Emma</t>
  </si>
  <si>
    <t>ORD_2025_0227</t>
  </si>
  <si>
    <t>ORD_2025_0228</t>
  </si>
  <si>
    <t>ORD_2025_0229</t>
  </si>
  <si>
    <t>ORD_2025_0230</t>
  </si>
  <si>
    <t>ORD_2025_0231</t>
  </si>
  <si>
    <t>ORD_2025_0232</t>
  </si>
  <si>
    <t>ORD_2025_0233</t>
  </si>
  <si>
    <t>ORD_2025_0234</t>
  </si>
  <si>
    <t>ORD_2025_0235</t>
  </si>
  <si>
    <t>ORD_2025_0236</t>
  </si>
  <si>
    <t>ORD_2025_0237</t>
  </si>
  <si>
    <t>ORD_2025_0238</t>
  </si>
  <si>
    <t>ORD_2025_0239</t>
  </si>
  <si>
    <t>ORD_2025_0240</t>
  </si>
  <si>
    <t>ORD_2025_0241</t>
  </si>
  <si>
    <t>ORD_2025_0242</t>
  </si>
  <si>
    <t>ORD_2025_0243</t>
  </si>
  <si>
    <t>Johnson, Laura</t>
  </si>
  <si>
    <t>ORD_2025_0244</t>
  </si>
  <si>
    <t>ORD_2025_0245</t>
  </si>
  <si>
    <t>ORD_2025_0246</t>
  </si>
  <si>
    <t>ORD_2025_0247</t>
  </si>
  <si>
    <t>ORD_2025_0248</t>
  </si>
  <si>
    <t>ORD_2025_0249</t>
  </si>
  <si>
    <t>ORD_2025_0250</t>
  </si>
  <si>
    <t>ORD_2025_0251</t>
  </si>
  <si>
    <t>ORD_2025_0252</t>
  </si>
  <si>
    <t>Smith, John</t>
  </si>
  <si>
    <t>ORD_2025_0253</t>
  </si>
  <si>
    <t>ORD_2025_0254</t>
  </si>
  <si>
    <t>ORD_2025_0255</t>
  </si>
  <si>
    <t>ORD_2025_0256</t>
  </si>
  <si>
    <t>ORD_2025_0257</t>
  </si>
  <si>
    <t>ORD_2025_0258</t>
  </si>
  <si>
    <t>ORD_2025_0259</t>
  </si>
  <si>
    <t>ORD_2025_0260</t>
  </si>
  <si>
    <t>Williams, Sophia</t>
  </si>
  <si>
    <t>ORD_2025_0261</t>
  </si>
  <si>
    <t>Garcia, James</t>
  </si>
  <si>
    <t>ORD_2025_0262</t>
  </si>
  <si>
    <t>ORD_2025_0263</t>
  </si>
  <si>
    <t>ORD_2025_0264</t>
  </si>
  <si>
    <t>ORD_2025_0265</t>
  </si>
  <si>
    <t>ORD_2025_0266</t>
  </si>
  <si>
    <t>ORD_2025_0267</t>
  </si>
  <si>
    <t>ORD_2025_0268</t>
  </si>
  <si>
    <t>ORD_2025_0269</t>
  </si>
  <si>
    <t>ORD_2025_0270</t>
  </si>
  <si>
    <t>ORD_2025_0271</t>
  </si>
  <si>
    <t>Smith, Laura</t>
  </si>
  <si>
    <t>ORD_2025_0272</t>
  </si>
  <si>
    <t>ORD_2025_0273</t>
  </si>
  <si>
    <t>ORD_2025_0274</t>
  </si>
  <si>
    <t>ORD_2025_0275</t>
  </si>
  <si>
    <t>ORD_2025_0276</t>
  </si>
  <si>
    <t>ORD_2025_0277</t>
  </si>
  <si>
    <t>ORD_2025_0278</t>
  </si>
  <si>
    <t>ORD_2025_0279</t>
  </si>
  <si>
    <t>ORD_2025_0280</t>
  </si>
  <si>
    <t>ORD_2025_0281</t>
  </si>
  <si>
    <t>ORD_2025_0282</t>
  </si>
  <si>
    <t>ORD_2025_0283</t>
  </si>
  <si>
    <t>ORD_2025_0284</t>
  </si>
  <si>
    <t>ORD_2025_0285</t>
  </si>
  <si>
    <t>ORD_2025_0286</t>
  </si>
  <si>
    <t>ORD_2025_0287</t>
  </si>
  <si>
    <t>ORD_2025_0288</t>
  </si>
  <si>
    <t>ORD_2025_0289</t>
  </si>
  <si>
    <t>ORD_2025_0290</t>
  </si>
  <si>
    <t>ORD_2025_0291</t>
  </si>
  <si>
    <t>ORD_2025_0292</t>
  </si>
  <si>
    <t>ORD_2025_0293</t>
  </si>
  <si>
    <t>ORD_2025_0294</t>
  </si>
  <si>
    <t>ORD_2025_0295</t>
  </si>
  <si>
    <t>ORD_2025_0296</t>
  </si>
  <si>
    <t>ORD_2025_0297</t>
  </si>
  <si>
    <t>ORD_2025_0298</t>
  </si>
  <si>
    <t>ORD_2025_0299</t>
  </si>
  <si>
    <t>ORD_2025_0300</t>
  </si>
  <si>
    <t>ORD_2025_0301</t>
  </si>
  <si>
    <t>ORD_2025_0302</t>
  </si>
  <si>
    <t>ORD_2025_0303</t>
  </si>
  <si>
    <t>ORD_2025_0304</t>
  </si>
  <si>
    <t>ORD_2025_0305</t>
  </si>
  <si>
    <t>ORD_2025_0306</t>
  </si>
  <si>
    <t>ORD_2025_0307</t>
  </si>
  <si>
    <t>ORD_2025_0308</t>
  </si>
  <si>
    <t>ORD_2025_0309</t>
  </si>
  <si>
    <t>ORD_2025_0310</t>
  </si>
  <si>
    <t>ORD_2025_0311</t>
  </si>
  <si>
    <t>ORD_2025_0312</t>
  </si>
  <si>
    <t>ORD_2025_0313</t>
  </si>
  <si>
    <t>ORD_2025_0314</t>
  </si>
  <si>
    <t>Jones, James</t>
  </si>
  <si>
    <t>ORD_2025_0315</t>
  </si>
  <si>
    <t>ORD_2025_0316</t>
  </si>
  <si>
    <t>ORD_2025_0317</t>
  </si>
  <si>
    <t>ORD_2025_0318</t>
  </si>
  <si>
    <t>ORD_2025_0319</t>
  </si>
  <si>
    <t>ORD_2025_0320</t>
  </si>
  <si>
    <t>ORD_2025_0321</t>
  </si>
  <si>
    <t>Jones, John</t>
  </si>
  <si>
    <t>ORD_2025_0322</t>
  </si>
  <si>
    <t>ORD_2025_0323</t>
  </si>
  <si>
    <t>ORD_2025_0324</t>
  </si>
  <si>
    <t>ORD_2025_0325</t>
  </si>
  <si>
    <t>ORD_2025_0326</t>
  </si>
  <si>
    <t>ORD_2025_0327</t>
  </si>
  <si>
    <t>ORD_2025_0328</t>
  </si>
  <si>
    <t>ORD_2025_0329</t>
  </si>
  <si>
    <t>ORD_2025_0330</t>
  </si>
  <si>
    <t>Hernandez, Emily</t>
  </si>
  <si>
    <t>ORD_2025_0331</t>
  </si>
  <si>
    <t>ORD_2025_0332</t>
  </si>
  <si>
    <t>ORD_2025_0333</t>
  </si>
  <si>
    <t>ORD_2025_0334</t>
  </si>
  <si>
    <t>ORD_2025_0335</t>
  </si>
  <si>
    <t>ORD_2025_0336</t>
  </si>
  <si>
    <t>ORD_2025_0337</t>
  </si>
  <si>
    <t>ORD_2025_0338</t>
  </si>
  <si>
    <t>ORD_2025_0339</t>
  </si>
  <si>
    <t>ORD_2025_0340</t>
  </si>
  <si>
    <t>ORD_2025_0341</t>
  </si>
  <si>
    <t>ORD_2025_0342</t>
  </si>
  <si>
    <t>ORD_2025_0343</t>
  </si>
  <si>
    <t>ORD_2025_0344</t>
  </si>
  <si>
    <t>ORD_2025_0345</t>
  </si>
  <si>
    <t>ORD_2025_0346</t>
  </si>
  <si>
    <t>ORD_2025_0347</t>
  </si>
  <si>
    <t>ORD_2025_0348</t>
  </si>
  <si>
    <t>ORD_2025_0349</t>
  </si>
  <si>
    <t>ORD_2025_0350</t>
  </si>
  <si>
    <t>Williams, John</t>
  </si>
  <si>
    <t>ORD_2025_0351</t>
  </si>
  <si>
    <t>ORD_2025_0352</t>
  </si>
  <si>
    <t>ORD_2025_0353</t>
  </si>
  <si>
    <t>ORD_2025_0354</t>
  </si>
  <si>
    <t>ORD_2025_0355</t>
  </si>
  <si>
    <t>ORD_2025_0356</t>
  </si>
  <si>
    <t>ORD_2025_0357</t>
  </si>
  <si>
    <t>ORD_2025_0358</t>
  </si>
  <si>
    <t>ORD_2025_0359</t>
  </si>
  <si>
    <t>ORD_2025_0360</t>
  </si>
  <si>
    <t>ORD_2025_0361</t>
  </si>
  <si>
    <t>ORD_2025_0362</t>
  </si>
  <si>
    <t>ORD_2025_0363</t>
  </si>
  <si>
    <t>ORD_2025_0364</t>
  </si>
  <si>
    <t>ORD_2025_0365</t>
  </si>
  <si>
    <t>ORD_2025_0366</t>
  </si>
  <si>
    <t>ORD_2025_0367</t>
  </si>
  <si>
    <t>ORD_2025_0368</t>
  </si>
  <si>
    <t>ORD_2025_0369</t>
  </si>
  <si>
    <t>ORD_2025_0370</t>
  </si>
  <si>
    <t>ORD_2025_0371</t>
  </si>
  <si>
    <t>ORD_2025_0372</t>
  </si>
  <si>
    <t>ORD_2025_0373</t>
  </si>
  <si>
    <t>ORD_2025_0374</t>
  </si>
  <si>
    <t>ORD_2025_0375</t>
  </si>
  <si>
    <t>ORD_2025_0376</t>
  </si>
  <si>
    <t>ORD_2025_0377</t>
  </si>
  <si>
    <t>ORD_2025_0378</t>
  </si>
  <si>
    <t>ORD_2025_0379</t>
  </si>
  <si>
    <t>ORD_2025_0380</t>
  </si>
  <si>
    <t>ORD_2025_0381</t>
  </si>
  <si>
    <t>ORD_2025_0382</t>
  </si>
  <si>
    <t>ORD_2025_0383</t>
  </si>
  <si>
    <t>ORD_2025_0384</t>
  </si>
  <si>
    <t>ORD_2025_0385</t>
  </si>
  <si>
    <t>ORD_2025_0386</t>
  </si>
  <si>
    <t>ORD_2025_0387</t>
  </si>
  <si>
    <t>ORD_2025_0388</t>
  </si>
  <si>
    <t>ORD_2025_0389</t>
  </si>
  <si>
    <t>ORD_2025_0390</t>
  </si>
  <si>
    <t>ORD_2025_0391</t>
  </si>
  <si>
    <t>ORD_2025_0392</t>
  </si>
  <si>
    <t>ORD_2025_0393</t>
  </si>
  <si>
    <t>ORD_2025_0394</t>
  </si>
  <si>
    <t>ORD_2025_0395</t>
  </si>
  <si>
    <t>ORD_2025_0396</t>
  </si>
  <si>
    <t>ORD_2025_0397</t>
  </si>
  <si>
    <t>ORD_2025_0398</t>
  </si>
  <si>
    <t>ORD_2025_0399</t>
  </si>
  <si>
    <t>ORD_2025_0400</t>
  </si>
  <si>
    <t>ORD_2025_0401</t>
  </si>
  <si>
    <t>ORD_2025_0402</t>
  </si>
  <si>
    <t>ORD_2025_0403</t>
  </si>
  <si>
    <t>ORD_2025_0404</t>
  </si>
  <si>
    <t>ORD_2025_0405</t>
  </si>
  <si>
    <t>ORD_2025_0406</t>
  </si>
  <si>
    <t>ORD_2025_0407</t>
  </si>
  <si>
    <t>ORD_2025_0408</t>
  </si>
  <si>
    <t>ORD_2025_0409</t>
  </si>
  <si>
    <t>ORD_2025_0410</t>
  </si>
  <si>
    <t>ORD_2025_0411</t>
  </si>
  <si>
    <t>ORD_2025_0412</t>
  </si>
  <si>
    <t>ORD_2025_0413</t>
  </si>
  <si>
    <t>ORD_2025_0414</t>
  </si>
  <si>
    <t>ORD_2025_0415</t>
  </si>
  <si>
    <t>ORD_2025_0416</t>
  </si>
  <si>
    <t>ORD_2025_0417</t>
  </si>
  <si>
    <t>ORD_2025_0418</t>
  </si>
  <si>
    <t>ORD_2025_0419</t>
  </si>
  <si>
    <t>ORD_2025_0420</t>
  </si>
  <si>
    <t>ORD_2025_0421</t>
  </si>
  <si>
    <t>ORD_2025_0422</t>
  </si>
  <si>
    <t>ORD_2025_0423</t>
  </si>
  <si>
    <t>ORD_2025_0424</t>
  </si>
  <si>
    <t>ORD_2025_0425</t>
  </si>
  <si>
    <t>ORD_2025_0426</t>
  </si>
  <si>
    <t>ORD_2025_0427</t>
  </si>
  <si>
    <t>ORD_2025_0428</t>
  </si>
  <si>
    <t>ORD_2025_0429</t>
  </si>
  <si>
    <t>ORD_2025_0430</t>
  </si>
  <si>
    <t>ORD_2025_0431</t>
  </si>
  <si>
    <t>ORD_2025_0432</t>
  </si>
  <si>
    <t>ORD_2025_0433</t>
  </si>
  <si>
    <t>ORD_2025_0434</t>
  </si>
  <si>
    <t>ORD_2025_0435</t>
  </si>
  <si>
    <t>ORD_2025_0436</t>
  </si>
  <si>
    <t>ORD_2025_0437</t>
  </si>
  <si>
    <t>ORD_2025_0438</t>
  </si>
  <si>
    <t>ORD_2025_0439</t>
  </si>
  <si>
    <t>ORD_2025_0440</t>
  </si>
  <si>
    <t>ORD_2025_0441</t>
  </si>
  <si>
    <t>ORD_2025_0442</t>
  </si>
  <si>
    <t>ORD_2025_0443</t>
  </si>
  <si>
    <t>ORD_2025_0444</t>
  </si>
  <si>
    <t>ORD_2025_0445</t>
  </si>
  <si>
    <t>ORD_2025_0446</t>
  </si>
  <si>
    <t>ORD_2025_0447</t>
  </si>
  <si>
    <t>ORD_2025_0448</t>
  </si>
  <si>
    <t>ORD_2025_0449</t>
  </si>
  <si>
    <t>ORD_2025_0450</t>
  </si>
  <si>
    <t>ORD_2025_0451</t>
  </si>
  <si>
    <t>ORD_2025_0452</t>
  </si>
  <si>
    <t>ORD_2025_0453</t>
  </si>
  <si>
    <t>ORD_2025_0454</t>
  </si>
  <si>
    <t>ORD_2025_0455</t>
  </si>
  <si>
    <t>ORD_2025_0456</t>
  </si>
  <si>
    <t>ORD_2025_0457</t>
  </si>
  <si>
    <t>ORD_2025_0458</t>
  </si>
  <si>
    <t>ORD_2025_0459</t>
  </si>
  <si>
    <t>ORD_2025_0460</t>
  </si>
  <si>
    <t>ORD_2025_0461</t>
  </si>
  <si>
    <t>ORD_2025_0462</t>
  </si>
  <si>
    <t>ORD_2025_0463</t>
  </si>
  <si>
    <t>ORD_2025_0464</t>
  </si>
  <si>
    <t>ORD_2025_0465</t>
  </si>
  <si>
    <t>ORD_2025_0466</t>
  </si>
  <si>
    <t>ORD_2025_0467</t>
  </si>
  <si>
    <t>ORD_2025_0468</t>
  </si>
  <si>
    <t>ORD_2025_0469</t>
  </si>
  <si>
    <t>ORD_2025_0470</t>
  </si>
  <si>
    <t>ORD_2025_0471</t>
  </si>
  <si>
    <t>ORD_2025_0472</t>
  </si>
  <si>
    <t>ORD_2025_0473</t>
  </si>
  <si>
    <t>ORD_2025_0474</t>
  </si>
  <si>
    <t>ORD_2025_0475</t>
  </si>
  <si>
    <t>ORD_2025_0476</t>
  </si>
  <si>
    <t>ORD_2025_0477</t>
  </si>
  <si>
    <t>ORD_2025_0478</t>
  </si>
  <si>
    <t>ORD_2025_0479</t>
  </si>
  <si>
    <t>ORD_2025_0480</t>
  </si>
  <si>
    <t>ORD_2025_0481</t>
  </si>
  <si>
    <t>ORD_2025_0482</t>
  </si>
  <si>
    <t>ORD_2025_0483</t>
  </si>
  <si>
    <t>ORD_2025_0484</t>
  </si>
  <si>
    <t>ORD_2025_0485</t>
  </si>
  <si>
    <t>ORD_2025_0486</t>
  </si>
  <si>
    <t>ORD_2025_0487</t>
  </si>
  <si>
    <t>ORD_2025_0488</t>
  </si>
  <si>
    <t>ORD_2025_0489</t>
  </si>
  <si>
    <t>ORD_2025_0490</t>
  </si>
  <si>
    <t>ORD_2025_0491</t>
  </si>
  <si>
    <t>ORD_2025_0492</t>
  </si>
  <si>
    <t>ORD_2025_0493</t>
  </si>
  <si>
    <t>ORD_2025_0494</t>
  </si>
  <si>
    <t>ORD_2025_0495</t>
  </si>
  <si>
    <t>ORD_2025_0496</t>
  </si>
  <si>
    <t>ORD_2025_0497</t>
  </si>
  <si>
    <t>ORD_2025_0498</t>
  </si>
  <si>
    <t>ORD_2025_0499</t>
  </si>
  <si>
    <t>ORD_2025_0500</t>
  </si>
  <si>
    <t>Product_ID</t>
  </si>
  <si>
    <t>Supplier</t>
  </si>
  <si>
    <t>Origin_Country</t>
  </si>
  <si>
    <t>Unit_Cost</t>
  </si>
  <si>
    <t>P1001</t>
  </si>
  <si>
    <t>AudioTech Ltd.</t>
  </si>
  <si>
    <t>P1002</t>
  </si>
  <si>
    <t>Artisans Co.</t>
  </si>
  <si>
    <t>P1003</t>
  </si>
  <si>
    <t>CraftLine</t>
  </si>
  <si>
    <t>P1004</t>
  </si>
  <si>
    <t>BrightHome</t>
  </si>
  <si>
    <t>Vietnam</t>
  </si>
  <si>
    <t>P1005</t>
  </si>
  <si>
    <t>SoftWeave</t>
  </si>
  <si>
    <t>Turkey</t>
  </si>
  <si>
    <t>P1006</t>
  </si>
  <si>
    <t>ClickTech</t>
  </si>
  <si>
    <t>P1007</t>
  </si>
  <si>
    <t>ClearCraft</t>
  </si>
  <si>
    <t>P1008</t>
  </si>
  <si>
    <t>CarryPro</t>
  </si>
  <si>
    <t>P1009</t>
  </si>
  <si>
    <t>P1010</t>
  </si>
  <si>
    <t>BlueWear</t>
  </si>
  <si>
    <t>Bangladesh</t>
  </si>
  <si>
    <t>First_Name</t>
  </si>
  <si>
    <t>Last_Name</t>
  </si>
  <si>
    <t>Customer_Code</t>
  </si>
  <si>
    <t>Performance Flag</t>
  </si>
  <si>
    <t>COGS</t>
  </si>
  <si>
    <t>Profit Margin %</t>
  </si>
  <si>
    <t>Profit_Margin %</t>
  </si>
  <si>
    <t>Steve Taylor</t>
  </si>
  <si>
    <t>Oceania</t>
  </si>
  <si>
    <t>Ana Silva</t>
  </si>
  <si>
    <t>America</t>
  </si>
  <si>
    <t>South America</t>
  </si>
  <si>
    <t>Samuel Okoro</t>
  </si>
  <si>
    <t>Africa</t>
  </si>
  <si>
    <t>Li Wei</t>
  </si>
  <si>
    <t>Asia</t>
  </si>
  <si>
    <t>Maria Gomez</t>
  </si>
  <si>
    <t>Europe</t>
  </si>
  <si>
    <t>James Carter</t>
  </si>
  <si>
    <t>North America</t>
  </si>
  <si>
    <t>Manager</t>
  </si>
  <si>
    <t>Continent</t>
  </si>
  <si>
    <t>Region_Name</t>
  </si>
  <si>
    <t>Region Name</t>
  </si>
  <si>
    <t>2025-05</t>
  </si>
  <si>
    <t>2025-04</t>
  </si>
  <si>
    <t>2025-02</t>
  </si>
  <si>
    <t>2025-01</t>
  </si>
  <si>
    <t>2024-12</t>
  </si>
  <si>
    <t>2024-11</t>
  </si>
  <si>
    <t>2024-10</t>
  </si>
  <si>
    <t>2024-09</t>
  </si>
  <si>
    <t>2024-08</t>
  </si>
  <si>
    <t>2024-07</t>
  </si>
  <si>
    <t>2024-06</t>
  </si>
  <si>
    <t>2024-05</t>
  </si>
  <si>
    <t>2024-04</t>
  </si>
  <si>
    <t>2024-03</t>
  </si>
  <si>
    <t>2024-02</t>
  </si>
  <si>
    <t>2024-01</t>
  </si>
  <si>
    <t>2025-03</t>
  </si>
  <si>
    <t>Returns</t>
  </si>
  <si>
    <t>Shipments</t>
  </si>
  <si>
    <t>Total_Profit</t>
  </si>
  <si>
    <t>Month</t>
  </si>
  <si>
    <t>Total Sales(Sum)</t>
  </si>
  <si>
    <t>Sales(Avg)</t>
  </si>
  <si>
    <t>Total Profit(Sum)</t>
  </si>
  <si>
    <t>Total Profit(Avg)</t>
  </si>
  <si>
    <t>Grand Total</t>
  </si>
  <si>
    <t>Sum of Total_Sales</t>
  </si>
  <si>
    <t>Total Sum of Total_Sales</t>
  </si>
  <si>
    <t>2024-07-14</t>
  </si>
  <si>
    <t>2024-09-02</t>
  </si>
  <si>
    <t>2024-12-25</t>
  </si>
  <si>
    <t>2024-07-04</t>
  </si>
  <si>
    <t>2024-04-13</t>
  </si>
  <si>
    <t>2025-02-18</t>
  </si>
  <si>
    <t>2024-04-17</t>
  </si>
  <si>
    <t>2025-03-18</t>
  </si>
  <si>
    <t>2025-04-24</t>
  </si>
  <si>
    <t>2024-05-27</t>
  </si>
  <si>
    <t>2024-09-15</t>
  </si>
  <si>
    <t>2025-05-10</t>
  </si>
  <si>
    <t>2024-01-21</t>
  </si>
  <si>
    <t>2024-12-05</t>
  </si>
  <si>
    <t>2025-01-06</t>
  </si>
  <si>
    <t>2024-12-26</t>
  </si>
  <si>
    <t>2024-03-11</t>
  </si>
  <si>
    <t>2024-09-27</t>
  </si>
  <si>
    <t>2024-03-04</t>
  </si>
  <si>
    <t>2024-12-07</t>
  </si>
  <si>
    <t>2024-11-13</t>
  </si>
  <si>
    <t>2025-04-20</t>
  </si>
  <si>
    <t>2024-06-17</t>
  </si>
  <si>
    <t>2024-01-30</t>
  </si>
  <si>
    <t>2024-05-13</t>
  </si>
  <si>
    <t>2024-05-07</t>
  </si>
  <si>
    <t>2025-04-16</t>
  </si>
  <si>
    <t>2024-09-28</t>
  </si>
  <si>
    <t>2024-04-23</t>
  </si>
  <si>
    <t>2024-12-12</t>
  </si>
  <si>
    <t>2025-04-17</t>
  </si>
  <si>
    <t>2024-03-05</t>
  </si>
  <si>
    <t>2024-10-03</t>
  </si>
  <si>
    <t>2024-04-14</t>
  </si>
  <si>
    <t>2024-10-17</t>
  </si>
  <si>
    <t>2024-04-15</t>
  </si>
  <si>
    <t>2025-02-28</t>
  </si>
  <si>
    <t>2025-02-04</t>
  </si>
  <si>
    <t>2025-02-22</t>
  </si>
  <si>
    <t>2024-10-20</t>
  </si>
  <si>
    <t>2024-02-06</t>
  </si>
  <si>
    <t>2025-01-03</t>
  </si>
  <si>
    <t>2024-09-16</t>
  </si>
  <si>
    <t>2024-09-20</t>
  </si>
  <si>
    <t>2024-06-16</t>
  </si>
  <si>
    <t>2024-10-19</t>
  </si>
  <si>
    <t>2025-03-15</t>
  </si>
  <si>
    <t>2025-01-24</t>
  </si>
  <si>
    <t>2025-05-13</t>
  </si>
  <si>
    <t>2024-06-12</t>
  </si>
  <si>
    <t>2024-04-04</t>
  </si>
  <si>
    <t>2025-02-10</t>
  </si>
  <si>
    <t>2024-02-18</t>
  </si>
  <si>
    <t>2024-06-01</t>
  </si>
  <si>
    <t>2024-01-07</t>
  </si>
  <si>
    <t>2025-01-22</t>
  </si>
  <si>
    <t>2024-11-18</t>
  </si>
  <si>
    <t>2024-12-23</t>
  </si>
  <si>
    <t>2024-08-14</t>
  </si>
  <si>
    <t>2024-02-03</t>
  </si>
  <si>
    <t>2024-02-17</t>
  </si>
  <si>
    <t>2025-01-04</t>
  </si>
  <si>
    <t>2024-09-11</t>
  </si>
  <si>
    <t>2024-06-27</t>
  </si>
  <si>
    <t>2024-12-18</t>
  </si>
  <si>
    <t>2024-01-01</t>
  </si>
  <si>
    <t>2024-08-25</t>
  </si>
  <si>
    <t>2024-06-14</t>
  </si>
  <si>
    <t>2024-05-12</t>
  </si>
  <si>
    <t>2024-02-28</t>
  </si>
  <si>
    <t>2025-05-15</t>
  </si>
  <si>
    <t>2024-07-03</t>
  </si>
  <si>
    <t>2024-01-10</t>
  </si>
  <si>
    <t>2024-02-24</t>
  </si>
  <si>
    <t>2024-07-09</t>
  </si>
  <si>
    <t>2025-02-17</t>
  </si>
  <si>
    <t>2024-07-21</t>
  </si>
  <si>
    <t>2024-02-25</t>
  </si>
  <si>
    <t>2025-04-22</t>
  </si>
  <si>
    <t>2024-05-31</t>
  </si>
  <si>
    <t>2025-01-23</t>
  </si>
  <si>
    <t>2024-02-13</t>
  </si>
  <si>
    <t>2025-04-02</t>
  </si>
  <si>
    <t>2024-01-14</t>
  </si>
  <si>
    <t>2024-10-10</t>
  </si>
  <si>
    <t>2024-01-17</t>
  </si>
  <si>
    <t>2025-04-15</t>
  </si>
  <si>
    <t>2024-07-25</t>
  </si>
  <si>
    <t>2024-01-19</t>
  </si>
  <si>
    <t>2024-06-22</t>
  </si>
  <si>
    <t>2025-04-05</t>
  </si>
  <si>
    <t>2024-09-19</t>
  </si>
  <si>
    <t>2024-12-27</t>
  </si>
  <si>
    <t>2024-08-28</t>
  </si>
  <si>
    <t>2024-06-11</t>
  </si>
  <si>
    <t>2024-04-25</t>
  </si>
  <si>
    <t>2024-12-19</t>
  </si>
  <si>
    <t>2024-07-19</t>
  </si>
  <si>
    <t>2024-11-30</t>
  </si>
  <si>
    <t>2024-03-08</t>
  </si>
  <si>
    <t>2024-02-16</t>
  </si>
  <si>
    <t>2025-02-13</t>
  </si>
  <si>
    <t>2024-07-13</t>
  </si>
  <si>
    <t>2024-08-21</t>
  </si>
  <si>
    <t>2024-08-02</t>
  </si>
  <si>
    <t>2025-01-28</t>
  </si>
  <si>
    <t>2024-05-16</t>
  </si>
  <si>
    <t>2025-03-16</t>
  </si>
  <si>
    <t>2024-01-15</t>
  </si>
  <si>
    <t>2024-08-29</t>
  </si>
  <si>
    <t>2024-03-12</t>
  </si>
  <si>
    <t>2024-11-03</t>
  </si>
  <si>
    <t>2025-01-14</t>
  </si>
  <si>
    <t>2024-09-29</t>
  </si>
  <si>
    <t>2025-02-16</t>
  </si>
  <si>
    <t>2024-03-14</t>
  </si>
  <si>
    <t>2024-09-25</t>
  </si>
  <si>
    <t>2025-03-02</t>
  </si>
  <si>
    <t>2024-02-01</t>
  </si>
  <si>
    <t>2024-01-20</t>
  </si>
  <si>
    <t>2024-09-07</t>
  </si>
  <si>
    <t>2024-08-07</t>
  </si>
  <si>
    <t>2024-05-25</t>
  </si>
  <si>
    <t>2024-05-02</t>
  </si>
  <si>
    <t>2025-05-05</t>
  </si>
  <si>
    <t>2024-03-17</t>
  </si>
  <si>
    <t>2025-02-27</t>
  </si>
  <si>
    <t>2024-10-14</t>
  </si>
  <si>
    <t>2024-12-22</t>
  </si>
  <si>
    <t>2024-12-30</t>
  </si>
  <si>
    <t>2025-01-11</t>
  </si>
  <si>
    <t>2025-05-08</t>
  </si>
  <si>
    <t>2024-04-29</t>
  </si>
  <si>
    <t>2025-03-06</t>
  </si>
  <si>
    <t>2024-07-11</t>
  </si>
  <si>
    <t>2025-01-12</t>
  </si>
  <si>
    <t>2024-04-05</t>
  </si>
  <si>
    <t>2025-03-24</t>
  </si>
  <si>
    <t>2024-07-17</t>
  </si>
  <si>
    <t>2024-05-11</t>
  </si>
  <si>
    <t>2025-02-19</t>
  </si>
  <si>
    <t>2025-03-08</t>
  </si>
  <si>
    <t>2024-10-12</t>
  </si>
  <si>
    <t>2025-03-19</t>
  </si>
  <si>
    <t>2024-09-04</t>
  </si>
  <si>
    <t>2024-08-18</t>
  </si>
  <si>
    <t>2024-09-24</t>
  </si>
  <si>
    <t>2024-08-15</t>
  </si>
  <si>
    <t>2024-03-09</t>
  </si>
  <si>
    <t>2024-10-27</t>
  </si>
  <si>
    <t>2024-09-10</t>
  </si>
  <si>
    <t>2024-12-09</t>
  </si>
  <si>
    <t>2024-09-03</t>
  </si>
  <si>
    <t>2024-10-02</t>
  </si>
  <si>
    <t>2024-07-01</t>
  </si>
  <si>
    <t>2024-08-31</t>
  </si>
  <si>
    <t>2024-03-26</t>
  </si>
  <si>
    <t>2024-07-08</t>
  </si>
  <si>
    <t>2024-03-29</t>
  </si>
  <si>
    <t>2024-08-22</t>
  </si>
  <si>
    <t>2025-03-27</t>
  </si>
  <si>
    <t>2024-06-04</t>
  </si>
  <si>
    <t>2024-11-02</t>
  </si>
  <si>
    <t>2024-12-21</t>
  </si>
  <si>
    <t>2025-04-21</t>
  </si>
  <si>
    <t>2024-07-12</t>
  </si>
  <si>
    <t>2024-11-16</t>
  </si>
  <si>
    <t>2025-01-30</t>
  </si>
  <si>
    <t>2025-01-25</t>
  </si>
  <si>
    <t>2024-04-19</t>
  </si>
  <si>
    <t>2024-01-25</t>
  </si>
  <si>
    <t>2024-05-03</t>
  </si>
  <si>
    <t>2024-05-23</t>
  </si>
  <si>
    <t>2024-06-29</t>
  </si>
  <si>
    <t>2025-05-14</t>
  </si>
  <si>
    <t>2024-08-24</t>
  </si>
  <si>
    <t>2024-05-24</t>
  </si>
  <si>
    <t>2024-10-06</t>
  </si>
  <si>
    <t>2025-04-27</t>
  </si>
  <si>
    <t>2024-12-17</t>
  </si>
  <si>
    <t>2025-03-17</t>
  </si>
  <si>
    <t>2024-04-09</t>
  </si>
  <si>
    <t>2025-04-30</t>
  </si>
  <si>
    <t>2024-12-31</t>
  </si>
  <si>
    <t>2024-03-31</t>
  </si>
  <si>
    <t>2024-05-04</t>
  </si>
  <si>
    <t>2024-09-09</t>
  </si>
  <si>
    <t>2024-01-05</t>
  </si>
  <si>
    <t>2024-06-26</t>
  </si>
  <si>
    <t>2024-09-23</t>
  </si>
  <si>
    <t>2024-01-13</t>
  </si>
  <si>
    <t>2025-01-08</t>
  </si>
  <si>
    <t>2024-02-09</t>
  </si>
  <si>
    <t>2024-06-28</t>
  </si>
  <si>
    <t>2025-02-23</t>
  </si>
  <si>
    <t>2024-05-05</t>
  </si>
  <si>
    <t>2024-11-05</t>
  </si>
  <si>
    <t>2025-05-01</t>
  </si>
  <si>
    <t>2025-02-03</t>
  </si>
  <si>
    <t>2024-07-26</t>
  </si>
  <si>
    <t>2025-05-12</t>
  </si>
  <si>
    <t>2024-11-20</t>
  </si>
  <si>
    <t>2025-05-11</t>
  </si>
  <si>
    <t>2025-03-29</t>
  </si>
  <si>
    <t>2025-03-07</t>
  </si>
  <si>
    <t>2024-11-29</t>
  </si>
  <si>
    <t>2025-02-21</t>
  </si>
  <si>
    <t>2024-10-01</t>
  </si>
  <si>
    <t>2024-11-07</t>
  </si>
  <si>
    <t>2024-03-23</t>
  </si>
  <si>
    <t>2025-05-07</t>
  </si>
  <si>
    <t>2024-06-07</t>
  </si>
  <si>
    <t>2024-10-22</t>
  </si>
  <si>
    <t>2024-12-15</t>
  </si>
  <si>
    <t>2024-11-12</t>
  </si>
  <si>
    <t>2025-04-11</t>
  </si>
  <si>
    <t>2024-11-22</t>
  </si>
  <si>
    <t>2024-03-06</t>
  </si>
  <si>
    <t>2024-07-05</t>
  </si>
  <si>
    <t>2025-04-03</t>
  </si>
  <si>
    <t>2024-02-15</t>
  </si>
  <si>
    <t>2024-05-19</t>
  </si>
  <si>
    <t>2024-10-05</t>
  </si>
  <si>
    <t>2024-02-29</t>
  </si>
  <si>
    <t>2025-03-22</t>
  </si>
  <si>
    <t>2024-04-07</t>
  </si>
  <si>
    <t>2024-08-26</t>
  </si>
  <si>
    <t>2025-04-29</t>
  </si>
  <si>
    <t>2025-03-28</t>
  </si>
  <si>
    <t>2024-04-20</t>
  </si>
  <si>
    <t>2025-04-09</t>
  </si>
  <si>
    <t>2024-03-30</t>
  </si>
  <si>
    <t>2025-04-08</t>
  </si>
  <si>
    <t>2024-03-21</t>
  </si>
  <si>
    <t>2024-03-16</t>
  </si>
  <si>
    <t>2024-12-03</t>
  </si>
  <si>
    <t>2024-11-21</t>
  </si>
  <si>
    <t>2024-02-26</t>
  </si>
  <si>
    <t>2024-10-31</t>
  </si>
  <si>
    <t>2024-07-30</t>
  </si>
  <si>
    <t>2024-11-01</t>
  </si>
  <si>
    <t>2024-02-12</t>
  </si>
  <si>
    <t>2024-06-23</t>
  </si>
  <si>
    <t>2024-10-15</t>
  </si>
  <si>
    <t>2024-09-14</t>
  </si>
  <si>
    <t>2024-05-06</t>
  </si>
  <si>
    <t>2025-02-09</t>
  </si>
  <si>
    <t>2024-03-03</t>
  </si>
  <si>
    <t>2024-03-27</t>
  </si>
  <si>
    <t>2024-10-08</t>
  </si>
  <si>
    <t>2024-06-15</t>
  </si>
  <si>
    <t>2024-12-10</t>
  </si>
  <si>
    <t>2024-12-29</t>
  </si>
  <si>
    <t>2025-04-07</t>
  </si>
  <si>
    <t>2025-01-13</t>
  </si>
  <si>
    <t>2024-03-18</t>
  </si>
  <si>
    <t>2024-07-27</t>
  </si>
  <si>
    <t>2025-04-13</t>
  </si>
  <si>
    <t>2024-05-14</t>
  </si>
  <si>
    <t>2024-07-24</t>
  </si>
  <si>
    <t>2025-04-12</t>
  </si>
  <si>
    <t>2024-02-07</t>
  </si>
  <si>
    <t>2024-07-29</t>
  </si>
  <si>
    <t>2024-11-15</t>
  </si>
  <si>
    <t>2025-01-07</t>
  </si>
  <si>
    <t>2024-09-30</t>
  </si>
  <si>
    <t>2024-10-26</t>
  </si>
  <si>
    <t>2024-09-22</t>
  </si>
  <si>
    <t>2024-04-02</t>
  </si>
  <si>
    <t>2024-09-12</t>
  </si>
  <si>
    <t>2024-06-25</t>
  </si>
  <si>
    <t>2024-10-25</t>
  </si>
  <si>
    <t>2024-08-01</t>
  </si>
  <si>
    <t>2024-07-28</t>
  </si>
  <si>
    <t>2025-03-01</t>
  </si>
  <si>
    <t>2024-07-07</t>
  </si>
  <si>
    <t>2024-06-02</t>
  </si>
  <si>
    <t>2024-01-06</t>
  </si>
  <si>
    <t>2025-03-21</t>
  </si>
  <si>
    <t>2024-11-24</t>
  </si>
  <si>
    <t>2024-01-02</t>
  </si>
  <si>
    <t>2024-10-04</t>
  </si>
  <si>
    <t>2024-06-03</t>
  </si>
  <si>
    <t>2025-03-03</t>
  </si>
  <si>
    <t>2024-08-11</t>
  </si>
  <si>
    <t>2025-03-20</t>
  </si>
  <si>
    <t>2024-07-20</t>
  </si>
  <si>
    <t>2024-09-08</t>
  </si>
  <si>
    <t>2025-04-18</t>
  </si>
  <si>
    <t>2024-11-06</t>
  </si>
  <si>
    <t>2024-01-08</t>
  </si>
  <si>
    <t>2024-07-23</t>
  </si>
  <si>
    <t>2024-11-26</t>
  </si>
  <si>
    <t>2024-02-27</t>
  </si>
  <si>
    <t>2024-12-06</t>
  </si>
  <si>
    <t>2024-05-29</t>
  </si>
  <si>
    <t>2024-08-27</t>
  </si>
  <si>
    <t>2025-01-27</t>
  </si>
  <si>
    <t>2024-05-01</t>
  </si>
  <si>
    <t>2024-11-10</t>
  </si>
  <si>
    <t>2024-10-13</t>
  </si>
  <si>
    <t>2024-04-27</t>
  </si>
  <si>
    <t>2024-07-15</t>
  </si>
  <si>
    <t>2024-08-23</t>
  </si>
  <si>
    <t>2024-02-14</t>
  </si>
  <si>
    <t>2025-03-25</t>
  </si>
  <si>
    <t>2025-04-23</t>
  </si>
  <si>
    <t>2024-09-21</t>
  </si>
  <si>
    <t>2024-12-08</t>
  </si>
  <si>
    <t>2024-09-13</t>
  </si>
  <si>
    <t>2024-06-13</t>
  </si>
  <si>
    <t>2025-02-26</t>
  </si>
  <si>
    <t>2025-02-15</t>
  </si>
  <si>
    <t>Jan</t>
  </si>
  <si>
    <t>Feb</t>
  </si>
  <si>
    <t>Apr</t>
  </si>
  <si>
    <t>May</t>
  </si>
  <si>
    <t>Jun</t>
  </si>
  <si>
    <t>Aug</t>
  </si>
  <si>
    <t>Sep</t>
  </si>
  <si>
    <t>Oct</t>
  </si>
  <si>
    <t>(blank)</t>
  </si>
  <si>
    <t>Total Profit (Sum)</t>
  </si>
  <si>
    <t>Total Sales (Sum)</t>
  </si>
  <si>
    <t>Summary (All Region Code)</t>
  </si>
  <si>
    <t>Total Sales (Avg)</t>
  </si>
  <si>
    <t>Total Sales</t>
  </si>
  <si>
    <t>Step Followed</t>
  </si>
  <si>
    <t xml:space="preserve">1. Go to Developer, left side of ribbon there is option "Record Macro". </t>
  </si>
  <si>
    <t>3. Stop the recording of macro by going to bottom left corner and pressing "Stop"</t>
  </si>
  <si>
    <t xml:space="preserve">     a. Select the data range, CTRL + L to convert into a table</t>
  </si>
  <si>
    <t xml:space="preserve">     b. Apply changes to the table color and styling.</t>
  </si>
  <si>
    <t xml:space="preserve">     c. Select the "Profit Margin % column -&gt; apply Conditional Formatting</t>
  </si>
  <si>
    <t>2. Give macro a name, hit "Ok" then followed below steps:</t>
  </si>
  <si>
    <t>4. Check if the macro got recorded by going to -&gt; Developer -&gt; Macros</t>
  </si>
  <si>
    <t>5. For the button we go to -&gt; Developer tab -&gt; Insert,drop down menu,</t>
  </si>
  <si>
    <t>6. Select first option for button drag it and assign Macro to it</t>
  </si>
  <si>
    <t xml:space="preserve">     d. Conditional Formatting it to if Profit Margin &gt; 25% then format it Green(Fill)</t>
  </si>
  <si>
    <t>Trade Performance Dashboard</t>
  </si>
  <si>
    <t>Total Orders</t>
  </si>
  <si>
    <t>Total Profit</t>
  </si>
  <si>
    <t>Avg Profit Margin</t>
  </si>
  <si>
    <t>Avg Shipping Cost</t>
  </si>
  <si>
    <t>Top Region by Sales</t>
  </si>
  <si>
    <t>Top Product by Profit</t>
  </si>
  <si>
    <t>Total</t>
  </si>
  <si>
    <t>Products</t>
  </si>
  <si>
    <t>Sales</t>
  </si>
  <si>
    <t>Regions</t>
  </si>
  <si>
    <t>Count</t>
  </si>
  <si>
    <t>Summary Metrics</t>
  </si>
  <si>
    <t>Categories (Sumifs)</t>
  </si>
  <si>
    <t>Categories (Averageifs)</t>
  </si>
  <si>
    <t xml:space="preserve">Profit Margin </t>
  </si>
  <si>
    <t xml:space="preserve">Total Average of Profit Margin </t>
  </si>
  <si>
    <t xml:space="preserve">Average of Profit Margin </t>
  </si>
  <si>
    <t>Months</t>
  </si>
  <si>
    <t>Average_Profit_Margin</t>
  </si>
  <si>
    <t>Min_Profit_Margin</t>
  </si>
  <si>
    <t>Max_Profit_Margin</t>
  </si>
  <si>
    <t xml:space="preserve">While testing I ran into few Mircosoft Excel errors that were Excel version related. </t>
  </si>
  <si>
    <t>NOTE:</t>
  </si>
  <si>
    <t>Please close and reopen the Excel file to run Macro.</t>
  </si>
  <si>
    <t>I have added the Macro edited / run table to Right as a output --&gt;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</si>
</sst>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409]#,##0.00"/>
    <numFmt numFmtId="165" formatCode="mmm/yyyy"/>
    <numFmt numFmtId="166" formatCode="yyyy\-mm\-dd\ h:mm:ss"/>
  </numFmts>
  <fonts count="19" x14ac:knownFonts="1">
    <font>
      <sz val="11"/>
      <color theme="1"/>
      <name val="Aptos Narrow"/>
      <family val="2"/>
      <scheme val="minor"/>
    </font>
    <font>
      <b/>
      <sz val="11"/>
      <color theme="1"/>
      <name val="Aptos Narrow"/>
      <family val="2"/>
      <scheme val="minor"/>
    </font>
    <font>
      <b/>
      <sz val="11"/>
      <name val="Calibri"/>
      <family val="2"/>
    </font>
    <font>
      <sz val="11"/>
      <color theme="1"/>
      <name val="Calibri"/>
      <family val="2"/>
    </font>
    <font>
      <b/>
      <sz val="11"/>
      <color theme="0"/>
      <name val="Aptos Narrow"/>
      <family val="2"/>
      <scheme val="minor"/>
    </font>
    <font>
      <sz val="11"/>
      <color theme="1" tint="4.9989318521683403E-2"/>
      <name val="Calibri"/>
      <family val="2"/>
    </font>
    <font>
      <b/>
      <sz val="11"/>
      <color theme="1" tint="4.9989318521683403E-2"/>
      <name val="Calibri"/>
      <family val="2"/>
    </font>
    <font>
      <sz val="8"/>
      <name val="Aptos Narrow"/>
      <family val="2"/>
      <scheme val="minor"/>
    </font>
    <font>
      <sz val="11"/>
      <name val="Calibri"/>
      <family val="2"/>
    </font>
    <font>
      <b/>
      <sz val="11"/>
      <color rgb="FFFFFFFF"/>
      <name val="Calibri"/>
      <family val="2"/>
    </font>
    <font>
      <b/>
      <i/>
      <sz val="12"/>
      <color rgb="FF000000"/>
      <name val="Times New Roman"/>
      <family val="1"/>
    </font>
    <font>
      <sz val="11"/>
      <color theme="1"/>
      <name val="Calibri"/>
      <family val="2"/>
      <charset val="1"/>
    </font>
    <font>
      <sz val="36"/>
      <color theme="1"/>
      <name val="Aptos Narrow"/>
      <family val="2"/>
      <scheme val="minor"/>
    </font>
    <font>
      <sz val="14"/>
      <color theme="1"/>
      <name val="Aptos Narrow"/>
      <family val="2"/>
      <scheme val="minor"/>
    </font>
    <font>
      <sz val="16"/>
      <color theme="1"/>
      <name val="Aptos Narrow"/>
      <family val="2"/>
      <scheme val="minor"/>
    </font>
    <font>
      <b/>
      <sz val="12"/>
      <color theme="1"/>
      <name val="Aptos Narrow"/>
      <family val="2"/>
      <scheme val="minor"/>
    </font>
    <font>
      <b/>
      <sz val="14"/>
      <color theme="1"/>
      <name val="Aptos Narrow"/>
      <family val="2"/>
      <scheme val="minor"/>
    </font>
    <font>
      <sz val="36"/>
      <color theme="1"/>
      <name val="Times New Roman"/>
      <family val="1"/>
    </font>
    <font>
      <b/>
      <sz val="16"/>
      <color theme="1"/>
      <name val="Aptos Narrow"/>
      <family val="2"/>
      <scheme val="minor"/>
    </font>
  </fonts>
  <fills count="8">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
      <patternFill patternType="solid">
        <fgColor rgb="FF4F81BD"/>
      </patternFill>
    </fill>
    <fill>
      <patternFill patternType="solid">
        <fgColor theme="4" tint="0.59999389629810485"/>
        <bgColor indexed="64"/>
      </patternFill>
    </fill>
    <fill>
      <patternFill patternType="solid">
        <fgColor theme="5" tint="0.79998168889431442"/>
        <bgColor indexed="64"/>
      </patternFill>
    </fill>
    <fill>
      <patternFill patternType="solid">
        <fgColor theme="5" tint="0.59999389629810485"/>
        <bgColor indexed="64"/>
      </patternFill>
    </fill>
  </fills>
  <borders count="23">
    <border>
      <left/>
      <right/>
      <top/>
      <bottom/>
      <diagonal/>
    </border>
    <border>
      <left style="thin">
        <color auto="1"/>
      </left>
      <right style="thin">
        <color auto="1"/>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bottom style="thin">
        <color auto="1"/>
      </bottom>
      <diagonal/>
    </border>
    <border>
      <left style="thin">
        <color auto="1"/>
      </left>
      <right style="thin">
        <color auto="1"/>
      </right>
      <top/>
      <bottom style="thin">
        <color auto="1"/>
      </bottom>
      <diagonal/>
    </border>
    <border>
      <left style="thin">
        <color auto="1"/>
      </left>
      <right/>
      <top/>
      <bottom style="thin">
        <color auto="1"/>
      </bottom>
      <diagonal/>
    </border>
    <border>
      <left/>
      <right style="thin">
        <color auto="1"/>
      </right>
      <top style="thin">
        <color auto="1"/>
      </top>
      <bottom/>
      <diagonal/>
    </border>
    <border>
      <left style="thin">
        <color auto="1"/>
      </left>
      <right style="thin">
        <color auto="1"/>
      </right>
      <top style="thin">
        <color auto="1"/>
      </top>
      <bottom/>
      <diagonal/>
    </border>
    <border>
      <left style="thin">
        <color auto="1"/>
      </left>
      <right/>
      <top style="thin">
        <color auto="1"/>
      </top>
      <bottom/>
      <diagonal/>
    </border>
    <border>
      <left style="thin">
        <color theme="4" tint="0.39997558519241921"/>
      </left>
      <right/>
      <top style="thin">
        <color theme="4" tint="0.39997558519241921"/>
      </top>
      <bottom style="thin">
        <color theme="4" tint="0.39997558519241921"/>
      </bottom>
      <diagonal/>
    </border>
    <border>
      <left/>
      <right/>
      <top style="thin">
        <color indexed="64"/>
      </top>
      <bottom style="thin">
        <color indexed="64"/>
      </bottom>
      <diagonal/>
    </border>
    <border>
      <left/>
      <right/>
      <top style="thin">
        <color indexed="64"/>
      </top>
      <bottom/>
      <diagonal/>
    </border>
    <border>
      <left/>
      <right style="thin">
        <color indexed="64"/>
      </right>
      <top/>
      <bottom/>
      <diagonal/>
    </border>
    <border>
      <left style="thin">
        <color auto="1"/>
      </left>
      <right/>
      <top/>
      <bottom/>
      <diagonal/>
    </border>
    <border>
      <left/>
      <right/>
      <top/>
      <bottom style="thin">
        <color auto="1"/>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s>
  <cellStyleXfs count="2">
    <xf numFmtId="0" fontId="0" fillId="0" borderId="0"/>
    <xf numFmtId="0" fontId="11" fillId="0" borderId="0"/>
  </cellStyleXfs>
  <cellXfs count="156">
    <xf numFmtId="0" fontId="0" fillId="0" borderId="0" xfId="0"/>
    <xf numFmtId="0" fontId="0" fillId="0" borderId="1" xfId="0" applyBorder="1" applyAlignment="1">
      <alignment horizontal="center"/>
    </xf>
    <xf numFmtId="164" fontId="0" fillId="0" borderId="0" xfId="0" applyNumberFormat="1"/>
    <xf numFmtId="0" fontId="2" fillId="0" borderId="4" xfId="0" applyFont="1" applyBorder="1" applyAlignment="1">
      <alignment horizontal="center" vertical="center"/>
    </xf>
    <xf numFmtId="0" fontId="2" fillId="0" borderId="5" xfId="0" applyFont="1" applyBorder="1" applyAlignment="1">
      <alignment horizontal="center" vertical="center"/>
    </xf>
    <xf numFmtId="164" fontId="2" fillId="0" borderId="5" xfId="0" applyNumberFormat="1" applyFont="1" applyBorder="1" applyAlignment="1">
      <alignment horizontal="center" vertical="center"/>
    </xf>
    <xf numFmtId="0" fontId="2" fillId="0" borderId="6" xfId="0" applyFont="1" applyBorder="1" applyAlignment="1">
      <alignment horizontal="center" vertical="center"/>
    </xf>
    <xf numFmtId="0" fontId="0" fillId="0" borderId="2" xfId="0" applyBorder="1" applyAlignment="1">
      <alignment horizontal="center" vertical="center"/>
    </xf>
    <xf numFmtId="0" fontId="0" fillId="0" borderId="1" xfId="0" applyBorder="1" applyAlignment="1">
      <alignment horizontal="center" vertical="center"/>
    </xf>
    <xf numFmtId="164" fontId="0" fillId="0" borderId="1" xfId="0" applyNumberFormat="1" applyBorder="1" applyAlignment="1">
      <alignment horizontal="center" vertical="center"/>
    </xf>
    <xf numFmtId="0" fontId="0" fillId="0" borderId="3"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164" fontId="0" fillId="0" borderId="8" xfId="0" applyNumberFormat="1" applyBorder="1" applyAlignment="1">
      <alignment horizontal="center" vertical="center"/>
    </xf>
    <xf numFmtId="0" fontId="0" fillId="0" borderId="9" xfId="0" applyBorder="1" applyAlignment="1">
      <alignment horizontal="center" vertical="center"/>
    </xf>
    <xf numFmtId="165" fontId="2" fillId="0" borderId="5" xfId="0" applyNumberFormat="1" applyFont="1" applyBorder="1" applyAlignment="1">
      <alignment horizontal="center" vertical="center"/>
    </xf>
    <xf numFmtId="165" fontId="0" fillId="0" borderId="1" xfId="0" applyNumberFormat="1" applyBorder="1" applyAlignment="1">
      <alignment horizontal="center" vertical="center"/>
    </xf>
    <xf numFmtId="165" fontId="0" fillId="0" borderId="8" xfId="0" applyNumberFormat="1" applyBorder="1" applyAlignment="1">
      <alignment horizontal="center" vertical="center"/>
    </xf>
    <xf numFmtId="165" fontId="0" fillId="0" borderId="0" xfId="0" applyNumberFormat="1"/>
    <xf numFmtId="0" fontId="1" fillId="0" borderId="5" xfId="0" applyFont="1" applyBorder="1" applyAlignment="1">
      <alignment horizontal="center" vertical="top"/>
    </xf>
    <xf numFmtId="0" fontId="0" fillId="0" borderId="0" xfId="0" applyAlignment="1">
      <alignment horizontal="center"/>
    </xf>
    <xf numFmtId="0" fontId="2" fillId="0" borderId="0" xfId="0" applyFont="1" applyAlignment="1">
      <alignment horizontal="center" vertical="center"/>
    </xf>
    <xf numFmtId="0" fontId="0" fillId="0" borderId="0" xfId="0" applyAlignment="1">
      <alignment horizontal="center" vertical="center"/>
    </xf>
    <xf numFmtId="0" fontId="3" fillId="0" borderId="2" xfId="0" applyFont="1" applyBorder="1" applyAlignment="1">
      <alignment horizontal="center" vertical="center"/>
    </xf>
    <xf numFmtId="0" fontId="3" fillId="0" borderId="7" xfId="0" applyFont="1" applyBorder="1" applyAlignment="1">
      <alignment horizontal="center" vertical="center"/>
    </xf>
    <xf numFmtId="0" fontId="0" fillId="0" borderId="9" xfId="0" applyBorder="1"/>
    <xf numFmtId="0" fontId="0" fillId="0" borderId="7" xfId="0" applyBorder="1"/>
    <xf numFmtId="0" fontId="1" fillId="0" borderId="1" xfId="0" applyFont="1" applyBorder="1" applyAlignment="1">
      <alignment horizontal="center" vertical="top"/>
    </xf>
    <xf numFmtId="9" fontId="0" fillId="0" borderId="0" xfId="0" applyNumberFormat="1"/>
    <xf numFmtId="0" fontId="3" fillId="0" borderId="1" xfId="0" applyFont="1" applyBorder="1" applyAlignment="1">
      <alignment horizontal="center"/>
    </xf>
    <xf numFmtId="0" fontId="3" fillId="0" borderId="3" xfId="0" applyFont="1" applyBorder="1" applyAlignment="1">
      <alignment horizontal="center"/>
    </xf>
    <xf numFmtId="0" fontId="3" fillId="0" borderId="8" xfId="0" applyFont="1" applyBorder="1" applyAlignment="1">
      <alignment horizontal="center"/>
    </xf>
    <xf numFmtId="0" fontId="3" fillId="0" borderId="9" xfId="0" applyFont="1" applyBorder="1" applyAlignment="1">
      <alignment horizontal="center"/>
    </xf>
    <xf numFmtId="0" fontId="5" fillId="0" borderId="5" xfId="0" applyFont="1" applyBorder="1" applyAlignment="1">
      <alignment horizontal="center"/>
    </xf>
    <xf numFmtId="0" fontId="5" fillId="0" borderId="6" xfId="0" applyFont="1" applyBorder="1" applyAlignment="1">
      <alignment horizontal="center"/>
    </xf>
    <xf numFmtId="164" fontId="6" fillId="0" borderId="5" xfId="0" applyNumberFormat="1" applyFont="1" applyBorder="1" applyAlignment="1">
      <alignment horizontal="center" vertical="center"/>
    </xf>
    <xf numFmtId="9" fontId="6" fillId="0" borderId="5" xfId="0" applyNumberFormat="1" applyFont="1" applyBorder="1" applyAlignment="1">
      <alignment horizontal="center"/>
    </xf>
    <xf numFmtId="0" fontId="6" fillId="0" borderId="6" xfId="0" applyFont="1" applyBorder="1" applyAlignment="1">
      <alignment horizontal="center"/>
    </xf>
    <xf numFmtId="9" fontId="3" fillId="0" borderId="1" xfId="0" applyNumberFormat="1" applyFont="1" applyBorder="1" applyAlignment="1">
      <alignment horizontal="center"/>
    </xf>
    <xf numFmtId="9" fontId="3" fillId="0" borderId="8" xfId="0" applyNumberFormat="1" applyFont="1" applyBorder="1" applyAlignment="1">
      <alignment horizontal="center"/>
    </xf>
    <xf numFmtId="0" fontId="0" fillId="0" borderId="1" xfId="0" applyBorder="1"/>
    <xf numFmtId="0" fontId="4" fillId="2" borderId="1" xfId="0" applyFont="1" applyFill="1" applyBorder="1" applyAlignment="1">
      <alignment horizontal="center" vertical="top"/>
    </xf>
    <xf numFmtId="0" fontId="0" fillId="3" borderId="10" xfId="0" applyFill="1" applyBorder="1" applyAlignment="1">
      <alignment horizontal="center"/>
    </xf>
    <xf numFmtId="0" fontId="0" fillId="0" borderId="10" xfId="0" applyBorder="1" applyAlignment="1">
      <alignment horizontal="center"/>
    </xf>
    <xf numFmtId="0" fontId="0" fillId="0" borderId="8" xfId="0" applyBorder="1"/>
    <xf numFmtId="0" fontId="1" fillId="0" borderId="1" xfId="0" applyFont="1" applyBorder="1" applyAlignment="1">
      <alignment horizontal="center"/>
    </xf>
    <xf numFmtId="2" fontId="0" fillId="0" borderId="1" xfId="0" applyNumberFormat="1" applyBorder="1" applyAlignment="1">
      <alignment horizontal="center"/>
    </xf>
    <xf numFmtId="164" fontId="0" fillId="0" borderId="1" xfId="0" applyNumberFormat="1" applyBorder="1" applyAlignment="1">
      <alignment horizontal="center"/>
    </xf>
    <xf numFmtId="0" fontId="0" fillId="0" borderId="2" xfId="0" applyBorder="1"/>
    <xf numFmtId="0" fontId="0" fillId="0" borderId="3" xfId="0" applyBorder="1"/>
    <xf numFmtId="0" fontId="1" fillId="0" borderId="4" xfId="0" applyFont="1" applyBorder="1" applyAlignment="1">
      <alignment horizontal="center" vertical="top"/>
    </xf>
    <xf numFmtId="0" fontId="1" fillId="0" borderId="6" xfId="0" applyFont="1" applyBorder="1" applyAlignment="1">
      <alignment horizontal="center" vertical="top"/>
    </xf>
    <xf numFmtId="0" fontId="0" fillId="0" borderId="0" xfId="0" pivotButton="1"/>
    <xf numFmtId="0" fontId="0" fillId="0" borderId="0" xfId="0" applyAlignment="1">
      <alignment horizontal="left"/>
    </xf>
    <xf numFmtId="14" fontId="1" fillId="0" borderId="4" xfId="0" applyNumberFormat="1" applyFont="1" applyBorder="1" applyAlignment="1">
      <alignment horizontal="center" vertical="top"/>
    </xf>
    <xf numFmtId="14" fontId="0" fillId="0" borderId="2" xfId="0" applyNumberFormat="1" applyBorder="1"/>
    <xf numFmtId="14" fontId="0" fillId="0" borderId="7" xfId="0" applyNumberFormat="1" applyBorder="1"/>
    <xf numFmtId="14" fontId="0" fillId="0" borderId="0" xfId="0" applyNumberFormat="1"/>
    <xf numFmtId="0" fontId="8" fillId="0" borderId="0" xfId="0" applyFont="1" applyAlignment="1">
      <alignment horizontal="center" vertical="center"/>
    </xf>
    <xf numFmtId="0" fontId="2" fillId="0" borderId="1" xfId="0" applyFont="1" applyBorder="1" applyAlignment="1">
      <alignment horizontal="center" vertical="top"/>
    </xf>
    <xf numFmtId="0" fontId="9" fillId="4" borderId="1" xfId="0" applyFont="1" applyFill="1" applyBorder="1" applyAlignment="1">
      <alignment horizontal="center" wrapText="1"/>
    </xf>
    <xf numFmtId="166" fontId="0" fillId="0" borderId="1" xfId="0" applyNumberFormat="1" applyBorder="1" applyAlignment="1">
      <alignment horizontal="center"/>
    </xf>
    <xf numFmtId="0" fontId="0" fillId="0" borderId="3" xfId="0" applyBorder="1" applyAlignment="1">
      <alignment horizontal="center"/>
    </xf>
    <xf numFmtId="0" fontId="1" fillId="0" borderId="1" xfId="0" applyFont="1" applyBorder="1" applyAlignment="1">
      <alignment horizontal="center" vertical="center"/>
    </xf>
    <xf numFmtId="0" fontId="1" fillId="0" borderId="0" xfId="0" applyFont="1" applyAlignment="1">
      <alignment horizontal="center"/>
    </xf>
    <xf numFmtId="164" fontId="0" fillId="0" borderId="3" xfId="0" applyNumberFormat="1" applyBorder="1" applyAlignment="1">
      <alignment horizontal="center"/>
    </xf>
    <xf numFmtId="2" fontId="0" fillId="0" borderId="0" xfId="0" applyNumberFormat="1" applyAlignment="1">
      <alignment horizontal="center"/>
    </xf>
    <xf numFmtId="164" fontId="0" fillId="0" borderId="0" xfId="0" applyNumberFormat="1" applyAlignment="1">
      <alignment horizontal="center"/>
    </xf>
    <xf numFmtId="165" fontId="0" fillId="0" borderId="0" xfId="0" applyNumberFormat="1" applyAlignment="1">
      <alignment horizontal="center" vertical="center"/>
    </xf>
    <xf numFmtId="2" fontId="1" fillId="0" borderId="1" xfId="0" applyNumberFormat="1" applyFont="1" applyBorder="1" applyAlignment="1">
      <alignment horizontal="center"/>
    </xf>
    <xf numFmtId="164" fontId="1" fillId="0" borderId="1" xfId="0" applyNumberFormat="1" applyFont="1" applyBorder="1" applyAlignment="1">
      <alignment horizontal="center"/>
    </xf>
    <xf numFmtId="0" fontId="8" fillId="0" borderId="1" xfId="0" applyFont="1" applyBorder="1" applyAlignment="1">
      <alignment horizontal="center" vertical="center"/>
    </xf>
    <xf numFmtId="9" fontId="0" fillId="0" borderId="3" xfId="0" applyNumberFormat="1" applyBorder="1" applyAlignment="1">
      <alignment horizontal="center" vertical="center"/>
    </xf>
    <xf numFmtId="0" fontId="8" fillId="0" borderId="4" xfId="0" applyFont="1" applyBorder="1" applyAlignment="1">
      <alignment horizontal="center" vertical="center"/>
    </xf>
    <xf numFmtId="0" fontId="8" fillId="0" borderId="5" xfId="0" applyFont="1" applyBorder="1" applyAlignment="1">
      <alignment horizontal="center" vertical="center"/>
    </xf>
    <xf numFmtId="9" fontId="8" fillId="0" borderId="6" xfId="0" applyNumberFormat="1" applyFont="1" applyBorder="1" applyAlignment="1">
      <alignment horizontal="center" vertical="center"/>
    </xf>
    <xf numFmtId="9" fontId="0" fillId="0" borderId="9" xfId="0" applyNumberFormat="1" applyBorder="1" applyAlignment="1">
      <alignment horizontal="center" vertical="center"/>
    </xf>
    <xf numFmtId="0" fontId="12" fillId="0" borderId="0" xfId="0" applyFont="1" applyAlignment="1">
      <alignment vertical="center"/>
    </xf>
    <xf numFmtId="164" fontId="0" fillId="0" borderId="1" xfId="0" applyNumberFormat="1" applyBorder="1"/>
    <xf numFmtId="10" fontId="0" fillId="0" borderId="1" xfId="0" applyNumberFormat="1" applyBorder="1" applyAlignment="1">
      <alignment horizontal="center"/>
    </xf>
    <xf numFmtId="0" fontId="0" fillId="0" borderId="12" xfId="0" applyBorder="1"/>
    <xf numFmtId="0" fontId="0" fillId="0" borderId="14" xfId="0" applyBorder="1"/>
    <xf numFmtId="0" fontId="0" fillId="0" borderId="13" xfId="0" applyBorder="1"/>
    <xf numFmtId="0" fontId="0" fillId="0" borderId="15" xfId="0" applyBorder="1"/>
    <xf numFmtId="0" fontId="0" fillId="0" borderId="4" xfId="0" applyBorder="1"/>
    <xf numFmtId="0" fontId="0" fillId="0" borderId="6" xfId="0" applyBorder="1"/>
    <xf numFmtId="2" fontId="2" fillId="0" borderId="5" xfId="0" applyNumberFormat="1" applyFont="1" applyBorder="1" applyAlignment="1">
      <alignment horizontal="center" vertical="center"/>
    </xf>
    <xf numFmtId="2" fontId="0" fillId="0" borderId="1" xfId="0" applyNumberFormat="1" applyBorder="1" applyAlignment="1">
      <alignment horizontal="center" vertical="center"/>
    </xf>
    <xf numFmtId="2" fontId="0" fillId="0" borderId="0" xfId="0" applyNumberFormat="1"/>
    <xf numFmtId="2" fontId="0" fillId="0" borderId="8" xfId="0" applyNumberFormat="1" applyBorder="1" applyAlignment="1">
      <alignment horizontal="center" vertical="center"/>
    </xf>
    <xf numFmtId="1" fontId="2" fillId="0" borderId="5" xfId="0" applyNumberFormat="1" applyFont="1" applyBorder="1" applyAlignment="1">
      <alignment horizontal="center" vertical="center"/>
    </xf>
    <xf numFmtId="1" fontId="0" fillId="0" borderId="1" xfId="0" applyNumberFormat="1" applyBorder="1" applyAlignment="1">
      <alignment horizontal="center" vertical="center"/>
    </xf>
    <xf numFmtId="1" fontId="0" fillId="0" borderId="8" xfId="0" applyNumberFormat="1" applyBorder="1" applyAlignment="1">
      <alignment horizontal="center" vertical="center"/>
    </xf>
    <xf numFmtId="1" fontId="0" fillId="0" borderId="0" xfId="0" applyNumberFormat="1"/>
    <xf numFmtId="0" fontId="1" fillId="0" borderId="0" xfId="0" applyFont="1" applyAlignment="1">
      <alignment horizontal="center" vertical="top"/>
    </xf>
    <xf numFmtId="9" fontId="2" fillId="0" borderId="6" xfId="0" applyNumberFormat="1" applyFont="1" applyBorder="1" applyAlignment="1">
      <alignment horizontal="center" vertical="center"/>
    </xf>
    <xf numFmtId="164" fontId="0" fillId="0" borderId="8" xfId="0" applyNumberFormat="1" applyBorder="1" applyAlignment="1">
      <alignment horizontal="center"/>
    </xf>
    <xf numFmtId="9" fontId="0" fillId="0" borderId="1" xfId="0" applyNumberFormat="1" applyBorder="1" applyAlignment="1">
      <alignment horizontal="center" vertical="center"/>
    </xf>
    <xf numFmtId="2" fontId="6" fillId="0" borderId="4" xfId="0" applyNumberFormat="1" applyFont="1" applyBorder="1" applyAlignment="1">
      <alignment horizontal="center" vertical="center"/>
    </xf>
    <xf numFmtId="2" fontId="3" fillId="0" borderId="2" xfId="0" applyNumberFormat="1" applyFont="1" applyBorder="1" applyAlignment="1">
      <alignment horizontal="center" vertical="center"/>
    </xf>
    <xf numFmtId="2" fontId="3" fillId="0" borderId="7" xfId="0" applyNumberFormat="1" applyFont="1" applyBorder="1" applyAlignment="1">
      <alignment horizontal="center" vertical="center"/>
    </xf>
    <xf numFmtId="164" fontId="1" fillId="0" borderId="5" xfId="0" applyNumberFormat="1" applyFont="1" applyBorder="1" applyAlignment="1">
      <alignment horizontal="center"/>
    </xf>
    <xf numFmtId="164" fontId="15" fillId="0" borderId="5" xfId="0" applyNumberFormat="1" applyFont="1" applyBorder="1" applyAlignment="1">
      <alignment horizontal="center"/>
    </xf>
    <xf numFmtId="0" fontId="15" fillId="0" borderId="5" xfId="0" applyFont="1" applyBorder="1" applyAlignment="1">
      <alignment horizontal="center"/>
    </xf>
    <xf numFmtId="0" fontId="1" fillId="0" borderId="4" xfId="0" applyFont="1" applyBorder="1" applyAlignment="1">
      <alignment horizontal="center" vertical="center"/>
    </xf>
    <xf numFmtId="164" fontId="0" fillId="0" borderId="9" xfId="0" applyNumberFormat="1" applyBorder="1" applyAlignment="1">
      <alignment horizontal="center"/>
    </xf>
    <xf numFmtId="14" fontId="9" fillId="4" borderId="1" xfId="0" applyNumberFormat="1" applyFont="1" applyFill="1" applyBorder="1" applyAlignment="1">
      <alignment horizontal="center" wrapText="1"/>
    </xf>
    <xf numFmtId="14" fontId="0" fillId="0" borderId="1" xfId="0" applyNumberFormat="1" applyBorder="1" applyAlignment="1">
      <alignment horizontal="center"/>
    </xf>
    <xf numFmtId="9" fontId="0" fillId="0" borderId="1" xfId="0" applyNumberFormat="1" applyBorder="1"/>
    <xf numFmtId="165" fontId="0" fillId="0" borderId="2" xfId="0" applyNumberFormat="1" applyBorder="1" applyAlignment="1">
      <alignment horizontal="center" vertical="center"/>
    </xf>
    <xf numFmtId="2" fontId="1" fillId="0" borderId="5" xfId="0" applyNumberFormat="1" applyFont="1" applyBorder="1" applyAlignment="1">
      <alignment horizontal="center"/>
    </xf>
    <xf numFmtId="0" fontId="1" fillId="0" borderId="6" xfId="0" applyFont="1" applyBorder="1" applyAlignment="1">
      <alignment horizontal="center"/>
    </xf>
    <xf numFmtId="165" fontId="0" fillId="0" borderId="7" xfId="0" applyNumberFormat="1" applyBorder="1" applyAlignment="1">
      <alignment horizontal="center" vertical="center"/>
    </xf>
    <xf numFmtId="9" fontId="8" fillId="0" borderId="0" xfId="0" applyNumberFormat="1" applyFont="1" applyAlignment="1">
      <alignment horizontal="center" vertical="center"/>
    </xf>
    <xf numFmtId="9" fontId="0" fillId="0" borderId="0" xfId="0" applyNumberFormat="1" applyAlignment="1">
      <alignment horizontal="center" vertical="center"/>
    </xf>
    <xf numFmtId="0" fontId="13" fillId="7" borderId="1" xfId="0" applyFont="1" applyFill="1" applyBorder="1" applyAlignment="1">
      <alignment horizontal="center" vertical="center"/>
    </xf>
    <xf numFmtId="0" fontId="1" fillId="0" borderId="8" xfId="0" applyFont="1" applyBorder="1" applyAlignment="1">
      <alignment horizontal="center" vertical="center"/>
    </xf>
    <xf numFmtId="0" fontId="1" fillId="0" borderId="5" xfId="0" applyFont="1" applyBorder="1" applyAlignment="1">
      <alignment horizontal="center" vertical="center"/>
    </xf>
    <xf numFmtId="0" fontId="1" fillId="0" borderId="1" xfId="0" applyFont="1" applyBorder="1" applyAlignment="1">
      <alignment horizontal="center"/>
    </xf>
    <xf numFmtId="0" fontId="1" fillId="0" borderId="1" xfId="0" applyFont="1" applyBorder="1" applyAlignment="1">
      <alignment horizontal="center" vertical="center"/>
    </xf>
    <xf numFmtId="0" fontId="1" fillId="0" borderId="3" xfId="0" applyFont="1" applyBorder="1" applyAlignment="1">
      <alignment horizontal="center"/>
    </xf>
    <xf numFmtId="0" fontId="1" fillId="0" borderId="11" xfId="0" applyFont="1" applyBorder="1" applyAlignment="1">
      <alignment horizontal="center"/>
    </xf>
    <xf numFmtId="0" fontId="1" fillId="0" borderId="2" xfId="0" applyFont="1" applyBorder="1" applyAlignment="1">
      <alignment horizontal="center"/>
    </xf>
    <xf numFmtId="0" fontId="16" fillId="0" borderId="3" xfId="0" applyFont="1" applyBorder="1" applyAlignment="1">
      <alignment horizontal="center"/>
    </xf>
    <xf numFmtId="0" fontId="0" fillId="0" borderId="3" xfId="0" applyBorder="1" applyAlignment="1">
      <alignment horizontal="center"/>
    </xf>
    <xf numFmtId="0" fontId="0" fillId="0" borderId="11" xfId="0" applyBorder="1" applyAlignment="1">
      <alignment horizontal="center"/>
    </xf>
    <xf numFmtId="0" fontId="0" fillId="0" borderId="2" xfId="0" applyBorder="1" applyAlignment="1">
      <alignment horizontal="center"/>
    </xf>
    <xf numFmtId="0" fontId="0" fillId="0" borderId="6" xfId="0" applyBorder="1" applyAlignment="1">
      <alignment horizontal="left" vertical="top"/>
    </xf>
    <xf numFmtId="0" fontId="0" fillId="0" borderId="15" xfId="0" applyBorder="1" applyAlignment="1">
      <alignment horizontal="left" vertical="top"/>
    </xf>
    <xf numFmtId="0" fontId="0" fillId="0" borderId="4" xfId="0" applyBorder="1" applyAlignment="1">
      <alignment horizontal="left" vertical="top"/>
    </xf>
    <xf numFmtId="0" fontId="0" fillId="0" borderId="3" xfId="0" applyBorder="1" applyAlignment="1">
      <alignment horizontal="left" vertical="top"/>
    </xf>
    <xf numFmtId="0" fontId="0" fillId="0" borderId="11" xfId="0" applyBorder="1" applyAlignment="1">
      <alignment horizontal="left" vertical="top"/>
    </xf>
    <xf numFmtId="0" fontId="0" fillId="0" borderId="2" xfId="0" applyBorder="1" applyAlignment="1">
      <alignment horizontal="left" vertical="top"/>
    </xf>
    <xf numFmtId="0" fontId="0" fillId="0" borderId="1" xfId="0" applyBorder="1" applyAlignment="1">
      <alignment horizontal="center"/>
    </xf>
    <xf numFmtId="0" fontId="0" fillId="0" borderId="3" xfId="0" applyBorder="1" applyAlignment="1">
      <alignment horizontal="left"/>
    </xf>
    <xf numFmtId="0" fontId="0" fillId="0" borderId="11" xfId="0" applyBorder="1" applyAlignment="1">
      <alignment horizontal="left"/>
    </xf>
    <xf numFmtId="0" fontId="0" fillId="0" borderId="2" xfId="0" applyBorder="1" applyAlignment="1">
      <alignment horizontal="left"/>
    </xf>
    <xf numFmtId="0" fontId="0" fillId="0" borderId="1" xfId="0" applyBorder="1" applyAlignment="1">
      <alignment horizontal="left" vertical="top"/>
    </xf>
    <xf numFmtId="0" fontId="0" fillId="0" borderId="14" xfId="0" applyBorder="1" applyAlignment="1">
      <alignment horizontal="left"/>
    </xf>
    <xf numFmtId="0" fontId="0" fillId="0" borderId="0" xfId="0" applyAlignment="1">
      <alignment horizontal="left"/>
    </xf>
    <xf numFmtId="0" fontId="0" fillId="0" borderId="13" xfId="0" applyBorder="1" applyAlignment="1">
      <alignment horizontal="left"/>
    </xf>
    <xf numFmtId="0" fontId="0" fillId="0" borderId="8" xfId="0" applyBorder="1" applyAlignment="1">
      <alignment horizontal="left"/>
    </xf>
    <xf numFmtId="0" fontId="0" fillId="0" borderId="9" xfId="0" applyBorder="1" applyAlignment="1">
      <alignment horizontal="left"/>
    </xf>
    <xf numFmtId="0" fontId="0" fillId="0" borderId="12" xfId="0" applyBorder="1" applyAlignment="1">
      <alignment horizontal="left"/>
    </xf>
    <xf numFmtId="0" fontId="0" fillId="0" borderId="7" xfId="0" applyBorder="1" applyAlignment="1">
      <alignment horizontal="left"/>
    </xf>
    <xf numFmtId="0" fontId="0" fillId="0" borderId="1" xfId="0" applyBorder="1" applyAlignment="1">
      <alignment horizontal="left"/>
    </xf>
    <xf numFmtId="0" fontId="18" fillId="6" borderId="19" xfId="0" applyFont="1" applyFill="1" applyBorder="1" applyAlignment="1">
      <alignment horizontal="center"/>
    </xf>
    <xf numFmtId="0" fontId="18" fillId="6" borderId="20" xfId="0" applyFont="1" applyFill="1" applyBorder="1" applyAlignment="1">
      <alignment horizontal="center"/>
    </xf>
    <xf numFmtId="0" fontId="14" fillId="6" borderId="21" xfId="0" applyFont="1" applyFill="1" applyBorder="1" applyAlignment="1">
      <alignment horizontal="center"/>
    </xf>
    <xf numFmtId="0" fontId="14" fillId="6" borderId="22" xfId="0" applyFont="1" applyFill="1" applyBorder="1" applyAlignment="1">
      <alignment horizontal="center"/>
    </xf>
    <xf numFmtId="9" fontId="14" fillId="6" borderId="21" xfId="0" applyNumberFormat="1" applyFont="1" applyFill="1" applyBorder="1" applyAlignment="1">
      <alignment horizontal="center"/>
    </xf>
    <xf numFmtId="0" fontId="17" fillId="5" borderId="16" xfId="0" applyFont="1" applyFill="1" applyBorder="1" applyAlignment="1">
      <alignment horizontal="center"/>
    </xf>
    <xf numFmtId="0" fontId="17" fillId="5" borderId="17" xfId="0" applyFont="1" applyFill="1" applyBorder="1" applyAlignment="1">
      <alignment horizontal="center"/>
    </xf>
    <xf numFmtId="0" fontId="17" fillId="5" borderId="18" xfId="0" applyFont="1" applyFill="1" applyBorder="1" applyAlignment="1">
      <alignment horizontal="center"/>
    </xf>
    <xf numFmtId="164" fontId="14" fillId="6" borderId="21" xfId="0" applyNumberFormat="1" applyFont="1" applyFill="1" applyBorder="1" applyAlignment="1">
      <alignment horizontal="center"/>
    </xf>
    <xf numFmtId="164" fontId="14" fillId="6" borderId="22" xfId="0" applyNumberFormat="1" applyFont="1" applyFill="1" applyBorder="1" applyAlignment="1">
      <alignment horizontal="center"/>
    </xf>
  </cellXfs>
  <cellStyles count="2">
    <cellStyle name="Normal" xfId="0" builtinId="0"/>
    <cellStyle name="Normal 2" xfId="1" xr:uid="{F6130C39-F657-4A07-86F6-41A600A25BDB}"/>
  </cellStyles>
  <dxfs count="134">
    <dxf>
      <numFmt numFmtId="13" formatCode="0%"/>
      <alignment horizontal="center" vertical="center" textRotation="0" wrapText="0"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dxf>
    <dxf>
      <numFmt numFmtId="13" formatCode="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13" formatCode="0%"/>
      <alignment horizontal="center" vertical="center"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numFmt numFmtId="13" formatCode="0%"/>
      <alignment horizontal="center" vertical="center" textRotation="0" wrapText="0" indent="0" justifyLastLine="0" shrinkToFit="0" readingOrder="0"/>
    </dxf>
    <dxf>
      <alignment horizontal="center" vertical="center"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
      <numFmt numFmtId="13" formatCode="0%"/>
      <alignment horizontal="center" vertical="center" textRotation="0" wrapText="0" indent="0" justifyLastLine="0" shrinkToFit="0" readingOrder="0"/>
      <border diagonalUp="0" diagonalDown="0">
        <left style="thin">
          <color auto="1"/>
        </left>
        <right/>
        <top style="thin">
          <color auto="1"/>
        </top>
        <bottom style="thin">
          <color auto="1"/>
        </bottom>
        <vertical/>
        <horizontal/>
      </border>
    </dxf>
    <dxf>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alignment horizontal="center" vertical="center" textRotation="0" wrapText="0" indent="0" justifyLastLine="0" shrinkToFit="0" readingOrder="0"/>
      <border diagonalUp="0" diagonalDown="0">
        <left/>
        <right style="thin">
          <color auto="1"/>
        </right>
        <top style="thin">
          <color auto="1"/>
        </top>
        <bottom style="thin">
          <color auto="1"/>
        </bottom>
        <vertical/>
        <horizontal/>
      </border>
    </dxf>
    <dxf>
      <border outline="0">
        <top style="thin">
          <color auto="1"/>
        </top>
      </border>
    </dxf>
    <dxf>
      <border outline="0">
        <left style="thin">
          <color auto="1"/>
        </left>
        <right style="thin">
          <color auto="1"/>
        </right>
        <top style="thin">
          <color auto="1"/>
        </top>
        <bottom style="thin">
          <color auto="1"/>
        </bottom>
      </border>
    </dxf>
    <dxf>
      <border outline="0">
        <bottom style="thin">
          <color auto="1"/>
        </bottom>
      </border>
    </dxf>
    <dxf>
      <font>
        <b val="0"/>
        <i val="0"/>
        <strike val="0"/>
        <condense val="0"/>
        <extend val="0"/>
        <outline val="0"/>
        <shadow val="0"/>
        <u val="none"/>
        <vertAlign val="baseline"/>
        <sz val="11"/>
        <color auto="1"/>
        <name val="Calibri"/>
        <family val="2"/>
        <scheme val="none"/>
      </font>
      <alignment horizontal="center" vertical="center" textRotation="0" wrapText="0" indent="0" justifyLastLine="0" shrinkToFit="0" readingOrder="0"/>
      <border diagonalUp="0" diagonalDown="0" outline="0">
        <left style="thin">
          <color auto="1"/>
        </left>
        <right style="thin">
          <color auto="1"/>
        </right>
        <top/>
        <bottom/>
      </border>
    </dxf>
    <dxf>
      <font>
        <color rgb="FF006100"/>
      </font>
      <fill>
        <patternFill>
          <fgColor indexed="64"/>
          <bgColor rgb="FFC6EFCE"/>
        </patternFill>
      </fill>
    </dxf>
    <dxf>
      <numFmt numFmtId="164" formatCode="[$$-409]#,##0.00"/>
      <alignment horizontal="center" vertical="bottom" textRotation="0" wrapText="0" indent="0" justifyLastLine="0" shrinkToFit="0" readingOrder="0"/>
      <border diagonalUp="0" diagonalDown="0">
        <left style="thin">
          <color auto="1"/>
        </left>
        <right/>
        <top style="thin">
          <color auto="1"/>
        </top>
        <bottom style="thin">
          <color auto="1"/>
        </bottom>
        <vertical/>
        <horizontal/>
      </border>
    </dxf>
    <dxf>
      <numFmt numFmtId="164" formatCode="[$$-409]#,##0.00"/>
      <alignment horizontal="center" vertical="bottom" textRotation="0" wrapText="0" indent="0" justifyLastLine="0" shrinkToFit="0" readingOrder="0"/>
      <border diagonalUp="0" diagonalDown="0">
        <left style="thin">
          <color auto="1"/>
        </left>
        <right style="thin">
          <color auto="1"/>
        </right>
        <top style="thin">
          <color auto="1"/>
        </top>
        <bottom style="thin">
          <color auto="1"/>
        </bottom>
        <vertical/>
        <horizontal/>
      </border>
    </dxf>
    <dxf>
      <numFmt numFmtId="164" formatCode="[$$-409]#,##0.00"/>
      <alignment horizontal="center" vertical="bottom" textRotation="0" wrapText="0" indent="0" justifyLastLine="0" shrinkToFit="0" readingOrder="0"/>
      <border diagonalUp="0" diagonalDown="0">
        <left style="thin">
          <color auto="1"/>
        </left>
        <right style="thin">
          <color auto="1"/>
        </right>
        <top style="thin">
          <color auto="1"/>
        </top>
        <bottom style="thin">
          <color auto="1"/>
        </bottom>
        <vertical/>
        <horizontal/>
      </border>
    </dxf>
    <dxf>
      <numFmt numFmtId="164" formatCode="[$$-409]#,##0.00"/>
      <alignment horizontal="center" vertical="bottom" textRotation="0" wrapText="0" indent="0" justifyLastLine="0" shrinkToFit="0" readingOrder="0"/>
      <border diagonalUp="0" diagonalDown="0">
        <left style="thin">
          <color auto="1"/>
        </left>
        <right style="thin">
          <color auto="1"/>
        </right>
        <top style="thin">
          <color auto="1"/>
        </top>
        <bottom style="thin">
          <color auto="1"/>
        </bottom>
        <vertical/>
        <horizontal/>
      </border>
    </dxf>
    <dxf>
      <numFmt numFmtId="164" formatCode="[$$-409]#,##0.00"/>
      <alignment horizontal="center" vertical="bottom" textRotation="0" wrapText="0" indent="0" justifyLastLine="0" shrinkToFit="0" readingOrder="0"/>
      <border diagonalUp="0" diagonalDown="0">
        <left style="thin">
          <color auto="1"/>
        </left>
        <right style="thin">
          <color auto="1"/>
        </right>
        <top style="thin">
          <color auto="1"/>
        </top>
        <bottom style="thin">
          <color auto="1"/>
        </bottom>
        <vertical/>
        <horizontal/>
      </border>
    </dxf>
    <dxf>
      <numFmt numFmtId="165" formatCode="mmm/yyyy"/>
      <alignment horizontal="center" vertical="center" textRotation="0" wrapText="0" indent="0" justifyLastLine="0" shrinkToFit="0" readingOrder="0"/>
      <border diagonalUp="0" diagonalDown="0">
        <left/>
        <right style="thin">
          <color auto="1"/>
        </right>
        <top style="thin">
          <color auto="1"/>
        </top>
        <bottom style="thin">
          <color auto="1"/>
        </bottom>
        <vertical/>
        <horizontal/>
      </border>
    </dxf>
    <dxf>
      <border outline="0">
        <top style="thin">
          <color auto="1"/>
        </top>
      </border>
    </dxf>
    <dxf>
      <border outline="0">
        <left style="thin">
          <color auto="1"/>
        </left>
        <right style="thin">
          <color auto="1"/>
        </right>
        <top style="thin">
          <color auto="1"/>
        </top>
        <bottom style="thin">
          <color auto="1"/>
        </bottom>
      </border>
    </dxf>
    <dxf>
      <alignment horizontal="center" vertical="bottom" textRotation="0" wrapText="0" indent="0" justifyLastLine="0" shrinkToFit="0" readingOrder="0"/>
    </dxf>
    <dxf>
      <border outline="0">
        <bottom style="thin">
          <color auto="1"/>
        </bottom>
      </border>
    </dxf>
    <dxf>
      <numFmt numFmtId="164" formatCode="[$$-409]#,##0.00"/>
      <alignment horizontal="center" vertical="bottom" textRotation="0" wrapText="0" indent="0" justifyLastLine="0" shrinkToFit="0" readingOrder="0"/>
    </dxf>
    <dxf>
      <numFmt numFmtId="164" formatCode="[$$-409]#,##0.00"/>
      <alignment horizontal="center" vertical="bottom" textRotation="0" wrapText="0" indent="0" justifyLastLine="0" shrinkToFit="0" readingOrder="0"/>
    </dxf>
    <dxf>
      <alignment horizontal="center" vertical="bottom" textRotation="0" wrapText="0" indent="0" justifyLastLine="0" shrinkToFit="0" readingOrder="0"/>
    </dxf>
    <dxf>
      <border outline="0">
        <bottom style="thin">
          <color auto="1"/>
        </bottom>
      </border>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textRotation="0" wrapText="0" indent="0" justifyLastLine="0" shrinkToFit="0" readingOrder="0"/>
    </dxf>
    <dxf>
      <numFmt numFmtId="0" formatCode="General"/>
      <alignment horizontal="center" textRotation="0" wrapText="0" indent="0" justifyLastLine="0" shrinkToFit="0" readingOrder="0"/>
    </dxf>
    <dxf>
      <numFmt numFmtId="0" formatCode="General"/>
      <alignment horizont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alignment horizontal="center" vertical="bottom" textRotation="0" wrapText="0" indent="0" justifyLastLine="0" shrinkToFit="0" readingOrder="0"/>
      <border diagonalUp="0" diagonalDown="0" outline="0">
        <left style="thin">
          <color theme="4" tint="0.39997558519241921"/>
        </left>
        <right/>
        <top style="thin">
          <color theme="4" tint="0.39997558519241921"/>
        </top>
        <bottom style="thin">
          <color theme="4" tint="0.39997558519241921"/>
        </bottom>
      </border>
    </dxf>
    <dxf>
      <alignment horizontal="center" textRotation="0" wrapText="0" indent="0" justifyLastLine="0" shrinkToFit="0" readingOrder="0"/>
    </dxf>
    <dxf>
      <alignment horizontal="center" textRotation="0" wrapText="0" indent="0" justifyLastLine="0" shrinkToFit="0" readingOrder="0"/>
    </dxf>
    <dxf>
      <font>
        <strike val="0"/>
        <outline val="0"/>
        <shadow val="0"/>
        <u val="none"/>
        <vertAlign val="baseline"/>
        <sz val="11"/>
        <name val="Calibri"/>
        <family val="2"/>
        <scheme val="none"/>
      </font>
      <numFmt numFmtId="0" formatCode="General"/>
      <alignment horizontal="center" textRotation="0" wrapText="0"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dxf>
    <dxf>
      <font>
        <strike val="0"/>
        <outline val="0"/>
        <shadow val="0"/>
        <u val="none"/>
        <vertAlign val="baseline"/>
        <sz val="11"/>
        <name val="Calibri"/>
        <family val="2"/>
        <scheme val="none"/>
      </font>
      <numFmt numFmtId="13" formatCode="0%"/>
      <alignment horizont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name val="Calibri"/>
        <family val="2"/>
        <scheme val="none"/>
      </font>
      <numFmt numFmtId="164" formatCode="[$$-409]#,##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strike val="0"/>
        <outline val="0"/>
        <shadow val="0"/>
        <u val="none"/>
        <vertAlign val="baseline"/>
        <sz val="11"/>
        <name val="Calibri"/>
        <family val="2"/>
        <scheme val="none"/>
      </font>
      <numFmt numFmtId="2" formatCode="0.00"/>
      <alignment horizontal="center" vertical="center"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11"/>
        <name val="Calibri"/>
        <family val="2"/>
        <scheme val="none"/>
      </font>
      <alignment horizontal="center" textRotation="0" wrapText="0" indent="0" justifyLastLine="0" shrinkToFit="0" readingOrder="0"/>
    </dxf>
    <dxf>
      <border>
        <bottom style="thin">
          <color indexed="64"/>
        </bottom>
      </border>
    </dxf>
    <dxf>
      <font>
        <b/>
        <strike val="0"/>
        <outline val="0"/>
        <shadow val="0"/>
        <u val="none"/>
        <vertAlign val="baseline"/>
        <sz val="11"/>
        <color theme="1" tint="4.9989318521683403E-2"/>
        <name val="Calibri"/>
        <family val="2"/>
        <scheme val="none"/>
      </font>
      <alignment horizontal="center"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
      <font>
        <color rgb="FF9C0006"/>
      </font>
      <fill>
        <patternFill>
          <bgColor rgb="FFFFC7CE"/>
        </patternFill>
      </fill>
    </dxf>
    <dxf>
      <font>
        <color rgb="FF9C0006"/>
      </font>
      <fill>
        <patternFill>
          <bgColor rgb="FFFFC7CE"/>
        </patternFill>
      </fill>
    </dxf>
    <dxf>
      <font>
        <strike val="0"/>
        <outline val="0"/>
        <shadow val="0"/>
        <u val="none"/>
        <vertAlign val="baseline"/>
        <sz val="11"/>
        <name val="Calibri"/>
        <family val="2"/>
        <scheme val="none"/>
      </font>
      <numFmt numFmtId="0" formatCode="General"/>
      <alignment horizontal="center" textRotation="0" wrapText="0" indent="0" justifyLastLine="0" shrinkToFit="0" readingOrder="0"/>
      <border diagonalUp="0" diagonalDown="0" outline="0">
        <left style="thin">
          <color indexed="64"/>
        </left>
        <right/>
        <top style="thin">
          <color indexed="64"/>
        </top>
        <bottom style="thin">
          <color indexed="64"/>
        </bottom>
      </border>
    </dxf>
    <dxf>
      <font>
        <strike val="0"/>
        <outline val="0"/>
        <shadow val="0"/>
        <u val="none"/>
        <vertAlign val="baseline"/>
        <sz val="11"/>
        <name val="Calibri"/>
        <family val="2"/>
        <scheme val="none"/>
      </font>
      <numFmt numFmtId="0" formatCode="General"/>
      <alignment horizont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Calibri"/>
        <family val="2"/>
        <scheme val="none"/>
      </font>
      <numFmt numFmtId="0" formatCode="General"/>
      <alignment horizont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Calibri"/>
        <family val="2"/>
        <scheme val="none"/>
      </font>
      <alignment horizontal="center" vertical="center"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11"/>
        <name val="Calibri"/>
        <family val="2"/>
        <scheme val="none"/>
      </font>
      <alignment horizontal="center" textRotation="0" wrapText="0" indent="0" justifyLastLine="0" shrinkToFit="0" readingOrder="0"/>
    </dxf>
    <dxf>
      <border>
        <bottom style="thin">
          <color indexed="64"/>
        </bottom>
      </border>
    </dxf>
    <dxf>
      <font>
        <strike val="0"/>
        <outline val="0"/>
        <shadow val="0"/>
        <u val="none"/>
        <vertAlign val="baseline"/>
        <sz val="11"/>
        <name val="Calibri"/>
        <family val="2"/>
        <scheme val="none"/>
      </font>
      <alignment horizontal="center" textRotation="0" wrapText="0" indent="0" justifyLastLine="0" shrinkToFit="0" readingOrder="0"/>
      <border diagonalUp="0" diagonalDown="0" outline="0">
        <left style="thin">
          <color indexed="64"/>
        </left>
        <right style="thin">
          <color indexed="64"/>
        </right>
        <top/>
        <bottom/>
      </border>
    </dxf>
    <dxf>
      <numFmt numFmtId="13" formatCode="0%"/>
      <alignment horizontal="center" vertical="center" textRotation="0" wrapText="0"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dxf>
    <dxf>
      <numFmt numFmtId="1" formatCode="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1"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164" formatCode="[$$-409]#,##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164" formatCode="[$$-409]#,##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164" formatCode="[$$-409]#,##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1" formatCode="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mmm/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dxf>
    <dxf>
      <border>
        <bottom style="thin">
          <color indexed="64"/>
        </bottom>
      </border>
    </dxf>
    <dxf>
      <font>
        <b/>
        <i val="0"/>
        <strike val="0"/>
        <condense val="0"/>
        <extend val="0"/>
        <outline val="0"/>
        <shadow val="0"/>
        <u val="none"/>
        <vertAlign val="baseline"/>
        <sz val="11"/>
        <color auto="1"/>
        <name val="Calibri"/>
        <family val="2"/>
        <scheme val="none"/>
      </font>
      <alignment horizontal="center" vertical="center"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
      <font>
        <color rgb="FF9C0006"/>
      </font>
      <fill>
        <patternFill>
          <bgColor rgb="FFFFC7CE"/>
        </patternFill>
      </fill>
    </dxf>
    <dxf>
      <alignment horizontal="center" vertical="center" textRotation="0" wrapText="0" indent="0" justifyLastLine="0" shrinkToFit="0" readingOrder="0"/>
      <border diagonalUp="0" diagonalDown="0">
        <left style="thin">
          <color auto="1"/>
        </left>
        <right/>
        <top style="thin">
          <color auto="1"/>
        </top>
        <bottom style="thin">
          <color auto="1"/>
        </bottom>
        <vertical style="thin">
          <color auto="1"/>
        </vertical>
        <horizontal style="thin">
          <color auto="1"/>
        </horizontal>
      </border>
    </dxf>
    <dxf>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numFmt numFmtId="164" formatCode="[$$-409]#,##0.00"/>
      <alignment horizontal="center" vertical="bottom" textRotation="0" wrapText="0" indent="0" justifyLastLine="0" shrinkToFit="0" readingOrder="0"/>
      <border diagonalUp="0" diagonalDown="0">
        <left style="thin">
          <color auto="1"/>
        </left>
        <right style="thin">
          <color auto="1"/>
        </right>
        <top style="thin">
          <color auto="1"/>
        </top>
        <bottom style="thin">
          <color auto="1"/>
        </bottom>
      </border>
    </dxf>
    <dxf>
      <numFmt numFmtId="164" formatCode="[$$-409]#,##0.00"/>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numFmt numFmtId="2" formatCode="0.00"/>
      <alignment horizontal="center" vertical="center" textRotation="0" wrapText="0" indent="0" justifyLastLine="0" shrinkToFit="0" readingOrder="0"/>
      <border diagonalUp="0" diagonalDown="0" outline="0">
        <left style="thin">
          <color auto="1"/>
        </left>
        <right style="thin">
          <color auto="1"/>
        </right>
        <top style="thin">
          <color auto="1"/>
        </top>
        <bottom style="thin">
          <color auto="1"/>
        </bottom>
      </border>
    </dxf>
    <dxf>
      <numFmt numFmtId="164" formatCode="[$$-409]#,##0.00"/>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numFmt numFmtId="165" formatCode="mmm/yyyy"/>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alignment horizontal="center" vertical="center" textRotation="0" wrapText="0" indent="0" justifyLastLine="0" shrinkToFit="0" readingOrder="0"/>
      <border diagonalUp="0" diagonalDown="0">
        <left/>
        <right style="thin">
          <color auto="1"/>
        </right>
        <top style="thin">
          <color auto="1"/>
        </top>
        <bottom style="thin">
          <color auto="1"/>
        </bottom>
        <vertical style="thin">
          <color auto="1"/>
        </vertical>
        <horizontal style="thin">
          <color auto="1"/>
        </horizontal>
      </border>
    </dxf>
    <dxf>
      <border>
        <top style="thin">
          <color auto="1"/>
        </top>
      </border>
    </dxf>
    <dxf>
      <border diagonalUp="0" diagonalDown="0">
        <left style="thin">
          <color auto="1"/>
        </left>
        <right style="thin">
          <color auto="1"/>
        </right>
        <top style="thin">
          <color auto="1"/>
        </top>
        <bottom style="thin">
          <color auto="1"/>
        </bottom>
      </border>
    </dxf>
    <dxf>
      <alignment horizontal="center" vertical="center" textRotation="0" wrapText="0" indent="0" justifyLastLine="0" shrinkToFit="0" readingOrder="0"/>
    </dxf>
    <dxf>
      <border>
        <bottom style="thin">
          <color auto="1"/>
        </bottom>
      </border>
    </dxf>
    <dxf>
      <font>
        <b/>
        <i val="0"/>
        <strike val="0"/>
        <condense val="0"/>
        <extend val="0"/>
        <outline val="0"/>
        <shadow val="0"/>
        <u val="none"/>
        <vertAlign val="baseline"/>
        <sz val="11"/>
        <color auto="1"/>
        <name val="Calibri"/>
        <family val="2"/>
        <scheme val="none"/>
      </font>
      <alignment horizontal="center" vertical="center" textRotation="0" wrapText="0" indent="0" justifyLastLine="0" shrinkToFit="0" readingOrder="0"/>
      <border diagonalUp="0" diagonalDown="0">
        <left style="thin">
          <color auto="1"/>
        </left>
        <right style="thin">
          <color auto="1"/>
        </right>
        <top/>
        <bottom/>
        <vertical style="thin">
          <color auto="1"/>
        </vertical>
        <horizontal style="thin">
          <color auto="1"/>
        </horizontal>
      </border>
    </dxf>
    <dxf>
      <font>
        <color rgb="FF9C0006"/>
      </font>
      <fill>
        <patternFill>
          <bgColor rgb="FFFFC7CE"/>
        </patternFill>
      </fill>
    </dxf>
    <dxf>
      <border diagonalUp="0" diagonalDown="0">
        <left style="thin">
          <color auto="1"/>
        </left>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numFmt numFmtId="19" formatCode="dd/mm/yyyy"/>
      <border diagonalUp="0" diagonalDown="0" outline="0">
        <left/>
        <right style="thin">
          <color auto="1"/>
        </right>
        <top style="thin">
          <color auto="1"/>
        </top>
        <bottom style="thin">
          <color auto="1"/>
        </bottom>
      </border>
    </dxf>
    <dxf>
      <border outline="0">
        <top style="thin">
          <color auto="1"/>
        </top>
      </border>
    </dxf>
    <dxf>
      <border outline="0">
        <left style="thin">
          <color auto="1"/>
        </left>
        <right style="thin">
          <color auto="1"/>
        </right>
      </border>
    </dxf>
    <dxf>
      <border outline="0">
        <bottom style="thin">
          <color auto="1"/>
        </bottom>
      </border>
    </dxf>
    <dxf>
      <font>
        <b/>
        <i val="0"/>
        <strike val="0"/>
        <condense val="0"/>
        <extend val="0"/>
        <outline val="0"/>
        <shadow val="0"/>
        <u val="none"/>
        <vertAlign val="baseline"/>
        <sz val="11"/>
        <color theme="1"/>
        <name val="Aptos Narrow"/>
        <family val="2"/>
        <scheme val="minor"/>
      </font>
      <alignment horizontal="center" vertical="top" textRotation="0" wrapText="0" indent="0" justifyLastLine="0" shrinkToFit="0" readingOrder="0"/>
      <border diagonalUp="0" diagonalDown="0" outline="0">
        <left style="thin">
          <color auto="1"/>
        </left>
        <right style="thin">
          <color auto="1"/>
        </right>
        <top/>
        <bottom/>
      </border>
    </dxf>
    <dxf>
      <border diagonalUp="0" diagonalDown="0">
        <left style="thin">
          <color auto="1"/>
        </left>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right style="thin">
          <color auto="1"/>
        </right>
        <top style="thin">
          <color auto="1"/>
        </top>
        <bottom style="thin">
          <color auto="1"/>
        </bottom>
        <vertical/>
        <horizontal/>
      </border>
    </dxf>
    <dxf>
      <border outline="0">
        <top style="thin">
          <color auto="1"/>
        </top>
      </border>
    </dxf>
    <dxf>
      <border outline="0">
        <left style="thin">
          <color auto="1"/>
        </left>
        <right style="thin">
          <color auto="1"/>
        </right>
        <top style="thin">
          <color auto="1"/>
        </top>
        <bottom style="thin">
          <color auto="1"/>
        </bottom>
      </border>
    </dxf>
    <dxf>
      <border outline="0">
        <bottom style="thin">
          <color auto="1"/>
        </bottom>
      </border>
    </dxf>
    <dxf>
      <font>
        <b/>
        <i val="0"/>
        <strike val="0"/>
        <condense val="0"/>
        <extend val="0"/>
        <outline val="0"/>
        <shadow val="0"/>
        <u val="none"/>
        <vertAlign val="baseline"/>
        <sz val="11"/>
        <color theme="1"/>
        <name val="Aptos Narrow"/>
        <family val="2"/>
        <scheme val="minor"/>
      </font>
      <alignment horizontal="center" vertical="top" textRotation="0" wrapText="0" indent="0" justifyLastLine="0" shrinkToFit="0" readingOrder="0"/>
      <border diagonalUp="0" diagonalDown="0" outline="0">
        <left style="thin">
          <color auto="1"/>
        </left>
        <right style="thin">
          <color auto="1"/>
        </right>
        <top/>
        <bottom/>
      </border>
    </dxf>
    <dxf>
      <alignment horizontal="center" textRotation="0" wrapText="0" indent="0" justifyLastLine="0" shrinkToFit="0" readingOrder="0"/>
    </dxf>
    <dxf>
      <alignment horizontal="center" textRotation="0" wrapText="0" indent="0" justifyLastLine="0" shrinkToFit="0" readingOrder="0"/>
    </dxf>
    <dxf>
      <alignment horizontal="center" textRotation="0" wrapText="0" indent="0" justifyLastLine="0" shrinkToFit="0" readingOrder="0"/>
    </dxf>
    <dxf>
      <alignment horizontal="center" textRotation="0" wrapText="0" indent="0" justifyLastLine="0" shrinkToFit="0" readingOrder="0"/>
    </dxf>
    <dxf>
      <alignment horizontal="center" textRotation="0" wrapText="0" indent="0" justifyLastLine="0" shrinkToFit="0" readingOrder="0"/>
    </dxf>
    <dxf>
      <alignment horizontal="center" textRotation="0" wrapText="0" indent="0" justifyLastLine="0" shrinkToFit="0" readingOrder="0"/>
    </dxf>
    <dxf>
      <border outline="0">
        <top style="thin">
          <color auto="1"/>
        </top>
      </border>
    </dxf>
    <dxf>
      <alignment horizontal="center" textRotation="0" wrapText="0" indent="0" justifyLastLine="0" shrinkToFit="0" readingOrder="0"/>
    </dxf>
    <dxf>
      <border outline="0">
        <bottom style="thin">
          <color auto="1"/>
        </bottom>
      </border>
    </dxf>
    <dxf>
      <font>
        <b/>
        <i val="0"/>
        <strike val="0"/>
        <condense val="0"/>
        <extend val="0"/>
        <outline val="0"/>
        <shadow val="0"/>
        <u val="none"/>
        <vertAlign val="baseline"/>
        <sz val="11"/>
        <color theme="1"/>
        <name val="Aptos Narrow"/>
        <family val="2"/>
        <scheme val="minor"/>
      </font>
      <alignment horizontal="center" vertical="top" textRotation="0" wrapText="0" indent="0" justifyLastLine="0" shrinkToFit="0" readingOrder="0"/>
      <border diagonalUp="0" diagonalDown="0" outline="0">
        <left style="thin">
          <color auto="1"/>
        </left>
        <right style="thin">
          <color auto="1"/>
        </right>
        <top/>
        <bottom/>
      </border>
    </dxf>
    <dxf>
      <alignment horizontal="center" textRotation="0" wrapText="0" indent="0" justifyLastLine="0" shrinkToFit="0" readingOrder="0"/>
    </dxf>
    <dxf>
      <alignment horizontal="center" textRotation="0" wrapText="0" indent="0" justifyLastLine="0" shrinkToFit="0" readingOrder="0"/>
    </dxf>
    <dxf>
      <alignment horizontal="center" textRotation="0" wrapText="0" indent="0" justifyLastLine="0" shrinkToFit="0" readingOrder="0"/>
    </dxf>
    <dxf>
      <alignment horizontal="center" textRotation="0" wrapText="0" indent="0" justifyLastLine="0" shrinkToFit="0" readingOrder="0"/>
    </dxf>
    <dxf>
      <border outline="0">
        <top style="thin">
          <color auto="1"/>
        </top>
      </border>
    </dxf>
    <dxf>
      <alignment horizontal="center" textRotation="0" wrapText="0" indent="0" justifyLastLine="0" shrinkToFit="0" readingOrder="0"/>
    </dxf>
    <dxf>
      <border outline="0">
        <bottom style="thin">
          <color auto="1"/>
        </bottom>
      </border>
    </dxf>
    <dxf>
      <font>
        <b/>
        <i val="0"/>
        <strike val="0"/>
        <condense val="0"/>
        <extend val="0"/>
        <outline val="0"/>
        <shadow val="0"/>
        <u val="none"/>
        <vertAlign val="baseline"/>
        <sz val="11"/>
        <color theme="1"/>
        <name val="Aptos Narrow"/>
        <family val="2"/>
        <scheme val="minor"/>
      </font>
      <alignment horizontal="center" vertical="top" textRotation="0" wrapText="0" indent="0" justifyLastLine="0" shrinkToFit="0" readingOrder="0"/>
      <border diagonalUp="0" diagonalDown="0" outline="0">
        <left style="thin">
          <color auto="1"/>
        </left>
        <right style="thin">
          <color auto="1"/>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7/relationships/slicerCache" Target="slicerCaches/slicerCache2.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7/relationships/slicerCache" Target="slicerCaches/slicerCache1.xml"/><Relationship Id="rId2" Type="http://schemas.openxmlformats.org/officeDocument/2006/relationships/worksheet" Target="worksheets/sheet2.xml"/><Relationship Id="rId16" Type="http://schemas.openxmlformats.org/officeDocument/2006/relationships/pivotCacheDefinition" Target="pivotCache/pivotCacheDefinition1.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Category</a:t>
            </a:r>
            <a:r>
              <a:rPr lang="en-IN" baseline="0"/>
              <a:t>-wise Total Sales by Region</a:t>
            </a: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lotArea>
      <c:layout/>
      <c:barChart>
        <c:barDir val="col"/>
        <c:grouping val="clustered"/>
        <c:varyColors val="0"/>
        <c:ser>
          <c:idx val="0"/>
          <c:order val="0"/>
          <c:tx>
            <c:strRef>
              <c:f>'Data Visualization &amp; Charts'!$B$27</c:f>
              <c:strCache>
                <c:ptCount val="1"/>
              </c:strCache>
            </c:strRef>
          </c:tx>
          <c:spPr>
            <a:solidFill>
              <a:schemeClr val="accent2"/>
            </a:solidFill>
            <a:ln>
              <a:noFill/>
            </a:ln>
            <a:effectLst/>
          </c:spPr>
          <c:invertIfNegative val="0"/>
          <c:cat>
            <c:strRef>
              <c:f>'Data Visualization &amp; Charts'!$A$28:$A$34</c:f>
              <c:strCache>
                <c:ptCount val="7"/>
                <c:pt idx="0">
                  <c:v>Region_Code</c:v>
                </c:pt>
                <c:pt idx="1">
                  <c:v>NA</c:v>
                </c:pt>
                <c:pt idx="2">
                  <c:v>EU</c:v>
                </c:pt>
                <c:pt idx="3">
                  <c:v>AS</c:v>
                </c:pt>
                <c:pt idx="4">
                  <c:v>AF</c:v>
                </c:pt>
                <c:pt idx="5">
                  <c:v>SA</c:v>
                </c:pt>
                <c:pt idx="6">
                  <c:v>OC</c:v>
                </c:pt>
              </c:strCache>
            </c:strRef>
          </c:cat>
          <c:val>
            <c:numRef>
              <c:f>'Data Visualization &amp; Charts'!$B$28:$B$34</c:f>
              <c:numCache>
                <c:formatCode>[$$-409]#,##0.00</c:formatCode>
                <c:ptCount val="7"/>
                <c:pt idx="0" formatCode="0.00">
                  <c:v>0</c:v>
                </c:pt>
                <c:pt idx="1">
                  <c:v>24079.71</c:v>
                </c:pt>
                <c:pt idx="2">
                  <c:v>30642.080000000002</c:v>
                </c:pt>
                <c:pt idx="3">
                  <c:v>33225.64</c:v>
                </c:pt>
                <c:pt idx="4">
                  <c:v>6956.41</c:v>
                </c:pt>
                <c:pt idx="5">
                  <c:v>8480.99</c:v>
                </c:pt>
                <c:pt idx="6">
                  <c:v>6810.06</c:v>
                </c:pt>
              </c:numCache>
            </c:numRef>
          </c:val>
          <c:extLst>
            <c:ext xmlns:c16="http://schemas.microsoft.com/office/drawing/2014/chart" uri="{C3380CC4-5D6E-409C-BE32-E72D297353CC}">
              <c16:uniqueId val="{00000000-6572-4C34-8C76-8CFDFB000634}"/>
            </c:ext>
          </c:extLst>
        </c:ser>
        <c:ser>
          <c:idx val="1"/>
          <c:order val="1"/>
          <c:tx>
            <c:strRef>
              <c:f>'Data Visualization &amp; Charts'!$C$27</c:f>
              <c:strCache>
                <c:ptCount val="1"/>
              </c:strCache>
            </c:strRef>
          </c:tx>
          <c:spPr>
            <a:solidFill>
              <a:schemeClr val="accent4"/>
            </a:solidFill>
            <a:ln>
              <a:noFill/>
            </a:ln>
            <a:effectLst/>
          </c:spPr>
          <c:invertIfNegative val="0"/>
          <c:cat>
            <c:strRef>
              <c:f>'Data Visualization &amp; Charts'!$A$28:$A$34</c:f>
              <c:strCache>
                <c:ptCount val="7"/>
                <c:pt idx="0">
                  <c:v>Region_Code</c:v>
                </c:pt>
                <c:pt idx="1">
                  <c:v>NA</c:v>
                </c:pt>
                <c:pt idx="2">
                  <c:v>EU</c:v>
                </c:pt>
                <c:pt idx="3">
                  <c:v>AS</c:v>
                </c:pt>
                <c:pt idx="4">
                  <c:v>AF</c:v>
                </c:pt>
                <c:pt idx="5">
                  <c:v>SA</c:v>
                </c:pt>
                <c:pt idx="6">
                  <c:v>OC</c:v>
                </c:pt>
              </c:strCache>
            </c:strRef>
          </c:cat>
          <c:val>
            <c:numRef>
              <c:f>'Data Visualization &amp; Charts'!$C$28:$C$34</c:f>
              <c:numCache>
                <c:formatCode>[$$-409]#,##0.00</c:formatCode>
                <c:ptCount val="7"/>
                <c:pt idx="0" formatCode="0.00">
                  <c:v>0</c:v>
                </c:pt>
                <c:pt idx="1">
                  <c:v>9625.9699999999993</c:v>
                </c:pt>
                <c:pt idx="2">
                  <c:v>11433.35</c:v>
                </c:pt>
                <c:pt idx="3">
                  <c:v>30263.43</c:v>
                </c:pt>
                <c:pt idx="4">
                  <c:v>6721.25</c:v>
                </c:pt>
                <c:pt idx="5">
                  <c:v>2134.23</c:v>
                </c:pt>
                <c:pt idx="6">
                  <c:v>12174.14</c:v>
                </c:pt>
              </c:numCache>
            </c:numRef>
          </c:val>
          <c:extLst>
            <c:ext xmlns:c16="http://schemas.microsoft.com/office/drawing/2014/chart" uri="{C3380CC4-5D6E-409C-BE32-E72D297353CC}">
              <c16:uniqueId val="{00000001-6572-4C34-8C76-8CFDFB000634}"/>
            </c:ext>
          </c:extLst>
        </c:ser>
        <c:ser>
          <c:idx val="2"/>
          <c:order val="2"/>
          <c:tx>
            <c:strRef>
              <c:f>'Data Visualization &amp; Charts'!$D$27</c:f>
              <c:strCache>
                <c:ptCount val="1"/>
              </c:strCache>
            </c:strRef>
          </c:tx>
          <c:spPr>
            <a:solidFill>
              <a:schemeClr val="accent6"/>
            </a:solidFill>
            <a:ln>
              <a:noFill/>
            </a:ln>
            <a:effectLst/>
          </c:spPr>
          <c:invertIfNegative val="0"/>
          <c:cat>
            <c:strRef>
              <c:f>'Data Visualization &amp; Charts'!$A$28:$A$34</c:f>
              <c:strCache>
                <c:ptCount val="7"/>
                <c:pt idx="0">
                  <c:v>Region_Code</c:v>
                </c:pt>
                <c:pt idx="1">
                  <c:v>NA</c:v>
                </c:pt>
                <c:pt idx="2">
                  <c:v>EU</c:v>
                </c:pt>
                <c:pt idx="3">
                  <c:v>AS</c:v>
                </c:pt>
                <c:pt idx="4">
                  <c:v>AF</c:v>
                </c:pt>
                <c:pt idx="5">
                  <c:v>SA</c:v>
                </c:pt>
                <c:pt idx="6">
                  <c:v>OC</c:v>
                </c:pt>
              </c:strCache>
            </c:strRef>
          </c:cat>
          <c:val>
            <c:numRef>
              <c:f>'Data Visualization &amp; Charts'!$D$28:$D$34</c:f>
              <c:numCache>
                <c:formatCode>[$$-409]#,##0.00</c:formatCode>
                <c:ptCount val="7"/>
                <c:pt idx="0">
                  <c:v>0</c:v>
                </c:pt>
                <c:pt idx="1">
                  <c:v>22495.010000000002</c:v>
                </c:pt>
                <c:pt idx="2">
                  <c:v>25086.150000000005</c:v>
                </c:pt>
                <c:pt idx="3">
                  <c:v>34174.130000000005</c:v>
                </c:pt>
                <c:pt idx="4">
                  <c:v>7452.9400000000005</c:v>
                </c:pt>
                <c:pt idx="5">
                  <c:v>16927.670000000002</c:v>
                </c:pt>
                <c:pt idx="6">
                  <c:v>8892.01</c:v>
                </c:pt>
              </c:numCache>
            </c:numRef>
          </c:val>
          <c:extLst>
            <c:ext xmlns:c16="http://schemas.microsoft.com/office/drawing/2014/chart" uri="{C3380CC4-5D6E-409C-BE32-E72D297353CC}">
              <c16:uniqueId val="{00000002-6572-4C34-8C76-8CFDFB000634}"/>
            </c:ext>
          </c:extLst>
        </c:ser>
        <c:ser>
          <c:idx val="3"/>
          <c:order val="3"/>
          <c:tx>
            <c:strRef>
              <c:f>'Data Visualization &amp; Charts'!$E$27</c:f>
              <c:strCache>
                <c:ptCount val="1"/>
              </c:strCache>
            </c:strRef>
          </c:tx>
          <c:spPr>
            <a:solidFill>
              <a:schemeClr val="accent2">
                <a:lumMod val="60000"/>
              </a:schemeClr>
            </a:solidFill>
            <a:ln>
              <a:noFill/>
            </a:ln>
            <a:effectLst/>
          </c:spPr>
          <c:invertIfNegative val="0"/>
          <c:cat>
            <c:strRef>
              <c:f>'Data Visualization &amp; Charts'!$A$28:$A$34</c:f>
              <c:strCache>
                <c:ptCount val="7"/>
                <c:pt idx="0">
                  <c:v>Region_Code</c:v>
                </c:pt>
                <c:pt idx="1">
                  <c:v>NA</c:v>
                </c:pt>
                <c:pt idx="2">
                  <c:v>EU</c:v>
                </c:pt>
                <c:pt idx="3">
                  <c:v>AS</c:v>
                </c:pt>
                <c:pt idx="4">
                  <c:v>AF</c:v>
                </c:pt>
                <c:pt idx="5">
                  <c:v>SA</c:v>
                </c:pt>
                <c:pt idx="6">
                  <c:v>OC</c:v>
                </c:pt>
              </c:strCache>
            </c:strRef>
          </c:cat>
          <c:val>
            <c:numRef>
              <c:f>'Data Visualization &amp; Charts'!$E$28:$E$34</c:f>
              <c:numCache>
                <c:formatCode>[$$-409]#,##0.00</c:formatCode>
                <c:ptCount val="7"/>
                <c:pt idx="0">
                  <c:v>0</c:v>
                </c:pt>
                <c:pt idx="1">
                  <c:v>26924.320000000003</c:v>
                </c:pt>
                <c:pt idx="2">
                  <c:v>33685.94</c:v>
                </c:pt>
                <c:pt idx="3">
                  <c:v>51860.89</c:v>
                </c:pt>
                <c:pt idx="4">
                  <c:v>8364.44</c:v>
                </c:pt>
                <c:pt idx="5">
                  <c:v>2088.92</c:v>
                </c:pt>
                <c:pt idx="6">
                  <c:v>6972.93</c:v>
                </c:pt>
              </c:numCache>
            </c:numRef>
          </c:val>
          <c:extLst>
            <c:ext xmlns:c16="http://schemas.microsoft.com/office/drawing/2014/chart" uri="{C3380CC4-5D6E-409C-BE32-E72D297353CC}">
              <c16:uniqueId val="{00000003-6572-4C34-8C76-8CFDFB000634}"/>
            </c:ext>
          </c:extLst>
        </c:ser>
        <c:ser>
          <c:idx val="4"/>
          <c:order val="4"/>
          <c:tx>
            <c:strRef>
              <c:f>'Data Visualization &amp; Charts'!$F$27</c:f>
              <c:strCache>
                <c:ptCount val="1"/>
              </c:strCache>
            </c:strRef>
          </c:tx>
          <c:spPr>
            <a:solidFill>
              <a:schemeClr val="accent4">
                <a:lumMod val="60000"/>
              </a:schemeClr>
            </a:solidFill>
            <a:ln>
              <a:noFill/>
            </a:ln>
            <a:effectLst/>
          </c:spPr>
          <c:invertIfNegative val="0"/>
          <c:cat>
            <c:strRef>
              <c:f>'Data Visualization &amp; Charts'!$A$28:$A$34</c:f>
              <c:strCache>
                <c:ptCount val="7"/>
                <c:pt idx="0">
                  <c:v>Region_Code</c:v>
                </c:pt>
                <c:pt idx="1">
                  <c:v>NA</c:v>
                </c:pt>
                <c:pt idx="2">
                  <c:v>EU</c:v>
                </c:pt>
                <c:pt idx="3">
                  <c:v>AS</c:v>
                </c:pt>
                <c:pt idx="4">
                  <c:v>AF</c:v>
                </c:pt>
                <c:pt idx="5">
                  <c:v>SA</c:v>
                </c:pt>
                <c:pt idx="6">
                  <c:v>OC</c:v>
                </c:pt>
              </c:strCache>
            </c:strRef>
          </c:cat>
          <c:val>
            <c:numRef>
              <c:f>'Data Visualization &amp; Charts'!$F$28:$F$34</c:f>
              <c:numCache>
                <c:formatCode>[$$-409]#,##0.00</c:formatCode>
                <c:ptCount val="7"/>
                <c:pt idx="0" formatCode="General">
                  <c:v>0</c:v>
                </c:pt>
                <c:pt idx="1">
                  <c:v>3820.0600000000004</c:v>
                </c:pt>
                <c:pt idx="2">
                  <c:v>14367.099999999999</c:v>
                </c:pt>
                <c:pt idx="3">
                  <c:v>21644.31</c:v>
                </c:pt>
                <c:pt idx="4">
                  <c:v>0</c:v>
                </c:pt>
                <c:pt idx="5">
                  <c:v>5232.2199999999993</c:v>
                </c:pt>
                <c:pt idx="6">
                  <c:v>2168.3200000000002</c:v>
                </c:pt>
              </c:numCache>
            </c:numRef>
          </c:val>
          <c:extLst>
            <c:ext xmlns:c16="http://schemas.microsoft.com/office/drawing/2014/chart" uri="{C3380CC4-5D6E-409C-BE32-E72D297353CC}">
              <c16:uniqueId val="{00000004-6572-4C34-8C76-8CFDFB000634}"/>
            </c:ext>
          </c:extLst>
        </c:ser>
        <c:dLbls>
          <c:showLegendKey val="0"/>
          <c:showVal val="0"/>
          <c:showCatName val="0"/>
          <c:showSerName val="0"/>
          <c:showPercent val="0"/>
          <c:showBubbleSize val="0"/>
        </c:dLbls>
        <c:gapWidth val="219"/>
        <c:overlap val="-27"/>
        <c:axId val="1786762784"/>
        <c:axId val="1786774784"/>
      </c:barChart>
      <c:catAx>
        <c:axId val="178676278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Regions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86774784"/>
        <c:crosses val="autoZero"/>
        <c:auto val="1"/>
        <c:lblAlgn val="ctr"/>
        <c:lblOffset val="100"/>
        <c:noMultiLvlLbl val="0"/>
      </c:catAx>
      <c:valAx>
        <c:axId val="178677478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Amount $</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867627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Monthly</a:t>
            </a:r>
            <a:r>
              <a:rPr lang="en-IN" baseline="0"/>
              <a:t> Sales and Profit Trends</a:t>
            </a: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lotArea>
      <c:layout/>
      <c:lineChart>
        <c:grouping val="standard"/>
        <c:varyColors val="0"/>
        <c:ser>
          <c:idx val="0"/>
          <c:order val="0"/>
          <c:tx>
            <c:strRef>
              <c:f>'Data Visualization &amp; Charts'!$B$1</c:f>
              <c:strCache>
                <c:ptCount val="1"/>
                <c:pt idx="0">
                  <c:v>Total Sales</c:v>
                </c:pt>
              </c:strCache>
            </c:strRef>
          </c:tx>
          <c:spPr>
            <a:ln w="28575" cap="rnd">
              <a:solidFill>
                <a:schemeClr val="accent1"/>
              </a:solidFill>
              <a:round/>
            </a:ln>
            <a:effectLst/>
          </c:spPr>
          <c:marker>
            <c:symbol val="none"/>
          </c:marker>
          <c:cat>
            <c:strRef>
              <c:f>'Data Visualization &amp; Charts'!$A$2:$A$18</c:f>
              <c:strCache>
                <c:ptCount val="17"/>
                <c:pt idx="0">
                  <c:v>2024-01</c:v>
                </c:pt>
                <c:pt idx="1">
                  <c:v>2024-02</c:v>
                </c:pt>
                <c:pt idx="2">
                  <c:v>2024-03</c:v>
                </c:pt>
                <c:pt idx="3">
                  <c:v>2024-04</c:v>
                </c:pt>
                <c:pt idx="4">
                  <c:v>2024-05</c:v>
                </c:pt>
                <c:pt idx="5">
                  <c:v>2024-06</c:v>
                </c:pt>
                <c:pt idx="6">
                  <c:v>2024-07</c:v>
                </c:pt>
                <c:pt idx="7">
                  <c:v>2024-08</c:v>
                </c:pt>
                <c:pt idx="8">
                  <c:v>2024-09</c:v>
                </c:pt>
                <c:pt idx="9">
                  <c:v>2024-10</c:v>
                </c:pt>
                <c:pt idx="10">
                  <c:v>2024-11</c:v>
                </c:pt>
                <c:pt idx="11">
                  <c:v>2024-12</c:v>
                </c:pt>
                <c:pt idx="12">
                  <c:v>2025-01</c:v>
                </c:pt>
                <c:pt idx="13">
                  <c:v>2025-02</c:v>
                </c:pt>
                <c:pt idx="14">
                  <c:v>2025-03</c:v>
                </c:pt>
                <c:pt idx="15">
                  <c:v>2025-04</c:v>
                </c:pt>
                <c:pt idx="16">
                  <c:v>2025-05</c:v>
                </c:pt>
              </c:strCache>
            </c:strRef>
          </c:cat>
          <c:val>
            <c:numRef>
              <c:f>'Data Visualization &amp; Charts'!$B$2:$B$18</c:f>
              <c:numCache>
                <c:formatCode>[$$-409]#,##0.00</c:formatCode>
                <c:ptCount val="17"/>
                <c:pt idx="0">
                  <c:v>23642.31</c:v>
                </c:pt>
                <c:pt idx="1">
                  <c:v>29912</c:v>
                </c:pt>
                <c:pt idx="2">
                  <c:v>27450.58</c:v>
                </c:pt>
                <c:pt idx="3">
                  <c:v>13108.03</c:v>
                </c:pt>
                <c:pt idx="4">
                  <c:v>25044.65</c:v>
                </c:pt>
                <c:pt idx="5">
                  <c:v>38692.6</c:v>
                </c:pt>
                <c:pt idx="6">
                  <c:v>30288.91</c:v>
                </c:pt>
                <c:pt idx="7">
                  <c:v>28579.07</c:v>
                </c:pt>
                <c:pt idx="8">
                  <c:v>31738.73</c:v>
                </c:pt>
                <c:pt idx="9">
                  <c:v>25371.88</c:v>
                </c:pt>
                <c:pt idx="10">
                  <c:v>31766.41</c:v>
                </c:pt>
                <c:pt idx="11">
                  <c:v>39119.29</c:v>
                </c:pt>
                <c:pt idx="12">
                  <c:v>23958.62</c:v>
                </c:pt>
                <c:pt idx="13">
                  <c:v>24475.24</c:v>
                </c:pt>
                <c:pt idx="14">
                  <c:v>32154.880000000001</c:v>
                </c:pt>
                <c:pt idx="15">
                  <c:v>36539.25</c:v>
                </c:pt>
                <c:pt idx="16">
                  <c:v>9732.4599999999991</c:v>
                </c:pt>
              </c:numCache>
            </c:numRef>
          </c:val>
          <c:smooth val="0"/>
          <c:extLst>
            <c:ext xmlns:c16="http://schemas.microsoft.com/office/drawing/2014/chart" uri="{C3380CC4-5D6E-409C-BE32-E72D297353CC}">
              <c16:uniqueId val="{00000000-CF73-4341-88C1-B9F14A9B9BD7}"/>
            </c:ext>
          </c:extLst>
        </c:ser>
        <c:ser>
          <c:idx val="1"/>
          <c:order val="1"/>
          <c:tx>
            <c:strRef>
              <c:f>'Data Visualization &amp; Charts'!$C$1</c:f>
              <c:strCache>
                <c:ptCount val="1"/>
                <c:pt idx="0">
                  <c:v>Profit</c:v>
                </c:pt>
              </c:strCache>
            </c:strRef>
          </c:tx>
          <c:spPr>
            <a:ln w="28575" cap="rnd">
              <a:solidFill>
                <a:schemeClr val="accent2"/>
              </a:solidFill>
              <a:round/>
            </a:ln>
            <a:effectLst/>
          </c:spPr>
          <c:marker>
            <c:symbol val="none"/>
          </c:marker>
          <c:cat>
            <c:strRef>
              <c:f>'Data Visualization &amp; Charts'!$A$2:$A$18</c:f>
              <c:strCache>
                <c:ptCount val="17"/>
                <c:pt idx="0">
                  <c:v>2024-01</c:v>
                </c:pt>
                <c:pt idx="1">
                  <c:v>2024-02</c:v>
                </c:pt>
                <c:pt idx="2">
                  <c:v>2024-03</c:v>
                </c:pt>
                <c:pt idx="3">
                  <c:v>2024-04</c:v>
                </c:pt>
                <c:pt idx="4">
                  <c:v>2024-05</c:v>
                </c:pt>
                <c:pt idx="5">
                  <c:v>2024-06</c:v>
                </c:pt>
                <c:pt idx="6">
                  <c:v>2024-07</c:v>
                </c:pt>
                <c:pt idx="7">
                  <c:v>2024-08</c:v>
                </c:pt>
                <c:pt idx="8">
                  <c:v>2024-09</c:v>
                </c:pt>
                <c:pt idx="9">
                  <c:v>2024-10</c:v>
                </c:pt>
                <c:pt idx="10">
                  <c:v>2024-11</c:v>
                </c:pt>
                <c:pt idx="11">
                  <c:v>2024-12</c:v>
                </c:pt>
                <c:pt idx="12">
                  <c:v>2025-01</c:v>
                </c:pt>
                <c:pt idx="13">
                  <c:v>2025-02</c:v>
                </c:pt>
                <c:pt idx="14">
                  <c:v>2025-03</c:v>
                </c:pt>
                <c:pt idx="15">
                  <c:v>2025-04</c:v>
                </c:pt>
                <c:pt idx="16">
                  <c:v>2025-05</c:v>
                </c:pt>
              </c:strCache>
            </c:strRef>
          </c:cat>
          <c:val>
            <c:numRef>
              <c:f>'Data Visualization &amp; Charts'!$C$2:$C$18</c:f>
              <c:numCache>
                <c:formatCode>[$$-409]#,##0.00</c:formatCode>
                <c:ptCount val="17"/>
                <c:pt idx="0">
                  <c:v>6054.28</c:v>
                </c:pt>
                <c:pt idx="1">
                  <c:v>9234.0300000000007</c:v>
                </c:pt>
                <c:pt idx="2">
                  <c:v>7448.97</c:v>
                </c:pt>
                <c:pt idx="3">
                  <c:v>4040.24</c:v>
                </c:pt>
                <c:pt idx="4">
                  <c:v>6249.32</c:v>
                </c:pt>
                <c:pt idx="5">
                  <c:v>11775.91</c:v>
                </c:pt>
                <c:pt idx="6">
                  <c:v>8441.19</c:v>
                </c:pt>
                <c:pt idx="7">
                  <c:v>7976.39</c:v>
                </c:pt>
                <c:pt idx="8">
                  <c:v>8387.18</c:v>
                </c:pt>
                <c:pt idx="9">
                  <c:v>7552.51</c:v>
                </c:pt>
                <c:pt idx="10">
                  <c:v>7763.13</c:v>
                </c:pt>
                <c:pt idx="11">
                  <c:v>10480.9</c:v>
                </c:pt>
                <c:pt idx="12">
                  <c:v>7054.74</c:v>
                </c:pt>
                <c:pt idx="13">
                  <c:v>6905.52</c:v>
                </c:pt>
                <c:pt idx="14">
                  <c:v>10348.18</c:v>
                </c:pt>
                <c:pt idx="15">
                  <c:v>10237.879999999999</c:v>
                </c:pt>
                <c:pt idx="16">
                  <c:v>2579.2199999999998</c:v>
                </c:pt>
              </c:numCache>
            </c:numRef>
          </c:val>
          <c:smooth val="0"/>
          <c:extLst>
            <c:ext xmlns:c16="http://schemas.microsoft.com/office/drawing/2014/chart" uri="{C3380CC4-5D6E-409C-BE32-E72D297353CC}">
              <c16:uniqueId val="{00000001-CF73-4341-88C1-B9F14A9B9BD7}"/>
            </c:ext>
          </c:extLst>
        </c:ser>
        <c:dLbls>
          <c:showLegendKey val="0"/>
          <c:showVal val="0"/>
          <c:showCatName val="0"/>
          <c:showSerName val="0"/>
          <c:showPercent val="0"/>
          <c:showBubbleSize val="0"/>
        </c:dLbls>
        <c:smooth val="0"/>
        <c:axId val="334515888"/>
        <c:axId val="334518288"/>
      </c:lineChart>
      <c:catAx>
        <c:axId val="33451588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Months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34518288"/>
        <c:crosses val="autoZero"/>
        <c:auto val="1"/>
        <c:lblAlgn val="ctr"/>
        <c:lblOffset val="100"/>
        <c:noMultiLvlLbl val="0"/>
      </c:catAx>
      <c:valAx>
        <c:axId val="33451828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Amount $</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409]#,##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345158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0" i="0" u="none" strike="noStrike" kern="1200" spc="0" baseline="0">
                <a:solidFill>
                  <a:schemeClr val="tx1">
                    <a:lumMod val="65000"/>
                    <a:lumOff val="35000"/>
                  </a:schemeClr>
                </a:solidFill>
                <a:latin typeface="+mn-lt"/>
                <a:ea typeface="+mn-ea"/>
                <a:cs typeface="+mn-cs"/>
              </a:defRPr>
            </a:pPr>
            <a:r>
              <a:rPr lang="en-IN" sz="1800"/>
              <a:t>Region-wise Sales &amp; Profit</a:t>
            </a:r>
          </a:p>
        </c:rich>
      </c:tx>
      <c:overlay val="0"/>
      <c:spPr>
        <a:noFill/>
        <a:ln>
          <a:noFill/>
        </a:ln>
        <a:effectLst/>
      </c:spPr>
      <c:txPr>
        <a:bodyPr rot="0" spcFirstLastPara="1" vertOverflow="ellipsis" vert="horz" wrap="square" anchor="ctr" anchorCtr="1"/>
        <a:lstStyle/>
        <a:p>
          <a:pPr>
            <a:defRPr sz="18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Rough_Sheet!$B$18</c:f>
              <c:strCache>
                <c:ptCount val="1"/>
                <c:pt idx="0">
                  <c:v>Total Sales(Sum)</c:v>
                </c:pt>
              </c:strCache>
            </c:strRef>
          </c:tx>
          <c:spPr>
            <a:solidFill>
              <a:schemeClr val="accent1"/>
            </a:solidFill>
            <a:ln>
              <a:noFill/>
            </a:ln>
            <a:effectLst/>
          </c:spPr>
          <c:invertIfNegative val="0"/>
          <c:cat>
            <c:strRef>
              <c:f>Rough_Sheet!$A$19:$A$24</c:f>
              <c:strCache>
                <c:ptCount val="6"/>
                <c:pt idx="0">
                  <c:v>NA</c:v>
                </c:pt>
                <c:pt idx="1">
                  <c:v>EU</c:v>
                </c:pt>
                <c:pt idx="2">
                  <c:v>AS</c:v>
                </c:pt>
                <c:pt idx="3">
                  <c:v>AF</c:v>
                </c:pt>
                <c:pt idx="4">
                  <c:v>SA</c:v>
                </c:pt>
                <c:pt idx="5">
                  <c:v>OC</c:v>
                </c:pt>
              </c:strCache>
            </c:strRef>
          </c:cat>
          <c:val>
            <c:numRef>
              <c:f>Rough_Sheet!$B$19:$B$24</c:f>
              <c:numCache>
                <c:formatCode>[$$-409]#,##0.00</c:formatCode>
                <c:ptCount val="6"/>
                <c:pt idx="0">
                  <c:v>86945.07</c:v>
                </c:pt>
                <c:pt idx="1">
                  <c:v>115214.62</c:v>
                </c:pt>
                <c:pt idx="2">
                  <c:v>171168.40000000002</c:v>
                </c:pt>
                <c:pt idx="3">
                  <c:v>29495.040000000001</c:v>
                </c:pt>
                <c:pt idx="4">
                  <c:v>34864.03</c:v>
                </c:pt>
                <c:pt idx="5">
                  <c:v>37017.46</c:v>
                </c:pt>
              </c:numCache>
            </c:numRef>
          </c:val>
          <c:extLst>
            <c:ext xmlns:c16="http://schemas.microsoft.com/office/drawing/2014/chart" uri="{C3380CC4-5D6E-409C-BE32-E72D297353CC}">
              <c16:uniqueId val="{00000000-56B2-4252-A479-1429D05FA626}"/>
            </c:ext>
          </c:extLst>
        </c:ser>
        <c:ser>
          <c:idx val="1"/>
          <c:order val="1"/>
          <c:tx>
            <c:strRef>
              <c:f>Rough_Sheet!$C$18</c:f>
              <c:strCache>
                <c:ptCount val="1"/>
                <c:pt idx="0">
                  <c:v>Total Profit(Sum)</c:v>
                </c:pt>
              </c:strCache>
            </c:strRef>
          </c:tx>
          <c:spPr>
            <a:solidFill>
              <a:schemeClr val="accent2"/>
            </a:solidFill>
            <a:ln>
              <a:noFill/>
            </a:ln>
            <a:effectLst/>
          </c:spPr>
          <c:invertIfNegative val="0"/>
          <c:cat>
            <c:strRef>
              <c:f>Rough_Sheet!$A$19:$A$24</c:f>
              <c:strCache>
                <c:ptCount val="6"/>
                <c:pt idx="0">
                  <c:v>NA</c:v>
                </c:pt>
                <c:pt idx="1">
                  <c:v>EU</c:v>
                </c:pt>
                <c:pt idx="2">
                  <c:v>AS</c:v>
                </c:pt>
                <c:pt idx="3">
                  <c:v>AF</c:v>
                </c:pt>
                <c:pt idx="4">
                  <c:v>SA</c:v>
                </c:pt>
                <c:pt idx="5">
                  <c:v>OC</c:v>
                </c:pt>
              </c:strCache>
            </c:strRef>
          </c:cat>
          <c:val>
            <c:numRef>
              <c:f>Rough_Sheet!$C$19:$C$24</c:f>
              <c:numCache>
                <c:formatCode>[$$-409]#,##0.00</c:formatCode>
                <c:ptCount val="6"/>
                <c:pt idx="0">
                  <c:v>24053.24</c:v>
                </c:pt>
                <c:pt idx="1">
                  <c:v>32134.75</c:v>
                </c:pt>
                <c:pt idx="2">
                  <c:v>47915.859999999993</c:v>
                </c:pt>
                <c:pt idx="3">
                  <c:v>8967.32</c:v>
                </c:pt>
                <c:pt idx="4">
                  <c:v>10336.530000000001</c:v>
                </c:pt>
                <c:pt idx="5">
                  <c:v>10162.700000000001</c:v>
                </c:pt>
              </c:numCache>
            </c:numRef>
          </c:val>
          <c:extLst>
            <c:ext xmlns:c16="http://schemas.microsoft.com/office/drawing/2014/chart" uri="{C3380CC4-5D6E-409C-BE32-E72D297353CC}">
              <c16:uniqueId val="{00000001-56B2-4252-A479-1429D05FA626}"/>
            </c:ext>
          </c:extLst>
        </c:ser>
        <c:dLbls>
          <c:showLegendKey val="0"/>
          <c:showVal val="0"/>
          <c:showCatName val="0"/>
          <c:showSerName val="0"/>
          <c:showPercent val="0"/>
          <c:showBubbleSize val="0"/>
        </c:dLbls>
        <c:gapWidth val="219"/>
        <c:overlap val="-27"/>
        <c:axId val="384518608"/>
        <c:axId val="384516688"/>
      </c:barChart>
      <c:catAx>
        <c:axId val="3845186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Regions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4516688"/>
        <c:crosses val="autoZero"/>
        <c:auto val="1"/>
        <c:lblAlgn val="ctr"/>
        <c:lblOffset val="100"/>
        <c:noMultiLvlLbl val="0"/>
      </c:catAx>
      <c:valAx>
        <c:axId val="38451668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Amount $</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409]#,##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4518608"/>
        <c:crosses val="autoZero"/>
        <c:crossBetween val="between"/>
      </c:valAx>
      <c:spPr>
        <a:noFill/>
        <a:ln>
          <a:noFill/>
        </a:ln>
        <a:effectLst/>
      </c:spPr>
    </c:plotArea>
    <c:legend>
      <c:legendPos val="b"/>
      <c:layout>
        <c:manualLayout>
          <c:xMode val="edge"/>
          <c:yMode val="edge"/>
          <c:x val="0.35994049818158752"/>
          <c:y val="0.90609492018460258"/>
          <c:w val="0.31527040257280264"/>
          <c:h val="7.622889499487924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lumMod val="95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r>
              <a:rPr lang="en-IN" sz="2000"/>
              <a:t>Category</a:t>
            </a:r>
            <a:r>
              <a:rPr lang="en-IN" sz="2000" baseline="0"/>
              <a:t> Share of Total Sales</a:t>
            </a:r>
            <a:endParaRPr lang="en-IN" sz="2000"/>
          </a:p>
        </c:rich>
      </c:tx>
      <c:layout>
        <c:manualLayout>
          <c:xMode val="edge"/>
          <c:yMode val="edge"/>
          <c:x val="0.31365677149057142"/>
          <c:y val="1.6800901163297043E-2"/>
        </c:manualLayout>
      </c:layout>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endParaRPr lang="en-IN"/>
        </a:p>
      </c:txPr>
    </c:title>
    <c:autoTitleDeleted val="0"/>
    <c:plotArea>
      <c:layout/>
      <c:pieChart>
        <c:varyColors val="1"/>
        <c:ser>
          <c:idx val="0"/>
          <c:order val="0"/>
          <c:dPt>
            <c:idx val="0"/>
            <c:bubble3D val="0"/>
            <c:spPr>
              <a:solidFill>
                <a:schemeClr val="accent2">
                  <a:lumMod val="20000"/>
                  <a:lumOff val="80000"/>
                </a:schemeClr>
              </a:solidFill>
              <a:ln w="19050">
                <a:solidFill>
                  <a:schemeClr val="lt1"/>
                </a:solidFill>
              </a:ln>
              <a:effectLst/>
            </c:spPr>
            <c:extLst>
              <c:ext xmlns:c16="http://schemas.microsoft.com/office/drawing/2014/chart" uri="{C3380CC4-5D6E-409C-BE32-E72D297353CC}">
                <c16:uniqueId val="{00000001-AB7B-42BC-B294-109A03C7F864}"/>
              </c:ext>
            </c:extLst>
          </c:dPt>
          <c:dPt>
            <c:idx val="1"/>
            <c:bubble3D val="0"/>
            <c:spPr>
              <a:solidFill>
                <a:schemeClr val="accent2">
                  <a:shade val="76000"/>
                </a:schemeClr>
              </a:solidFill>
              <a:ln w="19050">
                <a:solidFill>
                  <a:schemeClr val="lt1"/>
                </a:solidFill>
              </a:ln>
              <a:effectLst/>
            </c:spPr>
            <c:extLst>
              <c:ext xmlns:c16="http://schemas.microsoft.com/office/drawing/2014/chart" uri="{C3380CC4-5D6E-409C-BE32-E72D297353CC}">
                <c16:uniqueId val="{00000003-AB7B-42BC-B294-109A03C7F864}"/>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AB7B-42BC-B294-109A03C7F864}"/>
              </c:ext>
            </c:extLst>
          </c:dPt>
          <c:dPt>
            <c:idx val="3"/>
            <c:bubble3D val="0"/>
            <c:spPr>
              <a:solidFill>
                <a:schemeClr val="accent2">
                  <a:tint val="77000"/>
                </a:schemeClr>
              </a:solidFill>
              <a:ln w="19050">
                <a:solidFill>
                  <a:schemeClr val="lt1"/>
                </a:solidFill>
              </a:ln>
              <a:effectLst/>
            </c:spPr>
            <c:extLst>
              <c:ext xmlns:c16="http://schemas.microsoft.com/office/drawing/2014/chart" uri="{C3380CC4-5D6E-409C-BE32-E72D297353CC}">
                <c16:uniqueId val="{00000007-AB7B-42BC-B294-109A03C7F864}"/>
              </c:ext>
            </c:extLst>
          </c:dPt>
          <c:dPt>
            <c:idx val="4"/>
            <c:bubble3D val="0"/>
            <c:spPr>
              <a:solidFill>
                <a:schemeClr val="accent2">
                  <a:tint val="54000"/>
                </a:schemeClr>
              </a:solidFill>
              <a:ln w="19050">
                <a:solidFill>
                  <a:schemeClr val="lt1"/>
                </a:solidFill>
              </a:ln>
              <a:effectLst/>
            </c:spPr>
            <c:extLst>
              <c:ext xmlns:c16="http://schemas.microsoft.com/office/drawing/2014/chart" uri="{C3380CC4-5D6E-409C-BE32-E72D297353CC}">
                <c16:uniqueId val="{00000009-AB7B-42BC-B294-109A03C7F864}"/>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Rough_Sheet!$E$18:$E$22</c:f>
              <c:strCache>
                <c:ptCount val="5"/>
                <c:pt idx="0">
                  <c:v>Accessories</c:v>
                </c:pt>
                <c:pt idx="1">
                  <c:v>Apparel</c:v>
                </c:pt>
                <c:pt idx="2">
                  <c:v>Electronics</c:v>
                </c:pt>
                <c:pt idx="3">
                  <c:v>Home Decor</c:v>
                </c:pt>
                <c:pt idx="4">
                  <c:v>Textiles</c:v>
                </c:pt>
              </c:strCache>
            </c:strRef>
          </c:cat>
          <c:val>
            <c:numRef>
              <c:f>Rough_Sheet!$F$18:$F$22</c:f>
              <c:numCache>
                <c:formatCode>General</c:formatCode>
                <c:ptCount val="5"/>
                <c:pt idx="0">
                  <c:v>110194.89</c:v>
                </c:pt>
                <c:pt idx="1">
                  <c:v>72352.37</c:v>
                </c:pt>
                <c:pt idx="2">
                  <c:v>115027.91</c:v>
                </c:pt>
                <c:pt idx="3">
                  <c:v>129897.44</c:v>
                </c:pt>
                <c:pt idx="4">
                  <c:v>47232.01</c:v>
                </c:pt>
              </c:numCache>
            </c:numRef>
          </c:val>
          <c:extLst>
            <c:ext xmlns:c16="http://schemas.microsoft.com/office/drawing/2014/chart" uri="{C3380CC4-5D6E-409C-BE32-E72D297353CC}">
              <c16:uniqueId val="{0000000A-AB7B-42BC-B294-109A03C7F864}"/>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83402093856203452"/>
          <c:y val="0.33574130067791924"/>
          <c:w val="0.14347662431992975"/>
          <c:h val="0.33263245347033998"/>
        </c:manualLayout>
      </c:layout>
      <c:overlay val="0"/>
      <c:spPr>
        <a:solidFill>
          <a:schemeClr val="bg1">
            <a:lumMod val="95000"/>
          </a:schemeClr>
        </a:solid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2">
        <a:lumMod val="9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Top</a:t>
            </a:r>
            <a:r>
              <a:rPr lang="en-US" baseline="0"/>
              <a:t> 5 Products by Sales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tx>
            <c:strRef>
              <c:f>Rough_Sheet!$B$29</c:f>
              <c:strCache>
                <c:ptCount val="1"/>
                <c:pt idx="0">
                  <c:v>Sales</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Rough_Sheet!$A$30:$A$34</c:f>
              <c:strCache>
                <c:ptCount val="5"/>
                <c:pt idx="0">
                  <c:v>Denim Jacket</c:v>
                </c:pt>
                <c:pt idx="1">
                  <c:v>Travel Backpack</c:v>
                </c:pt>
                <c:pt idx="2">
                  <c:v>Table Lamp</c:v>
                </c:pt>
                <c:pt idx="3">
                  <c:v>Cotton Bedsheet</c:v>
                </c:pt>
                <c:pt idx="4">
                  <c:v>Bluetooth Speaker</c:v>
                </c:pt>
              </c:strCache>
            </c:strRef>
          </c:cat>
          <c:val>
            <c:numRef>
              <c:f>Rough_Sheet!$B$30:$B$34</c:f>
              <c:numCache>
                <c:formatCode>[$$-409]#,##0.00</c:formatCode>
                <c:ptCount val="5"/>
                <c:pt idx="0">
                  <c:v>72352.37000000001</c:v>
                </c:pt>
                <c:pt idx="1">
                  <c:v>70597.12000000001</c:v>
                </c:pt>
                <c:pt idx="2">
                  <c:v>52792.43</c:v>
                </c:pt>
                <c:pt idx="3">
                  <c:v>47232.010000000009</c:v>
                </c:pt>
                <c:pt idx="4">
                  <c:v>44578.25</c:v>
                </c:pt>
              </c:numCache>
            </c:numRef>
          </c:val>
          <c:extLst>
            <c:ext xmlns:c16="http://schemas.microsoft.com/office/drawing/2014/chart" uri="{C3380CC4-5D6E-409C-BE32-E72D297353CC}">
              <c16:uniqueId val="{00000000-7656-435F-9E31-367C0768B6B5}"/>
            </c:ext>
          </c:extLst>
        </c:ser>
        <c:dLbls>
          <c:dLblPos val="outEnd"/>
          <c:showLegendKey val="0"/>
          <c:showVal val="1"/>
          <c:showCatName val="0"/>
          <c:showSerName val="0"/>
          <c:showPercent val="0"/>
          <c:showBubbleSize val="0"/>
        </c:dLbls>
        <c:gapWidth val="219"/>
        <c:axId val="140289040"/>
        <c:axId val="140287600"/>
      </c:barChart>
      <c:catAx>
        <c:axId val="140289040"/>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Products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287600"/>
        <c:crosses val="autoZero"/>
        <c:auto val="1"/>
        <c:lblAlgn val="ctr"/>
        <c:lblOffset val="100"/>
        <c:noMultiLvlLbl val="0"/>
      </c:catAx>
      <c:valAx>
        <c:axId val="140287600"/>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Amount $</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409]#,##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28904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lumMod val="95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0" i="0" u="none" strike="noStrike" kern="1200" spc="0" baseline="0">
                <a:solidFill>
                  <a:schemeClr val="tx1">
                    <a:lumMod val="65000"/>
                    <a:lumOff val="35000"/>
                  </a:schemeClr>
                </a:solidFill>
                <a:latin typeface="+mn-lt"/>
                <a:ea typeface="+mn-ea"/>
                <a:cs typeface="+mn-cs"/>
              </a:defRPr>
            </a:pPr>
            <a:r>
              <a:rPr lang="en-US" sz="1800"/>
              <a:t>Avg Profit Margin by Region</a:t>
            </a:r>
          </a:p>
        </c:rich>
      </c:tx>
      <c:overlay val="0"/>
      <c:spPr>
        <a:noFill/>
        <a:ln>
          <a:noFill/>
        </a:ln>
        <a:effectLst/>
      </c:spPr>
      <c:txPr>
        <a:bodyPr rot="0" spcFirstLastPara="1" vertOverflow="ellipsis" vert="horz" wrap="square" anchor="ctr" anchorCtr="1"/>
        <a:lstStyle/>
        <a:p>
          <a:pPr>
            <a:defRPr sz="18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Rough_Sheet!$I$9</c:f>
              <c:strCache>
                <c:ptCount val="1"/>
                <c:pt idx="0">
                  <c:v>Avg Profit Margin</c:v>
                </c:pt>
              </c:strCache>
            </c:strRef>
          </c:tx>
          <c:spPr>
            <a:solidFill>
              <a:schemeClr val="accent1"/>
            </a:solidFill>
            <a:ln>
              <a:noFill/>
            </a:ln>
            <a:effectLst/>
          </c:spPr>
          <c:invertIfNegative val="0"/>
          <c:cat>
            <c:strRef>
              <c:f>Rough_Sheet!$H$10:$H$15</c:f>
              <c:strCache>
                <c:ptCount val="6"/>
                <c:pt idx="0">
                  <c:v>NA</c:v>
                </c:pt>
                <c:pt idx="1">
                  <c:v>EU</c:v>
                </c:pt>
                <c:pt idx="2">
                  <c:v>AS</c:v>
                </c:pt>
                <c:pt idx="3">
                  <c:v>AF</c:v>
                </c:pt>
                <c:pt idx="4">
                  <c:v>SA</c:v>
                </c:pt>
                <c:pt idx="5">
                  <c:v>OC</c:v>
                </c:pt>
              </c:strCache>
            </c:strRef>
          </c:cat>
          <c:val>
            <c:numRef>
              <c:f>Rough_Sheet!$I$10:$I$15</c:f>
              <c:numCache>
                <c:formatCode>0.00%</c:formatCode>
                <c:ptCount val="6"/>
                <c:pt idx="0">
                  <c:v>0.26854646749217259</c:v>
                </c:pt>
                <c:pt idx="1">
                  <c:v>0.27512997100174685</c:v>
                </c:pt>
                <c:pt idx="2">
                  <c:v>0.27023591536060088</c:v>
                </c:pt>
                <c:pt idx="3">
                  <c:v>0.29066277278231434</c:v>
                </c:pt>
                <c:pt idx="4">
                  <c:v>0.27734290368891584</c:v>
                </c:pt>
                <c:pt idx="5">
                  <c:v>0.2635977089513406</c:v>
                </c:pt>
              </c:numCache>
            </c:numRef>
          </c:val>
          <c:extLst>
            <c:ext xmlns:c16="http://schemas.microsoft.com/office/drawing/2014/chart" uri="{C3380CC4-5D6E-409C-BE32-E72D297353CC}">
              <c16:uniqueId val="{00000000-3933-4885-BFE1-6623C1149DB0}"/>
            </c:ext>
          </c:extLst>
        </c:ser>
        <c:dLbls>
          <c:showLegendKey val="0"/>
          <c:showVal val="0"/>
          <c:showCatName val="0"/>
          <c:showSerName val="0"/>
          <c:showPercent val="0"/>
          <c:showBubbleSize val="0"/>
        </c:dLbls>
        <c:gapWidth val="150"/>
        <c:overlap val="100"/>
        <c:axId val="371138768"/>
        <c:axId val="371134928"/>
      </c:barChart>
      <c:catAx>
        <c:axId val="37113876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Regions</a:t>
                </a:r>
              </a:p>
            </c:rich>
          </c:tx>
          <c:layout>
            <c:manualLayout>
              <c:xMode val="edge"/>
              <c:yMode val="edge"/>
              <c:x val="0.47242285244988091"/>
              <c:y val="0.89290287327711015"/>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1134928"/>
        <c:crosses val="autoZero"/>
        <c:auto val="1"/>
        <c:lblAlgn val="ctr"/>
        <c:lblOffset val="100"/>
        <c:noMultiLvlLbl val="0"/>
      </c:catAx>
      <c:valAx>
        <c:axId val="3711349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Percentage</a:t>
                </a:r>
              </a:p>
            </c:rich>
          </c:tx>
          <c:layout>
            <c:manualLayout>
              <c:xMode val="edge"/>
              <c:yMode val="edge"/>
              <c:x val="2.0228953525970313E-2"/>
              <c:y val="0.36740601631791225"/>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113876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lumMod val="95000"/>
      </a:schemeClr>
    </a:solidFill>
    <a:ln w="9525" cap="flat" cmpd="sng" algn="ctr">
      <a:solidFill>
        <a:schemeClr val="tx1">
          <a:lumMod val="65000"/>
          <a:lumOff val="3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1" i="0" u="none" strike="noStrike" kern="1200" baseline="0">
                <a:solidFill>
                  <a:schemeClr val="tx2"/>
                </a:solidFill>
                <a:latin typeface="+mn-lt"/>
                <a:ea typeface="+mn-ea"/>
                <a:cs typeface="+mn-cs"/>
              </a:defRPr>
            </a:pPr>
            <a:r>
              <a:rPr lang="en-IN" sz="2000" b="1" i="0" u="none" strike="noStrike" baseline="0"/>
              <a:t>Shipping Cost vs Profit</a:t>
            </a:r>
            <a:endParaRPr lang="en-US" sz="2000"/>
          </a:p>
        </c:rich>
      </c:tx>
      <c:overlay val="0"/>
      <c:spPr>
        <a:noFill/>
        <a:ln>
          <a:noFill/>
        </a:ln>
        <a:effectLst/>
      </c:spPr>
      <c:txPr>
        <a:bodyPr rot="0" spcFirstLastPara="1" vertOverflow="ellipsis" vert="horz" wrap="square" anchor="ctr" anchorCtr="1"/>
        <a:lstStyle/>
        <a:p>
          <a:pPr>
            <a:defRPr sz="2000" b="1" i="0" u="none" strike="noStrike" kern="1200" baseline="0">
              <a:solidFill>
                <a:schemeClr val="tx2"/>
              </a:solidFill>
              <a:latin typeface="+mn-lt"/>
              <a:ea typeface="+mn-ea"/>
              <a:cs typeface="+mn-cs"/>
            </a:defRPr>
          </a:pPr>
          <a:endParaRPr lang="en-US"/>
        </a:p>
      </c:txPr>
    </c:title>
    <c:autoTitleDeleted val="0"/>
    <c:plotArea>
      <c:layout/>
      <c:scatterChart>
        <c:scatterStyle val="lineMarker"/>
        <c:varyColors val="0"/>
        <c:ser>
          <c:idx val="0"/>
          <c:order val="0"/>
          <c:tx>
            <c:strRef>
              <c:f>'Sales Metrics Analysis'!$K$1</c:f>
              <c:strCache>
                <c:ptCount val="1"/>
                <c:pt idx="0">
                  <c:v>Profit</c:v>
                </c:pt>
              </c:strCache>
            </c:strRef>
          </c:tx>
          <c:spPr>
            <a:ln w="25400" cap="rnd">
              <a:noFill/>
              <a:round/>
            </a:ln>
            <a:effectLst/>
          </c:spPr>
          <c:marker>
            <c:symbol val="circle"/>
            <c:size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c:spPr>
          </c:marker>
          <c:xVal>
            <c:numRef>
              <c:f>'Sales Metrics Analysis'!$J$2:$J$501</c:f>
              <c:numCache>
                <c:formatCode>[$$-409]#,##0.00</c:formatCode>
                <c:ptCount val="500"/>
                <c:pt idx="0">
                  <c:v>49.36</c:v>
                </c:pt>
                <c:pt idx="1">
                  <c:v>59.59</c:v>
                </c:pt>
                <c:pt idx="2">
                  <c:v>73.95</c:v>
                </c:pt>
                <c:pt idx="3">
                  <c:v>11.39</c:v>
                </c:pt>
                <c:pt idx="4">
                  <c:v>65.94</c:v>
                </c:pt>
                <c:pt idx="5">
                  <c:v>15.36</c:v>
                </c:pt>
                <c:pt idx="6">
                  <c:v>6.98</c:v>
                </c:pt>
                <c:pt idx="7">
                  <c:v>13.03</c:v>
                </c:pt>
                <c:pt idx="8">
                  <c:v>61.3</c:v>
                </c:pt>
                <c:pt idx="9">
                  <c:v>28.89</c:v>
                </c:pt>
                <c:pt idx="10">
                  <c:v>55.15</c:v>
                </c:pt>
                <c:pt idx="11">
                  <c:v>140.29</c:v>
                </c:pt>
                <c:pt idx="12">
                  <c:v>140.4</c:v>
                </c:pt>
                <c:pt idx="13">
                  <c:v>30.04</c:v>
                </c:pt>
                <c:pt idx="14">
                  <c:v>29.87</c:v>
                </c:pt>
                <c:pt idx="15">
                  <c:v>49.68</c:v>
                </c:pt>
                <c:pt idx="16">
                  <c:v>102.31</c:v>
                </c:pt>
                <c:pt idx="17">
                  <c:v>14.45</c:v>
                </c:pt>
                <c:pt idx="18">
                  <c:v>31.39</c:v>
                </c:pt>
                <c:pt idx="19">
                  <c:v>73.400000000000006</c:v>
                </c:pt>
                <c:pt idx="20">
                  <c:v>17.18</c:v>
                </c:pt>
                <c:pt idx="21">
                  <c:v>5.26</c:v>
                </c:pt>
                <c:pt idx="22">
                  <c:v>49.07</c:v>
                </c:pt>
                <c:pt idx="23">
                  <c:v>74.650000000000006</c:v>
                </c:pt>
                <c:pt idx="24">
                  <c:v>56.47</c:v>
                </c:pt>
                <c:pt idx="25">
                  <c:v>11.12</c:v>
                </c:pt>
                <c:pt idx="26">
                  <c:v>63.72</c:v>
                </c:pt>
                <c:pt idx="27">
                  <c:v>8.08</c:v>
                </c:pt>
                <c:pt idx="28">
                  <c:v>150.83000000000001</c:v>
                </c:pt>
                <c:pt idx="29">
                  <c:v>2.81</c:v>
                </c:pt>
                <c:pt idx="30">
                  <c:v>4.04</c:v>
                </c:pt>
                <c:pt idx="31">
                  <c:v>20.54</c:v>
                </c:pt>
                <c:pt idx="32">
                  <c:v>57.2</c:v>
                </c:pt>
                <c:pt idx="33">
                  <c:v>81.150000000000006</c:v>
                </c:pt>
                <c:pt idx="34">
                  <c:v>6.59</c:v>
                </c:pt>
                <c:pt idx="35">
                  <c:v>17.89</c:v>
                </c:pt>
                <c:pt idx="36">
                  <c:v>21.4</c:v>
                </c:pt>
                <c:pt idx="37">
                  <c:v>8.66</c:v>
                </c:pt>
                <c:pt idx="38">
                  <c:v>69.319999999999993</c:v>
                </c:pt>
                <c:pt idx="39">
                  <c:v>58.22</c:v>
                </c:pt>
                <c:pt idx="40">
                  <c:v>33.26</c:v>
                </c:pt>
                <c:pt idx="41">
                  <c:v>60.07</c:v>
                </c:pt>
                <c:pt idx="42">
                  <c:v>21.23</c:v>
                </c:pt>
                <c:pt idx="43">
                  <c:v>166.81</c:v>
                </c:pt>
                <c:pt idx="44">
                  <c:v>13.39</c:v>
                </c:pt>
                <c:pt idx="45">
                  <c:v>83.55</c:v>
                </c:pt>
                <c:pt idx="46">
                  <c:v>22.74</c:v>
                </c:pt>
                <c:pt idx="47">
                  <c:v>12</c:v>
                </c:pt>
                <c:pt idx="48">
                  <c:v>81.099999999999994</c:v>
                </c:pt>
                <c:pt idx="49">
                  <c:v>13.86</c:v>
                </c:pt>
                <c:pt idx="50">
                  <c:v>71.22</c:v>
                </c:pt>
                <c:pt idx="51">
                  <c:v>80.12</c:v>
                </c:pt>
                <c:pt idx="52">
                  <c:v>144.32</c:v>
                </c:pt>
                <c:pt idx="53">
                  <c:v>49.93</c:v>
                </c:pt>
                <c:pt idx="54">
                  <c:v>11.84</c:v>
                </c:pt>
                <c:pt idx="55">
                  <c:v>35.65</c:v>
                </c:pt>
                <c:pt idx="56">
                  <c:v>50.12</c:v>
                </c:pt>
                <c:pt idx="57">
                  <c:v>68.44</c:v>
                </c:pt>
                <c:pt idx="58">
                  <c:v>54.49</c:v>
                </c:pt>
                <c:pt idx="59">
                  <c:v>61</c:v>
                </c:pt>
                <c:pt idx="60">
                  <c:v>166.91</c:v>
                </c:pt>
                <c:pt idx="61">
                  <c:v>56.29</c:v>
                </c:pt>
                <c:pt idx="62">
                  <c:v>132.74</c:v>
                </c:pt>
                <c:pt idx="63">
                  <c:v>69.33</c:v>
                </c:pt>
                <c:pt idx="64">
                  <c:v>2.52</c:v>
                </c:pt>
                <c:pt idx="65">
                  <c:v>43.01</c:v>
                </c:pt>
                <c:pt idx="66">
                  <c:v>115.04</c:v>
                </c:pt>
                <c:pt idx="67">
                  <c:v>16.89</c:v>
                </c:pt>
                <c:pt idx="68">
                  <c:v>20.22</c:v>
                </c:pt>
                <c:pt idx="69">
                  <c:v>36.76</c:v>
                </c:pt>
                <c:pt idx="70">
                  <c:v>111.7</c:v>
                </c:pt>
                <c:pt idx="71">
                  <c:v>50.82</c:v>
                </c:pt>
                <c:pt idx="72">
                  <c:v>25.56</c:v>
                </c:pt>
                <c:pt idx="73">
                  <c:v>40.130000000000003</c:v>
                </c:pt>
                <c:pt idx="74">
                  <c:v>65.98</c:v>
                </c:pt>
                <c:pt idx="75">
                  <c:v>56.45</c:v>
                </c:pt>
                <c:pt idx="76">
                  <c:v>44.56</c:v>
                </c:pt>
                <c:pt idx="77">
                  <c:v>96.77</c:v>
                </c:pt>
                <c:pt idx="78">
                  <c:v>43.55</c:v>
                </c:pt>
                <c:pt idx="79">
                  <c:v>81.599999999999994</c:v>
                </c:pt>
                <c:pt idx="80">
                  <c:v>37.590000000000003</c:v>
                </c:pt>
                <c:pt idx="81">
                  <c:v>32.4</c:v>
                </c:pt>
                <c:pt idx="82">
                  <c:v>32.79</c:v>
                </c:pt>
                <c:pt idx="83">
                  <c:v>43.87</c:v>
                </c:pt>
                <c:pt idx="84">
                  <c:v>48.55</c:v>
                </c:pt>
                <c:pt idx="85">
                  <c:v>68.55</c:v>
                </c:pt>
                <c:pt idx="86">
                  <c:v>45.6</c:v>
                </c:pt>
                <c:pt idx="87">
                  <c:v>80.55</c:v>
                </c:pt>
                <c:pt idx="88">
                  <c:v>13.53</c:v>
                </c:pt>
                <c:pt idx="89">
                  <c:v>7.75</c:v>
                </c:pt>
                <c:pt idx="90">
                  <c:v>38.729999999999997</c:v>
                </c:pt>
                <c:pt idx="91">
                  <c:v>85.73</c:v>
                </c:pt>
                <c:pt idx="92">
                  <c:v>5.6</c:v>
                </c:pt>
                <c:pt idx="93">
                  <c:v>26.51</c:v>
                </c:pt>
                <c:pt idx="94">
                  <c:v>61.06</c:v>
                </c:pt>
                <c:pt idx="95">
                  <c:v>93.95</c:v>
                </c:pt>
                <c:pt idx="96">
                  <c:v>112.91</c:v>
                </c:pt>
                <c:pt idx="97">
                  <c:v>1.26</c:v>
                </c:pt>
                <c:pt idx="98">
                  <c:v>47.88</c:v>
                </c:pt>
                <c:pt idx="99">
                  <c:v>61.97</c:v>
                </c:pt>
                <c:pt idx="100">
                  <c:v>13.21</c:v>
                </c:pt>
                <c:pt idx="101">
                  <c:v>46.25</c:v>
                </c:pt>
                <c:pt idx="102">
                  <c:v>15.68</c:v>
                </c:pt>
                <c:pt idx="103">
                  <c:v>24.66</c:v>
                </c:pt>
                <c:pt idx="104">
                  <c:v>51.15</c:v>
                </c:pt>
                <c:pt idx="105">
                  <c:v>7.56</c:v>
                </c:pt>
                <c:pt idx="106">
                  <c:v>19.7</c:v>
                </c:pt>
                <c:pt idx="107">
                  <c:v>69.3</c:v>
                </c:pt>
                <c:pt idx="108">
                  <c:v>8.84</c:v>
                </c:pt>
                <c:pt idx="109">
                  <c:v>15.87</c:v>
                </c:pt>
                <c:pt idx="110">
                  <c:v>88.54</c:v>
                </c:pt>
                <c:pt idx="111">
                  <c:v>13.22</c:v>
                </c:pt>
                <c:pt idx="112">
                  <c:v>61.72</c:v>
                </c:pt>
                <c:pt idx="113">
                  <c:v>7.15</c:v>
                </c:pt>
                <c:pt idx="114">
                  <c:v>32.799999999999997</c:v>
                </c:pt>
                <c:pt idx="115">
                  <c:v>31.41</c:v>
                </c:pt>
                <c:pt idx="116">
                  <c:v>33.049999999999997</c:v>
                </c:pt>
                <c:pt idx="117">
                  <c:v>6.95</c:v>
                </c:pt>
                <c:pt idx="118">
                  <c:v>92.09</c:v>
                </c:pt>
                <c:pt idx="119">
                  <c:v>15.49</c:v>
                </c:pt>
                <c:pt idx="120">
                  <c:v>3.78</c:v>
                </c:pt>
                <c:pt idx="121">
                  <c:v>31.92</c:v>
                </c:pt>
                <c:pt idx="122">
                  <c:v>48.08</c:v>
                </c:pt>
                <c:pt idx="123">
                  <c:v>60.43</c:v>
                </c:pt>
                <c:pt idx="124">
                  <c:v>4.04</c:v>
                </c:pt>
                <c:pt idx="125">
                  <c:v>74.260000000000005</c:v>
                </c:pt>
                <c:pt idx="126">
                  <c:v>94.34</c:v>
                </c:pt>
                <c:pt idx="127">
                  <c:v>37.369999999999997</c:v>
                </c:pt>
                <c:pt idx="128">
                  <c:v>67.08</c:v>
                </c:pt>
                <c:pt idx="129">
                  <c:v>50.96</c:v>
                </c:pt>
                <c:pt idx="130">
                  <c:v>75.84</c:v>
                </c:pt>
                <c:pt idx="131">
                  <c:v>62.93</c:v>
                </c:pt>
                <c:pt idx="132">
                  <c:v>54.06</c:v>
                </c:pt>
                <c:pt idx="133">
                  <c:v>37.01</c:v>
                </c:pt>
                <c:pt idx="134">
                  <c:v>150.34</c:v>
                </c:pt>
                <c:pt idx="135">
                  <c:v>0.63</c:v>
                </c:pt>
                <c:pt idx="136">
                  <c:v>95.61</c:v>
                </c:pt>
                <c:pt idx="137">
                  <c:v>27.02</c:v>
                </c:pt>
                <c:pt idx="138">
                  <c:v>10.23</c:v>
                </c:pt>
                <c:pt idx="139">
                  <c:v>33.15</c:v>
                </c:pt>
                <c:pt idx="140">
                  <c:v>106.4</c:v>
                </c:pt>
                <c:pt idx="141">
                  <c:v>54.86</c:v>
                </c:pt>
                <c:pt idx="142">
                  <c:v>6.97</c:v>
                </c:pt>
                <c:pt idx="143">
                  <c:v>22.68</c:v>
                </c:pt>
                <c:pt idx="144">
                  <c:v>7.82</c:v>
                </c:pt>
                <c:pt idx="145">
                  <c:v>28.6</c:v>
                </c:pt>
                <c:pt idx="146">
                  <c:v>15.95</c:v>
                </c:pt>
                <c:pt idx="147">
                  <c:v>166.22</c:v>
                </c:pt>
                <c:pt idx="148">
                  <c:v>116.75</c:v>
                </c:pt>
                <c:pt idx="149">
                  <c:v>18.78</c:v>
                </c:pt>
                <c:pt idx="150">
                  <c:v>109.24</c:v>
                </c:pt>
                <c:pt idx="151">
                  <c:v>110.1</c:v>
                </c:pt>
                <c:pt idx="152">
                  <c:v>15.55</c:v>
                </c:pt>
                <c:pt idx="153">
                  <c:v>29.93</c:v>
                </c:pt>
                <c:pt idx="154">
                  <c:v>72.150000000000006</c:v>
                </c:pt>
                <c:pt idx="155">
                  <c:v>63.94</c:v>
                </c:pt>
                <c:pt idx="156">
                  <c:v>21.62</c:v>
                </c:pt>
                <c:pt idx="157">
                  <c:v>26.99</c:v>
                </c:pt>
                <c:pt idx="158">
                  <c:v>34.28</c:v>
                </c:pt>
                <c:pt idx="159">
                  <c:v>104.7</c:v>
                </c:pt>
                <c:pt idx="160">
                  <c:v>10.210000000000001</c:v>
                </c:pt>
                <c:pt idx="161">
                  <c:v>16.59</c:v>
                </c:pt>
                <c:pt idx="162">
                  <c:v>77.17</c:v>
                </c:pt>
                <c:pt idx="163">
                  <c:v>26.73</c:v>
                </c:pt>
                <c:pt idx="164">
                  <c:v>3.35</c:v>
                </c:pt>
                <c:pt idx="165">
                  <c:v>10.23</c:v>
                </c:pt>
                <c:pt idx="166">
                  <c:v>38.42</c:v>
                </c:pt>
                <c:pt idx="167">
                  <c:v>13.21</c:v>
                </c:pt>
                <c:pt idx="168">
                  <c:v>68.599999999999994</c:v>
                </c:pt>
                <c:pt idx="169">
                  <c:v>2.61</c:v>
                </c:pt>
                <c:pt idx="170">
                  <c:v>14.4</c:v>
                </c:pt>
                <c:pt idx="171">
                  <c:v>0.65</c:v>
                </c:pt>
                <c:pt idx="172">
                  <c:v>51.06</c:v>
                </c:pt>
                <c:pt idx="173">
                  <c:v>43.92</c:v>
                </c:pt>
                <c:pt idx="174">
                  <c:v>63.85</c:v>
                </c:pt>
                <c:pt idx="175">
                  <c:v>28.4</c:v>
                </c:pt>
                <c:pt idx="176">
                  <c:v>35.340000000000003</c:v>
                </c:pt>
                <c:pt idx="177">
                  <c:v>22.03</c:v>
                </c:pt>
                <c:pt idx="178">
                  <c:v>33.51</c:v>
                </c:pt>
                <c:pt idx="179">
                  <c:v>15.18</c:v>
                </c:pt>
                <c:pt idx="180">
                  <c:v>32.340000000000003</c:v>
                </c:pt>
                <c:pt idx="181">
                  <c:v>128.4</c:v>
                </c:pt>
                <c:pt idx="182">
                  <c:v>54.68</c:v>
                </c:pt>
                <c:pt idx="183">
                  <c:v>4.66</c:v>
                </c:pt>
                <c:pt idx="184">
                  <c:v>74.569999999999993</c:v>
                </c:pt>
                <c:pt idx="185">
                  <c:v>3.73</c:v>
                </c:pt>
                <c:pt idx="186">
                  <c:v>80.150000000000006</c:v>
                </c:pt>
                <c:pt idx="187">
                  <c:v>18.47</c:v>
                </c:pt>
                <c:pt idx="188">
                  <c:v>103.06</c:v>
                </c:pt>
                <c:pt idx="189">
                  <c:v>80.13</c:v>
                </c:pt>
                <c:pt idx="190">
                  <c:v>25.8</c:v>
                </c:pt>
                <c:pt idx="191">
                  <c:v>47.88</c:v>
                </c:pt>
                <c:pt idx="192">
                  <c:v>60.06</c:v>
                </c:pt>
                <c:pt idx="193">
                  <c:v>40</c:v>
                </c:pt>
                <c:pt idx="194">
                  <c:v>2.34</c:v>
                </c:pt>
                <c:pt idx="195">
                  <c:v>89.85</c:v>
                </c:pt>
                <c:pt idx="196">
                  <c:v>160.11000000000001</c:v>
                </c:pt>
                <c:pt idx="197">
                  <c:v>102.52</c:v>
                </c:pt>
                <c:pt idx="198">
                  <c:v>17.29</c:v>
                </c:pt>
                <c:pt idx="199">
                  <c:v>18.260000000000002</c:v>
                </c:pt>
                <c:pt idx="200">
                  <c:v>89.26</c:v>
                </c:pt>
                <c:pt idx="201">
                  <c:v>6.3</c:v>
                </c:pt>
                <c:pt idx="202">
                  <c:v>40.090000000000003</c:v>
                </c:pt>
                <c:pt idx="203">
                  <c:v>93.92</c:v>
                </c:pt>
                <c:pt idx="204">
                  <c:v>35.81</c:v>
                </c:pt>
                <c:pt idx="205">
                  <c:v>15.95</c:v>
                </c:pt>
                <c:pt idx="206">
                  <c:v>26.93</c:v>
                </c:pt>
                <c:pt idx="207">
                  <c:v>9.17</c:v>
                </c:pt>
                <c:pt idx="208">
                  <c:v>10.3</c:v>
                </c:pt>
                <c:pt idx="209">
                  <c:v>30.6</c:v>
                </c:pt>
                <c:pt idx="210">
                  <c:v>31.88</c:v>
                </c:pt>
                <c:pt idx="211">
                  <c:v>77.05</c:v>
                </c:pt>
                <c:pt idx="212">
                  <c:v>1.45</c:v>
                </c:pt>
                <c:pt idx="213">
                  <c:v>148.41</c:v>
                </c:pt>
                <c:pt idx="214">
                  <c:v>13.36</c:v>
                </c:pt>
                <c:pt idx="215">
                  <c:v>19.52</c:v>
                </c:pt>
                <c:pt idx="216">
                  <c:v>62.4</c:v>
                </c:pt>
                <c:pt idx="217">
                  <c:v>50.38</c:v>
                </c:pt>
                <c:pt idx="218">
                  <c:v>29.02</c:v>
                </c:pt>
                <c:pt idx="219">
                  <c:v>21.34</c:v>
                </c:pt>
                <c:pt idx="220">
                  <c:v>89.65</c:v>
                </c:pt>
                <c:pt idx="221">
                  <c:v>38.32</c:v>
                </c:pt>
                <c:pt idx="222">
                  <c:v>27.16</c:v>
                </c:pt>
                <c:pt idx="223">
                  <c:v>92.92</c:v>
                </c:pt>
                <c:pt idx="224">
                  <c:v>66.8</c:v>
                </c:pt>
                <c:pt idx="225">
                  <c:v>50.02</c:v>
                </c:pt>
                <c:pt idx="226">
                  <c:v>124.47</c:v>
                </c:pt>
                <c:pt idx="227">
                  <c:v>18.739999999999998</c:v>
                </c:pt>
                <c:pt idx="228">
                  <c:v>19.11</c:v>
                </c:pt>
                <c:pt idx="229">
                  <c:v>4.46</c:v>
                </c:pt>
                <c:pt idx="230">
                  <c:v>17.2</c:v>
                </c:pt>
                <c:pt idx="231">
                  <c:v>29.88</c:v>
                </c:pt>
                <c:pt idx="232">
                  <c:v>78.03</c:v>
                </c:pt>
                <c:pt idx="233">
                  <c:v>31.5</c:v>
                </c:pt>
                <c:pt idx="234">
                  <c:v>99.86</c:v>
                </c:pt>
                <c:pt idx="235">
                  <c:v>36.65</c:v>
                </c:pt>
                <c:pt idx="236">
                  <c:v>38.770000000000003</c:v>
                </c:pt>
                <c:pt idx="237">
                  <c:v>82.09</c:v>
                </c:pt>
                <c:pt idx="238">
                  <c:v>54.09</c:v>
                </c:pt>
                <c:pt idx="239">
                  <c:v>47.45</c:v>
                </c:pt>
                <c:pt idx="240">
                  <c:v>50.88</c:v>
                </c:pt>
                <c:pt idx="241">
                  <c:v>22.23</c:v>
                </c:pt>
                <c:pt idx="242">
                  <c:v>147.38999999999999</c:v>
                </c:pt>
                <c:pt idx="243">
                  <c:v>104.27</c:v>
                </c:pt>
                <c:pt idx="244">
                  <c:v>37.33</c:v>
                </c:pt>
                <c:pt idx="245">
                  <c:v>22.76</c:v>
                </c:pt>
                <c:pt idx="246">
                  <c:v>4.7300000000000004</c:v>
                </c:pt>
                <c:pt idx="247">
                  <c:v>35.32</c:v>
                </c:pt>
                <c:pt idx="248">
                  <c:v>41.18</c:v>
                </c:pt>
                <c:pt idx="249">
                  <c:v>60.3</c:v>
                </c:pt>
                <c:pt idx="250">
                  <c:v>53.99</c:v>
                </c:pt>
                <c:pt idx="251">
                  <c:v>10.01</c:v>
                </c:pt>
                <c:pt idx="252">
                  <c:v>25.78</c:v>
                </c:pt>
                <c:pt idx="253">
                  <c:v>70.3</c:v>
                </c:pt>
                <c:pt idx="254">
                  <c:v>31.29</c:v>
                </c:pt>
                <c:pt idx="255">
                  <c:v>9.4700000000000006</c:v>
                </c:pt>
                <c:pt idx="256">
                  <c:v>6.33</c:v>
                </c:pt>
                <c:pt idx="257">
                  <c:v>61.01</c:v>
                </c:pt>
                <c:pt idx="258">
                  <c:v>20.440000000000001</c:v>
                </c:pt>
                <c:pt idx="259">
                  <c:v>14.63</c:v>
                </c:pt>
                <c:pt idx="260">
                  <c:v>18.64</c:v>
                </c:pt>
                <c:pt idx="261">
                  <c:v>38.43</c:v>
                </c:pt>
                <c:pt idx="262">
                  <c:v>16.39</c:v>
                </c:pt>
                <c:pt idx="263">
                  <c:v>2.3199999999999998</c:v>
                </c:pt>
                <c:pt idx="264">
                  <c:v>22.08</c:v>
                </c:pt>
                <c:pt idx="265">
                  <c:v>4.2</c:v>
                </c:pt>
                <c:pt idx="266">
                  <c:v>82.77</c:v>
                </c:pt>
                <c:pt idx="267">
                  <c:v>32.9</c:v>
                </c:pt>
                <c:pt idx="268">
                  <c:v>22.61</c:v>
                </c:pt>
                <c:pt idx="269">
                  <c:v>32.31</c:v>
                </c:pt>
                <c:pt idx="270">
                  <c:v>50.01</c:v>
                </c:pt>
                <c:pt idx="271">
                  <c:v>71.3</c:v>
                </c:pt>
                <c:pt idx="272">
                  <c:v>12.52</c:v>
                </c:pt>
                <c:pt idx="273">
                  <c:v>27.24</c:v>
                </c:pt>
                <c:pt idx="274">
                  <c:v>128.91</c:v>
                </c:pt>
                <c:pt idx="275">
                  <c:v>9.8000000000000007</c:v>
                </c:pt>
                <c:pt idx="276">
                  <c:v>24.69</c:v>
                </c:pt>
                <c:pt idx="277">
                  <c:v>45.37</c:v>
                </c:pt>
                <c:pt idx="278">
                  <c:v>67.78</c:v>
                </c:pt>
                <c:pt idx="279">
                  <c:v>22.43</c:v>
                </c:pt>
                <c:pt idx="280">
                  <c:v>35.07</c:v>
                </c:pt>
                <c:pt idx="281">
                  <c:v>32.67</c:v>
                </c:pt>
                <c:pt idx="282">
                  <c:v>63.15</c:v>
                </c:pt>
                <c:pt idx="283">
                  <c:v>15.66</c:v>
                </c:pt>
                <c:pt idx="284">
                  <c:v>43.89</c:v>
                </c:pt>
                <c:pt idx="285">
                  <c:v>10.45</c:v>
                </c:pt>
                <c:pt idx="286">
                  <c:v>51.82</c:v>
                </c:pt>
                <c:pt idx="287">
                  <c:v>39.799999999999997</c:v>
                </c:pt>
                <c:pt idx="288">
                  <c:v>65.75</c:v>
                </c:pt>
                <c:pt idx="289">
                  <c:v>11.67</c:v>
                </c:pt>
                <c:pt idx="290">
                  <c:v>58.95</c:v>
                </c:pt>
                <c:pt idx="291">
                  <c:v>14.68</c:v>
                </c:pt>
                <c:pt idx="292">
                  <c:v>25.19</c:v>
                </c:pt>
                <c:pt idx="293">
                  <c:v>15.6</c:v>
                </c:pt>
                <c:pt idx="294">
                  <c:v>141.58000000000001</c:v>
                </c:pt>
                <c:pt idx="295">
                  <c:v>1.58</c:v>
                </c:pt>
                <c:pt idx="296">
                  <c:v>49.95</c:v>
                </c:pt>
                <c:pt idx="297">
                  <c:v>7.22</c:v>
                </c:pt>
                <c:pt idx="298">
                  <c:v>14.12</c:v>
                </c:pt>
                <c:pt idx="299">
                  <c:v>44.24</c:v>
                </c:pt>
                <c:pt idx="300">
                  <c:v>69.7</c:v>
                </c:pt>
                <c:pt idx="301">
                  <c:v>5.63</c:v>
                </c:pt>
                <c:pt idx="302">
                  <c:v>61.74</c:v>
                </c:pt>
                <c:pt idx="303">
                  <c:v>68.05</c:v>
                </c:pt>
                <c:pt idx="304">
                  <c:v>61.84</c:v>
                </c:pt>
                <c:pt idx="305">
                  <c:v>1.89</c:v>
                </c:pt>
                <c:pt idx="306">
                  <c:v>8.3800000000000008</c:v>
                </c:pt>
                <c:pt idx="307">
                  <c:v>62.79</c:v>
                </c:pt>
                <c:pt idx="308">
                  <c:v>10.76</c:v>
                </c:pt>
                <c:pt idx="309">
                  <c:v>23.31</c:v>
                </c:pt>
                <c:pt idx="310">
                  <c:v>59.84</c:v>
                </c:pt>
                <c:pt idx="311">
                  <c:v>101.51</c:v>
                </c:pt>
                <c:pt idx="312">
                  <c:v>104.2</c:v>
                </c:pt>
                <c:pt idx="313">
                  <c:v>40.25</c:v>
                </c:pt>
                <c:pt idx="314">
                  <c:v>4.59</c:v>
                </c:pt>
                <c:pt idx="315">
                  <c:v>66.31</c:v>
                </c:pt>
                <c:pt idx="316">
                  <c:v>64.510000000000005</c:v>
                </c:pt>
                <c:pt idx="317">
                  <c:v>17.18</c:v>
                </c:pt>
                <c:pt idx="318">
                  <c:v>27.5</c:v>
                </c:pt>
                <c:pt idx="319">
                  <c:v>70.13</c:v>
                </c:pt>
                <c:pt idx="320">
                  <c:v>71.97</c:v>
                </c:pt>
                <c:pt idx="321">
                  <c:v>24.28</c:v>
                </c:pt>
                <c:pt idx="322">
                  <c:v>29.35</c:v>
                </c:pt>
                <c:pt idx="323">
                  <c:v>57.06</c:v>
                </c:pt>
                <c:pt idx="324">
                  <c:v>18.45</c:v>
                </c:pt>
                <c:pt idx="325">
                  <c:v>26.28</c:v>
                </c:pt>
                <c:pt idx="326">
                  <c:v>45.08</c:v>
                </c:pt>
                <c:pt idx="327">
                  <c:v>97.39</c:v>
                </c:pt>
                <c:pt idx="328">
                  <c:v>50.32</c:v>
                </c:pt>
                <c:pt idx="329">
                  <c:v>20.170000000000002</c:v>
                </c:pt>
                <c:pt idx="330">
                  <c:v>92.09</c:v>
                </c:pt>
                <c:pt idx="331">
                  <c:v>44.97</c:v>
                </c:pt>
                <c:pt idx="332">
                  <c:v>60.27</c:v>
                </c:pt>
                <c:pt idx="333">
                  <c:v>13.22</c:v>
                </c:pt>
                <c:pt idx="334">
                  <c:v>19.45</c:v>
                </c:pt>
                <c:pt idx="335">
                  <c:v>111.13</c:v>
                </c:pt>
                <c:pt idx="336">
                  <c:v>38.43</c:v>
                </c:pt>
                <c:pt idx="337">
                  <c:v>7</c:v>
                </c:pt>
                <c:pt idx="338">
                  <c:v>85.24</c:v>
                </c:pt>
                <c:pt idx="339">
                  <c:v>106.39</c:v>
                </c:pt>
                <c:pt idx="340">
                  <c:v>152.05000000000001</c:v>
                </c:pt>
                <c:pt idx="341">
                  <c:v>99.05</c:v>
                </c:pt>
                <c:pt idx="342">
                  <c:v>42.15</c:v>
                </c:pt>
                <c:pt idx="343">
                  <c:v>92.86</c:v>
                </c:pt>
                <c:pt idx="344">
                  <c:v>7.22</c:v>
                </c:pt>
                <c:pt idx="345">
                  <c:v>98.71</c:v>
                </c:pt>
                <c:pt idx="346">
                  <c:v>11.19</c:v>
                </c:pt>
                <c:pt idx="347">
                  <c:v>1.1399999999999999</c:v>
                </c:pt>
                <c:pt idx="348">
                  <c:v>14.08</c:v>
                </c:pt>
                <c:pt idx="349">
                  <c:v>34.130000000000003</c:v>
                </c:pt>
                <c:pt idx="350">
                  <c:v>13.29</c:v>
                </c:pt>
                <c:pt idx="351">
                  <c:v>19.63</c:v>
                </c:pt>
                <c:pt idx="352">
                  <c:v>55.36</c:v>
                </c:pt>
                <c:pt idx="353">
                  <c:v>69.95</c:v>
                </c:pt>
                <c:pt idx="354">
                  <c:v>40.42</c:v>
                </c:pt>
                <c:pt idx="355">
                  <c:v>45.91</c:v>
                </c:pt>
                <c:pt idx="356">
                  <c:v>0.5</c:v>
                </c:pt>
                <c:pt idx="357">
                  <c:v>54.58</c:v>
                </c:pt>
                <c:pt idx="358">
                  <c:v>6.49</c:v>
                </c:pt>
                <c:pt idx="359">
                  <c:v>83.28</c:v>
                </c:pt>
                <c:pt idx="360">
                  <c:v>118.59</c:v>
                </c:pt>
                <c:pt idx="361">
                  <c:v>4.1100000000000003</c:v>
                </c:pt>
                <c:pt idx="362">
                  <c:v>29.99</c:v>
                </c:pt>
                <c:pt idx="363">
                  <c:v>85.5</c:v>
                </c:pt>
                <c:pt idx="364">
                  <c:v>11.85</c:v>
                </c:pt>
                <c:pt idx="365">
                  <c:v>38.340000000000003</c:v>
                </c:pt>
                <c:pt idx="366">
                  <c:v>50.37</c:v>
                </c:pt>
                <c:pt idx="367">
                  <c:v>61.48</c:v>
                </c:pt>
                <c:pt idx="368">
                  <c:v>53.06</c:v>
                </c:pt>
                <c:pt idx="369">
                  <c:v>57.81</c:v>
                </c:pt>
                <c:pt idx="370">
                  <c:v>22.22</c:v>
                </c:pt>
                <c:pt idx="371">
                  <c:v>85.4</c:v>
                </c:pt>
                <c:pt idx="372">
                  <c:v>12.5</c:v>
                </c:pt>
                <c:pt idx="373">
                  <c:v>48.44</c:v>
                </c:pt>
                <c:pt idx="374">
                  <c:v>18.75</c:v>
                </c:pt>
                <c:pt idx="375">
                  <c:v>31.7</c:v>
                </c:pt>
                <c:pt idx="376">
                  <c:v>2.04</c:v>
                </c:pt>
                <c:pt idx="377">
                  <c:v>179.44</c:v>
                </c:pt>
                <c:pt idx="378">
                  <c:v>30.14</c:v>
                </c:pt>
                <c:pt idx="379">
                  <c:v>13.07</c:v>
                </c:pt>
                <c:pt idx="380">
                  <c:v>105.97</c:v>
                </c:pt>
                <c:pt idx="381">
                  <c:v>80.739999999999995</c:v>
                </c:pt>
                <c:pt idx="382">
                  <c:v>67</c:v>
                </c:pt>
                <c:pt idx="383">
                  <c:v>22.33</c:v>
                </c:pt>
                <c:pt idx="384">
                  <c:v>32.729999999999997</c:v>
                </c:pt>
                <c:pt idx="385">
                  <c:v>51.6</c:v>
                </c:pt>
                <c:pt idx="386">
                  <c:v>10.97</c:v>
                </c:pt>
                <c:pt idx="387">
                  <c:v>70.989999999999995</c:v>
                </c:pt>
                <c:pt idx="388">
                  <c:v>21.64</c:v>
                </c:pt>
                <c:pt idx="389">
                  <c:v>120.16</c:v>
                </c:pt>
                <c:pt idx="390">
                  <c:v>8.99</c:v>
                </c:pt>
                <c:pt idx="391">
                  <c:v>147.43</c:v>
                </c:pt>
                <c:pt idx="392">
                  <c:v>36.479999999999997</c:v>
                </c:pt>
                <c:pt idx="393">
                  <c:v>4.05</c:v>
                </c:pt>
                <c:pt idx="394">
                  <c:v>3.76</c:v>
                </c:pt>
                <c:pt idx="395">
                  <c:v>15.16</c:v>
                </c:pt>
                <c:pt idx="396">
                  <c:v>5.37</c:v>
                </c:pt>
                <c:pt idx="397">
                  <c:v>63.55</c:v>
                </c:pt>
                <c:pt idx="398">
                  <c:v>56.83</c:v>
                </c:pt>
                <c:pt idx="399">
                  <c:v>55.82</c:v>
                </c:pt>
                <c:pt idx="400">
                  <c:v>54.24</c:v>
                </c:pt>
                <c:pt idx="401">
                  <c:v>60.65</c:v>
                </c:pt>
                <c:pt idx="402">
                  <c:v>46.8</c:v>
                </c:pt>
                <c:pt idx="403">
                  <c:v>29.68</c:v>
                </c:pt>
                <c:pt idx="404">
                  <c:v>136.25</c:v>
                </c:pt>
                <c:pt idx="405">
                  <c:v>38.369999999999997</c:v>
                </c:pt>
                <c:pt idx="406">
                  <c:v>58.25</c:v>
                </c:pt>
                <c:pt idx="407">
                  <c:v>45.93</c:v>
                </c:pt>
                <c:pt idx="408">
                  <c:v>15.35</c:v>
                </c:pt>
                <c:pt idx="409">
                  <c:v>10.81</c:v>
                </c:pt>
                <c:pt idx="410">
                  <c:v>25.63</c:v>
                </c:pt>
                <c:pt idx="411">
                  <c:v>54.52</c:v>
                </c:pt>
                <c:pt idx="412">
                  <c:v>112.26</c:v>
                </c:pt>
                <c:pt idx="413">
                  <c:v>10.15</c:v>
                </c:pt>
                <c:pt idx="414">
                  <c:v>81.459999999999994</c:v>
                </c:pt>
                <c:pt idx="415">
                  <c:v>51.77</c:v>
                </c:pt>
                <c:pt idx="416">
                  <c:v>7.03</c:v>
                </c:pt>
                <c:pt idx="417">
                  <c:v>70.010000000000005</c:v>
                </c:pt>
                <c:pt idx="418">
                  <c:v>124.49</c:v>
                </c:pt>
                <c:pt idx="419">
                  <c:v>22.88</c:v>
                </c:pt>
                <c:pt idx="420">
                  <c:v>91.7</c:v>
                </c:pt>
                <c:pt idx="421">
                  <c:v>25.51</c:v>
                </c:pt>
                <c:pt idx="422">
                  <c:v>67.45</c:v>
                </c:pt>
                <c:pt idx="423">
                  <c:v>94.22</c:v>
                </c:pt>
                <c:pt idx="424">
                  <c:v>14.42</c:v>
                </c:pt>
                <c:pt idx="425">
                  <c:v>56.88</c:v>
                </c:pt>
                <c:pt idx="426">
                  <c:v>71.66</c:v>
                </c:pt>
                <c:pt idx="427">
                  <c:v>112.45</c:v>
                </c:pt>
                <c:pt idx="428">
                  <c:v>133.51</c:v>
                </c:pt>
                <c:pt idx="429">
                  <c:v>80.02</c:v>
                </c:pt>
                <c:pt idx="430">
                  <c:v>7.04</c:v>
                </c:pt>
                <c:pt idx="431">
                  <c:v>70.069999999999993</c:v>
                </c:pt>
                <c:pt idx="432">
                  <c:v>43.1</c:v>
                </c:pt>
                <c:pt idx="433">
                  <c:v>79.2</c:v>
                </c:pt>
                <c:pt idx="434">
                  <c:v>18.04</c:v>
                </c:pt>
                <c:pt idx="435">
                  <c:v>19.100000000000001</c:v>
                </c:pt>
                <c:pt idx="436">
                  <c:v>28.48</c:v>
                </c:pt>
                <c:pt idx="437">
                  <c:v>26.33</c:v>
                </c:pt>
                <c:pt idx="438">
                  <c:v>26.42</c:v>
                </c:pt>
                <c:pt idx="439">
                  <c:v>25.68</c:v>
                </c:pt>
                <c:pt idx="440">
                  <c:v>39.229999999999997</c:v>
                </c:pt>
                <c:pt idx="441">
                  <c:v>12.96</c:v>
                </c:pt>
                <c:pt idx="442">
                  <c:v>12.66</c:v>
                </c:pt>
                <c:pt idx="443">
                  <c:v>60.95</c:v>
                </c:pt>
                <c:pt idx="444">
                  <c:v>46.62</c:v>
                </c:pt>
                <c:pt idx="445">
                  <c:v>5.91</c:v>
                </c:pt>
                <c:pt idx="446">
                  <c:v>36.630000000000003</c:v>
                </c:pt>
                <c:pt idx="447">
                  <c:v>62.85</c:v>
                </c:pt>
                <c:pt idx="448">
                  <c:v>47.06</c:v>
                </c:pt>
                <c:pt idx="449">
                  <c:v>60.02</c:v>
                </c:pt>
                <c:pt idx="450">
                  <c:v>17.64</c:v>
                </c:pt>
                <c:pt idx="451">
                  <c:v>38.57</c:v>
                </c:pt>
                <c:pt idx="452">
                  <c:v>36.85</c:v>
                </c:pt>
                <c:pt idx="453">
                  <c:v>137.22</c:v>
                </c:pt>
                <c:pt idx="454">
                  <c:v>4.28</c:v>
                </c:pt>
                <c:pt idx="455">
                  <c:v>11.78</c:v>
                </c:pt>
                <c:pt idx="456">
                  <c:v>2.52</c:v>
                </c:pt>
                <c:pt idx="457">
                  <c:v>109.92</c:v>
                </c:pt>
                <c:pt idx="458">
                  <c:v>32.93</c:v>
                </c:pt>
                <c:pt idx="459">
                  <c:v>15.43</c:v>
                </c:pt>
                <c:pt idx="460">
                  <c:v>96.91</c:v>
                </c:pt>
                <c:pt idx="461">
                  <c:v>26.23</c:v>
                </c:pt>
                <c:pt idx="462">
                  <c:v>11.64</c:v>
                </c:pt>
                <c:pt idx="463">
                  <c:v>56.99</c:v>
                </c:pt>
                <c:pt idx="464">
                  <c:v>84.56</c:v>
                </c:pt>
                <c:pt idx="465">
                  <c:v>26.23</c:v>
                </c:pt>
                <c:pt idx="466">
                  <c:v>66.81</c:v>
                </c:pt>
                <c:pt idx="467">
                  <c:v>62.78</c:v>
                </c:pt>
                <c:pt idx="468">
                  <c:v>21.61</c:v>
                </c:pt>
                <c:pt idx="469">
                  <c:v>41.34</c:v>
                </c:pt>
                <c:pt idx="470">
                  <c:v>9.51</c:v>
                </c:pt>
                <c:pt idx="471">
                  <c:v>19.7</c:v>
                </c:pt>
                <c:pt idx="472">
                  <c:v>15.57</c:v>
                </c:pt>
                <c:pt idx="473">
                  <c:v>70.38</c:v>
                </c:pt>
                <c:pt idx="474">
                  <c:v>33.94</c:v>
                </c:pt>
                <c:pt idx="475">
                  <c:v>16.91</c:v>
                </c:pt>
                <c:pt idx="476">
                  <c:v>96.12</c:v>
                </c:pt>
                <c:pt idx="477">
                  <c:v>30.23</c:v>
                </c:pt>
                <c:pt idx="478">
                  <c:v>23.97</c:v>
                </c:pt>
                <c:pt idx="479">
                  <c:v>169.97</c:v>
                </c:pt>
                <c:pt idx="480">
                  <c:v>26.26</c:v>
                </c:pt>
                <c:pt idx="481">
                  <c:v>45.67</c:v>
                </c:pt>
                <c:pt idx="482">
                  <c:v>45.83</c:v>
                </c:pt>
                <c:pt idx="483">
                  <c:v>197.89</c:v>
                </c:pt>
                <c:pt idx="484">
                  <c:v>26.91</c:v>
                </c:pt>
                <c:pt idx="485">
                  <c:v>13.3</c:v>
                </c:pt>
                <c:pt idx="486">
                  <c:v>127.85</c:v>
                </c:pt>
                <c:pt idx="487">
                  <c:v>82.25</c:v>
                </c:pt>
                <c:pt idx="488">
                  <c:v>4.3499999999999996</c:v>
                </c:pt>
                <c:pt idx="489">
                  <c:v>26.18</c:v>
                </c:pt>
                <c:pt idx="490">
                  <c:v>15.59</c:v>
                </c:pt>
                <c:pt idx="491">
                  <c:v>32.68</c:v>
                </c:pt>
                <c:pt idx="492">
                  <c:v>78.03</c:v>
                </c:pt>
                <c:pt idx="493">
                  <c:v>29.08</c:v>
                </c:pt>
                <c:pt idx="494">
                  <c:v>38.26</c:v>
                </c:pt>
                <c:pt idx="495">
                  <c:v>4.42</c:v>
                </c:pt>
                <c:pt idx="496">
                  <c:v>69.650000000000006</c:v>
                </c:pt>
                <c:pt idx="497">
                  <c:v>91.32</c:v>
                </c:pt>
                <c:pt idx="498">
                  <c:v>5.39</c:v>
                </c:pt>
                <c:pt idx="499">
                  <c:v>9.64</c:v>
                </c:pt>
              </c:numCache>
            </c:numRef>
          </c:xVal>
          <c:yVal>
            <c:numRef>
              <c:f>'Sales Metrics Analysis'!$K$2:$K$501</c:f>
              <c:numCache>
                <c:formatCode>[$$-409]#,##0.00</c:formatCode>
                <c:ptCount val="500"/>
                <c:pt idx="0">
                  <c:v>355.04</c:v>
                </c:pt>
                <c:pt idx="1">
                  <c:v>403.4</c:v>
                </c:pt>
                <c:pt idx="2">
                  <c:v>282.37</c:v>
                </c:pt>
                <c:pt idx="3">
                  <c:v>134.77000000000001</c:v>
                </c:pt>
                <c:pt idx="4">
                  <c:v>430.8</c:v>
                </c:pt>
                <c:pt idx="5">
                  <c:v>87.86</c:v>
                </c:pt>
                <c:pt idx="6">
                  <c:v>20.079999999999998</c:v>
                </c:pt>
                <c:pt idx="7">
                  <c:v>66.91</c:v>
                </c:pt>
                <c:pt idx="8">
                  <c:v>360.29</c:v>
                </c:pt>
                <c:pt idx="9">
                  <c:v>139.32</c:v>
                </c:pt>
                <c:pt idx="10">
                  <c:v>675.73</c:v>
                </c:pt>
                <c:pt idx="11">
                  <c:v>779.44</c:v>
                </c:pt>
                <c:pt idx="12">
                  <c:v>802.16</c:v>
                </c:pt>
                <c:pt idx="13">
                  <c:v>560.36</c:v>
                </c:pt>
                <c:pt idx="14">
                  <c:v>357.11</c:v>
                </c:pt>
                <c:pt idx="15">
                  <c:v>207.6</c:v>
                </c:pt>
                <c:pt idx="16">
                  <c:v>477.05</c:v>
                </c:pt>
                <c:pt idx="17">
                  <c:v>58.57</c:v>
                </c:pt>
                <c:pt idx="18">
                  <c:v>195.79</c:v>
                </c:pt>
                <c:pt idx="19">
                  <c:v>310.36</c:v>
                </c:pt>
                <c:pt idx="20">
                  <c:v>155.44</c:v>
                </c:pt>
                <c:pt idx="21">
                  <c:v>29.24</c:v>
                </c:pt>
                <c:pt idx="22">
                  <c:v>164.11</c:v>
                </c:pt>
                <c:pt idx="23">
                  <c:v>313.47000000000003</c:v>
                </c:pt>
                <c:pt idx="24">
                  <c:v>232.78</c:v>
                </c:pt>
                <c:pt idx="25">
                  <c:v>151</c:v>
                </c:pt>
                <c:pt idx="26">
                  <c:v>221.76</c:v>
                </c:pt>
                <c:pt idx="27">
                  <c:v>94.7</c:v>
                </c:pt>
                <c:pt idx="28">
                  <c:v>871.57</c:v>
                </c:pt>
                <c:pt idx="29">
                  <c:v>17.170000000000002</c:v>
                </c:pt>
                <c:pt idx="30">
                  <c:v>25.18</c:v>
                </c:pt>
                <c:pt idx="31">
                  <c:v>157.06</c:v>
                </c:pt>
                <c:pt idx="32">
                  <c:v>234.78</c:v>
                </c:pt>
                <c:pt idx="33">
                  <c:v>366.63</c:v>
                </c:pt>
                <c:pt idx="34">
                  <c:v>28.89</c:v>
                </c:pt>
                <c:pt idx="35">
                  <c:v>228.61</c:v>
                </c:pt>
                <c:pt idx="36">
                  <c:v>63.32</c:v>
                </c:pt>
                <c:pt idx="37">
                  <c:v>32.78</c:v>
                </c:pt>
                <c:pt idx="38">
                  <c:v>250.44</c:v>
                </c:pt>
                <c:pt idx="39">
                  <c:v>645.98</c:v>
                </c:pt>
                <c:pt idx="40">
                  <c:v>435.78</c:v>
                </c:pt>
                <c:pt idx="41">
                  <c:v>258.52999999999997</c:v>
                </c:pt>
                <c:pt idx="42">
                  <c:v>210.38</c:v>
                </c:pt>
                <c:pt idx="43">
                  <c:v>933.59</c:v>
                </c:pt>
                <c:pt idx="44">
                  <c:v>75.16</c:v>
                </c:pt>
                <c:pt idx="45">
                  <c:v>430.27</c:v>
                </c:pt>
                <c:pt idx="46">
                  <c:v>155.34</c:v>
                </c:pt>
                <c:pt idx="47">
                  <c:v>220.02</c:v>
                </c:pt>
                <c:pt idx="48">
                  <c:v>284.51</c:v>
                </c:pt>
                <c:pt idx="49">
                  <c:v>167.02</c:v>
                </c:pt>
                <c:pt idx="50">
                  <c:v>248.17</c:v>
                </c:pt>
                <c:pt idx="51">
                  <c:v>458.21</c:v>
                </c:pt>
                <c:pt idx="52">
                  <c:v>372.79</c:v>
                </c:pt>
                <c:pt idx="53">
                  <c:v>145.72999999999999</c:v>
                </c:pt>
                <c:pt idx="54">
                  <c:v>144.96</c:v>
                </c:pt>
                <c:pt idx="55">
                  <c:v>139.71</c:v>
                </c:pt>
                <c:pt idx="56">
                  <c:v>186.29</c:v>
                </c:pt>
                <c:pt idx="57">
                  <c:v>202.1</c:v>
                </c:pt>
                <c:pt idx="58">
                  <c:v>214.17</c:v>
                </c:pt>
                <c:pt idx="59">
                  <c:v>375.08</c:v>
                </c:pt>
                <c:pt idx="60">
                  <c:v>1240.69</c:v>
                </c:pt>
                <c:pt idx="61">
                  <c:v>144.11000000000001</c:v>
                </c:pt>
                <c:pt idx="62">
                  <c:v>196.54</c:v>
                </c:pt>
                <c:pt idx="63">
                  <c:v>341.73</c:v>
                </c:pt>
                <c:pt idx="64">
                  <c:v>12.66</c:v>
                </c:pt>
                <c:pt idx="65">
                  <c:v>549.39</c:v>
                </c:pt>
                <c:pt idx="66">
                  <c:v>960.39</c:v>
                </c:pt>
                <c:pt idx="67">
                  <c:v>125.31</c:v>
                </c:pt>
                <c:pt idx="68">
                  <c:v>35.729999999999997</c:v>
                </c:pt>
                <c:pt idx="69">
                  <c:v>559.6</c:v>
                </c:pt>
                <c:pt idx="70">
                  <c:v>676.34</c:v>
                </c:pt>
                <c:pt idx="71">
                  <c:v>237</c:v>
                </c:pt>
                <c:pt idx="72">
                  <c:v>100.26</c:v>
                </c:pt>
                <c:pt idx="73">
                  <c:v>181.91</c:v>
                </c:pt>
                <c:pt idx="74">
                  <c:v>221.65</c:v>
                </c:pt>
                <c:pt idx="75">
                  <c:v>219.49</c:v>
                </c:pt>
                <c:pt idx="76">
                  <c:v>307.82</c:v>
                </c:pt>
                <c:pt idx="77">
                  <c:v>389.73</c:v>
                </c:pt>
                <c:pt idx="78">
                  <c:v>153.79</c:v>
                </c:pt>
                <c:pt idx="79">
                  <c:v>343.68</c:v>
                </c:pt>
                <c:pt idx="80">
                  <c:v>180.41</c:v>
                </c:pt>
                <c:pt idx="81">
                  <c:v>223.59</c:v>
                </c:pt>
                <c:pt idx="82">
                  <c:v>69.13</c:v>
                </c:pt>
                <c:pt idx="83">
                  <c:v>175.93</c:v>
                </c:pt>
                <c:pt idx="84">
                  <c:v>102.79</c:v>
                </c:pt>
                <c:pt idx="85">
                  <c:v>312.25</c:v>
                </c:pt>
                <c:pt idx="86">
                  <c:v>400.25</c:v>
                </c:pt>
                <c:pt idx="87">
                  <c:v>312.75</c:v>
                </c:pt>
                <c:pt idx="88">
                  <c:v>68.64</c:v>
                </c:pt>
                <c:pt idx="89">
                  <c:v>29.99</c:v>
                </c:pt>
                <c:pt idx="90">
                  <c:v>500.16</c:v>
                </c:pt>
                <c:pt idx="91">
                  <c:v>428.41</c:v>
                </c:pt>
                <c:pt idx="92">
                  <c:v>22.92</c:v>
                </c:pt>
                <c:pt idx="93">
                  <c:v>73.33</c:v>
                </c:pt>
                <c:pt idx="94">
                  <c:v>350</c:v>
                </c:pt>
                <c:pt idx="95">
                  <c:v>638.95000000000005</c:v>
                </c:pt>
                <c:pt idx="96">
                  <c:v>456.33</c:v>
                </c:pt>
                <c:pt idx="97">
                  <c:v>16.579999999999998</c:v>
                </c:pt>
                <c:pt idx="98">
                  <c:v>269.04000000000002</c:v>
                </c:pt>
                <c:pt idx="99">
                  <c:v>280.93</c:v>
                </c:pt>
                <c:pt idx="100">
                  <c:v>72.47</c:v>
                </c:pt>
                <c:pt idx="101">
                  <c:v>269.64999999999998</c:v>
                </c:pt>
                <c:pt idx="102">
                  <c:v>144.16999999999999</c:v>
                </c:pt>
                <c:pt idx="103">
                  <c:v>168.24</c:v>
                </c:pt>
                <c:pt idx="104">
                  <c:v>343.16</c:v>
                </c:pt>
                <c:pt idx="105">
                  <c:v>41.07</c:v>
                </c:pt>
                <c:pt idx="106">
                  <c:v>69.069999999999993</c:v>
                </c:pt>
                <c:pt idx="107">
                  <c:v>306.7</c:v>
                </c:pt>
                <c:pt idx="108">
                  <c:v>25.24</c:v>
                </c:pt>
                <c:pt idx="109">
                  <c:v>119.65</c:v>
                </c:pt>
                <c:pt idx="110">
                  <c:v>269.22000000000003</c:v>
                </c:pt>
                <c:pt idx="111">
                  <c:v>83.93</c:v>
                </c:pt>
                <c:pt idx="112">
                  <c:v>328.68</c:v>
                </c:pt>
                <c:pt idx="113">
                  <c:v>53.3</c:v>
                </c:pt>
                <c:pt idx="114">
                  <c:v>185</c:v>
                </c:pt>
                <c:pt idx="115">
                  <c:v>372.11</c:v>
                </c:pt>
                <c:pt idx="116">
                  <c:v>285.39</c:v>
                </c:pt>
                <c:pt idx="117">
                  <c:v>27.42</c:v>
                </c:pt>
                <c:pt idx="118">
                  <c:v>336.91</c:v>
                </c:pt>
                <c:pt idx="119">
                  <c:v>241.01</c:v>
                </c:pt>
                <c:pt idx="120">
                  <c:v>21.22</c:v>
                </c:pt>
                <c:pt idx="121">
                  <c:v>235.2</c:v>
                </c:pt>
                <c:pt idx="122">
                  <c:v>423.56</c:v>
                </c:pt>
                <c:pt idx="123">
                  <c:v>134.96</c:v>
                </c:pt>
                <c:pt idx="124">
                  <c:v>40.01</c:v>
                </c:pt>
                <c:pt idx="125">
                  <c:v>301.64</c:v>
                </c:pt>
                <c:pt idx="126">
                  <c:v>530.98</c:v>
                </c:pt>
                <c:pt idx="127">
                  <c:v>120.97</c:v>
                </c:pt>
                <c:pt idx="128">
                  <c:v>203.02</c:v>
                </c:pt>
                <c:pt idx="129">
                  <c:v>140.80000000000001</c:v>
                </c:pt>
                <c:pt idx="130">
                  <c:v>535.54</c:v>
                </c:pt>
                <c:pt idx="131">
                  <c:v>322.55</c:v>
                </c:pt>
                <c:pt idx="132">
                  <c:v>388.8</c:v>
                </c:pt>
                <c:pt idx="133">
                  <c:v>298.57</c:v>
                </c:pt>
                <c:pt idx="134">
                  <c:v>375.26</c:v>
                </c:pt>
                <c:pt idx="135">
                  <c:v>11.36</c:v>
                </c:pt>
                <c:pt idx="136">
                  <c:v>359.89</c:v>
                </c:pt>
                <c:pt idx="137">
                  <c:v>153.69999999999999</c:v>
                </c:pt>
                <c:pt idx="138">
                  <c:v>67.849999999999994</c:v>
                </c:pt>
                <c:pt idx="139">
                  <c:v>125.77</c:v>
                </c:pt>
                <c:pt idx="140">
                  <c:v>174.13</c:v>
                </c:pt>
                <c:pt idx="141">
                  <c:v>376.26</c:v>
                </c:pt>
                <c:pt idx="142">
                  <c:v>35.99</c:v>
                </c:pt>
                <c:pt idx="143">
                  <c:v>103.32</c:v>
                </c:pt>
                <c:pt idx="144">
                  <c:v>61.83</c:v>
                </c:pt>
                <c:pt idx="145">
                  <c:v>400.43</c:v>
                </c:pt>
                <c:pt idx="146">
                  <c:v>179.05</c:v>
                </c:pt>
                <c:pt idx="147">
                  <c:v>685.89</c:v>
                </c:pt>
                <c:pt idx="148">
                  <c:v>553</c:v>
                </c:pt>
                <c:pt idx="149">
                  <c:v>219.9</c:v>
                </c:pt>
                <c:pt idx="150">
                  <c:v>469.22</c:v>
                </c:pt>
                <c:pt idx="151">
                  <c:v>736.55</c:v>
                </c:pt>
                <c:pt idx="152">
                  <c:v>114.93</c:v>
                </c:pt>
                <c:pt idx="153">
                  <c:v>429.43</c:v>
                </c:pt>
                <c:pt idx="154">
                  <c:v>316.27999999999997</c:v>
                </c:pt>
                <c:pt idx="155">
                  <c:v>216.56</c:v>
                </c:pt>
                <c:pt idx="156">
                  <c:v>149.9</c:v>
                </c:pt>
                <c:pt idx="157">
                  <c:v>55.99</c:v>
                </c:pt>
                <c:pt idx="158">
                  <c:v>412.66</c:v>
                </c:pt>
                <c:pt idx="159">
                  <c:v>361.78</c:v>
                </c:pt>
                <c:pt idx="160">
                  <c:v>57.09</c:v>
                </c:pt>
                <c:pt idx="161">
                  <c:v>207.91</c:v>
                </c:pt>
                <c:pt idx="162">
                  <c:v>477.59</c:v>
                </c:pt>
                <c:pt idx="163">
                  <c:v>123.77</c:v>
                </c:pt>
                <c:pt idx="164">
                  <c:v>37.9</c:v>
                </c:pt>
                <c:pt idx="165">
                  <c:v>54.57</c:v>
                </c:pt>
                <c:pt idx="166">
                  <c:v>190.69</c:v>
                </c:pt>
                <c:pt idx="167">
                  <c:v>152.66999999999999</c:v>
                </c:pt>
                <c:pt idx="168">
                  <c:v>283.83999999999997</c:v>
                </c:pt>
                <c:pt idx="169">
                  <c:v>7.47</c:v>
                </c:pt>
                <c:pt idx="170">
                  <c:v>164.2</c:v>
                </c:pt>
                <c:pt idx="171">
                  <c:v>5.99</c:v>
                </c:pt>
                <c:pt idx="172">
                  <c:v>306.64</c:v>
                </c:pt>
                <c:pt idx="173">
                  <c:v>260.08</c:v>
                </c:pt>
                <c:pt idx="174">
                  <c:v>827.97</c:v>
                </c:pt>
                <c:pt idx="175">
                  <c:v>166.92</c:v>
                </c:pt>
                <c:pt idx="176">
                  <c:v>499.15</c:v>
                </c:pt>
                <c:pt idx="177">
                  <c:v>32.54</c:v>
                </c:pt>
                <c:pt idx="178">
                  <c:v>334.77</c:v>
                </c:pt>
                <c:pt idx="179">
                  <c:v>115.74</c:v>
                </c:pt>
                <c:pt idx="180">
                  <c:v>187.95</c:v>
                </c:pt>
                <c:pt idx="181">
                  <c:v>206.98</c:v>
                </c:pt>
                <c:pt idx="182">
                  <c:v>206.17</c:v>
                </c:pt>
                <c:pt idx="183">
                  <c:v>16.579999999999998</c:v>
                </c:pt>
                <c:pt idx="184">
                  <c:v>749.03</c:v>
                </c:pt>
                <c:pt idx="185">
                  <c:v>29.17</c:v>
                </c:pt>
                <c:pt idx="186">
                  <c:v>353.35</c:v>
                </c:pt>
                <c:pt idx="187">
                  <c:v>69.59</c:v>
                </c:pt>
                <c:pt idx="188">
                  <c:v>482.45</c:v>
                </c:pt>
                <c:pt idx="189">
                  <c:v>824.95</c:v>
                </c:pt>
                <c:pt idx="190">
                  <c:v>149.5</c:v>
                </c:pt>
                <c:pt idx="191">
                  <c:v>212.02</c:v>
                </c:pt>
                <c:pt idx="192">
                  <c:v>509.37</c:v>
                </c:pt>
                <c:pt idx="193">
                  <c:v>120.36</c:v>
                </c:pt>
                <c:pt idx="194">
                  <c:v>29.5</c:v>
                </c:pt>
                <c:pt idx="195">
                  <c:v>479.91</c:v>
                </c:pt>
                <c:pt idx="196">
                  <c:v>1219.8900000000001</c:v>
                </c:pt>
                <c:pt idx="197">
                  <c:v>918.98</c:v>
                </c:pt>
                <c:pt idx="198">
                  <c:v>154.75</c:v>
                </c:pt>
                <c:pt idx="199">
                  <c:v>31.34</c:v>
                </c:pt>
                <c:pt idx="200">
                  <c:v>704.34</c:v>
                </c:pt>
                <c:pt idx="201">
                  <c:v>73.709999999999994</c:v>
                </c:pt>
                <c:pt idx="202">
                  <c:v>222.38</c:v>
                </c:pt>
                <c:pt idx="203">
                  <c:v>477.63</c:v>
                </c:pt>
                <c:pt idx="204">
                  <c:v>461.83</c:v>
                </c:pt>
                <c:pt idx="205">
                  <c:v>47.01</c:v>
                </c:pt>
                <c:pt idx="206">
                  <c:v>204.07</c:v>
                </c:pt>
                <c:pt idx="207">
                  <c:v>60.13</c:v>
                </c:pt>
                <c:pt idx="208">
                  <c:v>101.76</c:v>
                </c:pt>
                <c:pt idx="209">
                  <c:v>196.18</c:v>
                </c:pt>
                <c:pt idx="210">
                  <c:v>108.03</c:v>
                </c:pt>
                <c:pt idx="211">
                  <c:v>227.87</c:v>
                </c:pt>
                <c:pt idx="212">
                  <c:v>17.09</c:v>
                </c:pt>
                <c:pt idx="213">
                  <c:v>665.19</c:v>
                </c:pt>
                <c:pt idx="214">
                  <c:v>184.44</c:v>
                </c:pt>
                <c:pt idx="215">
                  <c:v>171.28</c:v>
                </c:pt>
                <c:pt idx="216">
                  <c:v>136.05000000000001</c:v>
                </c:pt>
                <c:pt idx="217">
                  <c:v>163.12</c:v>
                </c:pt>
                <c:pt idx="218">
                  <c:v>114.75</c:v>
                </c:pt>
                <c:pt idx="219">
                  <c:v>47.42</c:v>
                </c:pt>
                <c:pt idx="220">
                  <c:v>835.19</c:v>
                </c:pt>
                <c:pt idx="221">
                  <c:v>239.75</c:v>
                </c:pt>
                <c:pt idx="222">
                  <c:v>45.74</c:v>
                </c:pt>
                <c:pt idx="223">
                  <c:v>361.07</c:v>
                </c:pt>
                <c:pt idx="224">
                  <c:v>866.65</c:v>
                </c:pt>
                <c:pt idx="225">
                  <c:v>191.21</c:v>
                </c:pt>
                <c:pt idx="226">
                  <c:v>251.85</c:v>
                </c:pt>
                <c:pt idx="227">
                  <c:v>116.73</c:v>
                </c:pt>
                <c:pt idx="228">
                  <c:v>325.29000000000002</c:v>
                </c:pt>
                <c:pt idx="229">
                  <c:v>13.12</c:v>
                </c:pt>
                <c:pt idx="230">
                  <c:v>245.44</c:v>
                </c:pt>
                <c:pt idx="231">
                  <c:v>239.48</c:v>
                </c:pt>
                <c:pt idx="232">
                  <c:v>291.17</c:v>
                </c:pt>
                <c:pt idx="233">
                  <c:v>78.3</c:v>
                </c:pt>
                <c:pt idx="234">
                  <c:v>474.88</c:v>
                </c:pt>
                <c:pt idx="235">
                  <c:v>60.38</c:v>
                </c:pt>
                <c:pt idx="236">
                  <c:v>237.87</c:v>
                </c:pt>
                <c:pt idx="237">
                  <c:v>566.41</c:v>
                </c:pt>
                <c:pt idx="238">
                  <c:v>301.38</c:v>
                </c:pt>
                <c:pt idx="239">
                  <c:v>231.3</c:v>
                </c:pt>
                <c:pt idx="240">
                  <c:v>342.72</c:v>
                </c:pt>
                <c:pt idx="241">
                  <c:v>48.15</c:v>
                </c:pt>
                <c:pt idx="242">
                  <c:v>790.56</c:v>
                </c:pt>
                <c:pt idx="243">
                  <c:v>237.73</c:v>
                </c:pt>
                <c:pt idx="244">
                  <c:v>258.17</c:v>
                </c:pt>
                <c:pt idx="245">
                  <c:v>168.83</c:v>
                </c:pt>
                <c:pt idx="246">
                  <c:v>31.31</c:v>
                </c:pt>
                <c:pt idx="247">
                  <c:v>461.88</c:v>
                </c:pt>
                <c:pt idx="248">
                  <c:v>398.98</c:v>
                </c:pt>
                <c:pt idx="249">
                  <c:v>1116.3</c:v>
                </c:pt>
                <c:pt idx="250">
                  <c:v>164.65</c:v>
                </c:pt>
                <c:pt idx="251">
                  <c:v>22.45</c:v>
                </c:pt>
                <c:pt idx="252">
                  <c:v>108.34</c:v>
                </c:pt>
                <c:pt idx="253">
                  <c:v>558.55999999999995</c:v>
                </c:pt>
                <c:pt idx="254">
                  <c:v>196.14</c:v>
                </c:pt>
                <c:pt idx="255">
                  <c:v>110.91</c:v>
                </c:pt>
                <c:pt idx="256">
                  <c:v>26.35</c:v>
                </c:pt>
                <c:pt idx="257">
                  <c:v>576.25</c:v>
                </c:pt>
                <c:pt idx="258">
                  <c:v>115.91</c:v>
                </c:pt>
                <c:pt idx="259">
                  <c:v>223.63</c:v>
                </c:pt>
                <c:pt idx="260">
                  <c:v>290.76</c:v>
                </c:pt>
                <c:pt idx="261">
                  <c:v>187.33</c:v>
                </c:pt>
                <c:pt idx="262">
                  <c:v>51.61</c:v>
                </c:pt>
                <c:pt idx="263">
                  <c:v>24.2</c:v>
                </c:pt>
                <c:pt idx="264">
                  <c:v>90.32</c:v>
                </c:pt>
                <c:pt idx="265">
                  <c:v>18.95</c:v>
                </c:pt>
                <c:pt idx="266">
                  <c:v>363.95</c:v>
                </c:pt>
                <c:pt idx="267">
                  <c:v>117.69</c:v>
                </c:pt>
                <c:pt idx="268">
                  <c:v>384.55</c:v>
                </c:pt>
                <c:pt idx="269">
                  <c:v>270.08999999999997</c:v>
                </c:pt>
                <c:pt idx="270">
                  <c:v>535.77</c:v>
                </c:pt>
                <c:pt idx="271">
                  <c:v>265.74</c:v>
                </c:pt>
                <c:pt idx="272">
                  <c:v>42.62</c:v>
                </c:pt>
                <c:pt idx="273">
                  <c:v>320.08</c:v>
                </c:pt>
                <c:pt idx="274">
                  <c:v>460</c:v>
                </c:pt>
                <c:pt idx="275">
                  <c:v>38.44</c:v>
                </c:pt>
                <c:pt idx="276">
                  <c:v>67.790000000000006</c:v>
                </c:pt>
                <c:pt idx="277">
                  <c:v>186.51</c:v>
                </c:pt>
                <c:pt idx="278">
                  <c:v>618.57000000000005</c:v>
                </c:pt>
                <c:pt idx="279">
                  <c:v>177.49</c:v>
                </c:pt>
                <c:pt idx="280">
                  <c:v>226.37</c:v>
                </c:pt>
                <c:pt idx="281">
                  <c:v>373.47</c:v>
                </c:pt>
                <c:pt idx="282">
                  <c:v>177.26</c:v>
                </c:pt>
                <c:pt idx="283">
                  <c:v>303.63</c:v>
                </c:pt>
                <c:pt idx="284">
                  <c:v>209.88</c:v>
                </c:pt>
                <c:pt idx="285">
                  <c:v>39.83</c:v>
                </c:pt>
                <c:pt idx="286">
                  <c:v>460.72</c:v>
                </c:pt>
                <c:pt idx="287">
                  <c:v>140.44999999999999</c:v>
                </c:pt>
                <c:pt idx="288">
                  <c:v>556.59</c:v>
                </c:pt>
                <c:pt idx="289">
                  <c:v>24.08</c:v>
                </c:pt>
                <c:pt idx="290">
                  <c:v>372.47</c:v>
                </c:pt>
                <c:pt idx="291">
                  <c:v>201.9</c:v>
                </c:pt>
                <c:pt idx="292">
                  <c:v>105.29</c:v>
                </c:pt>
                <c:pt idx="293">
                  <c:v>92.72</c:v>
                </c:pt>
                <c:pt idx="294">
                  <c:v>501.92</c:v>
                </c:pt>
                <c:pt idx="295">
                  <c:v>6.93</c:v>
                </c:pt>
                <c:pt idx="296">
                  <c:v>444.6</c:v>
                </c:pt>
                <c:pt idx="297">
                  <c:v>20.03</c:v>
                </c:pt>
                <c:pt idx="298">
                  <c:v>82.6</c:v>
                </c:pt>
                <c:pt idx="299">
                  <c:v>224</c:v>
                </c:pt>
                <c:pt idx="300">
                  <c:v>288.49</c:v>
                </c:pt>
                <c:pt idx="301">
                  <c:v>39.07</c:v>
                </c:pt>
                <c:pt idx="302">
                  <c:v>208.46</c:v>
                </c:pt>
                <c:pt idx="303">
                  <c:v>773.45</c:v>
                </c:pt>
                <c:pt idx="304">
                  <c:v>233.14</c:v>
                </c:pt>
                <c:pt idx="305">
                  <c:v>6.09</c:v>
                </c:pt>
                <c:pt idx="306">
                  <c:v>123.74</c:v>
                </c:pt>
                <c:pt idx="307">
                  <c:v>506.22</c:v>
                </c:pt>
                <c:pt idx="308">
                  <c:v>49.18</c:v>
                </c:pt>
                <c:pt idx="309">
                  <c:v>125.49</c:v>
                </c:pt>
                <c:pt idx="310">
                  <c:v>654.16</c:v>
                </c:pt>
                <c:pt idx="311">
                  <c:v>467.99</c:v>
                </c:pt>
                <c:pt idx="312">
                  <c:v>463.44</c:v>
                </c:pt>
                <c:pt idx="313">
                  <c:v>262.75</c:v>
                </c:pt>
                <c:pt idx="314">
                  <c:v>9.69</c:v>
                </c:pt>
                <c:pt idx="315">
                  <c:v>192.89</c:v>
                </c:pt>
                <c:pt idx="316">
                  <c:v>314.05</c:v>
                </c:pt>
                <c:pt idx="317">
                  <c:v>77.2</c:v>
                </c:pt>
                <c:pt idx="318">
                  <c:v>222.4</c:v>
                </c:pt>
                <c:pt idx="319">
                  <c:v>84.67</c:v>
                </c:pt>
                <c:pt idx="320">
                  <c:v>329.23</c:v>
                </c:pt>
                <c:pt idx="321">
                  <c:v>82.52</c:v>
                </c:pt>
                <c:pt idx="322">
                  <c:v>166.65</c:v>
                </c:pt>
                <c:pt idx="323">
                  <c:v>312.33</c:v>
                </c:pt>
                <c:pt idx="324">
                  <c:v>143.55000000000001</c:v>
                </c:pt>
                <c:pt idx="325">
                  <c:v>258.62</c:v>
                </c:pt>
                <c:pt idx="326">
                  <c:v>203.74</c:v>
                </c:pt>
                <c:pt idx="327">
                  <c:v>541.54999999999995</c:v>
                </c:pt>
                <c:pt idx="328">
                  <c:v>314.75</c:v>
                </c:pt>
                <c:pt idx="329">
                  <c:v>293.43</c:v>
                </c:pt>
                <c:pt idx="330">
                  <c:v>225.25</c:v>
                </c:pt>
                <c:pt idx="331">
                  <c:v>199.35</c:v>
                </c:pt>
                <c:pt idx="332">
                  <c:v>138.61000000000001</c:v>
                </c:pt>
                <c:pt idx="333">
                  <c:v>76.180000000000007</c:v>
                </c:pt>
                <c:pt idx="334">
                  <c:v>255.37</c:v>
                </c:pt>
                <c:pt idx="335">
                  <c:v>219.61</c:v>
                </c:pt>
                <c:pt idx="336">
                  <c:v>237.37</c:v>
                </c:pt>
                <c:pt idx="337">
                  <c:v>80.52</c:v>
                </c:pt>
                <c:pt idx="338">
                  <c:v>421.16</c:v>
                </c:pt>
                <c:pt idx="339">
                  <c:v>865.57</c:v>
                </c:pt>
                <c:pt idx="340">
                  <c:v>772.43</c:v>
                </c:pt>
                <c:pt idx="341">
                  <c:v>268.35000000000002</c:v>
                </c:pt>
                <c:pt idx="342">
                  <c:v>101.85</c:v>
                </c:pt>
                <c:pt idx="343">
                  <c:v>409.39</c:v>
                </c:pt>
                <c:pt idx="344">
                  <c:v>115.93</c:v>
                </c:pt>
                <c:pt idx="345">
                  <c:v>450.41</c:v>
                </c:pt>
                <c:pt idx="346">
                  <c:v>100.39</c:v>
                </c:pt>
                <c:pt idx="347">
                  <c:v>10.26</c:v>
                </c:pt>
                <c:pt idx="348">
                  <c:v>149.44</c:v>
                </c:pt>
                <c:pt idx="349">
                  <c:v>223.87</c:v>
                </c:pt>
                <c:pt idx="350">
                  <c:v>33.19</c:v>
                </c:pt>
                <c:pt idx="351">
                  <c:v>213.84</c:v>
                </c:pt>
                <c:pt idx="352">
                  <c:v>481.28</c:v>
                </c:pt>
                <c:pt idx="353">
                  <c:v>357.73</c:v>
                </c:pt>
                <c:pt idx="354">
                  <c:v>268.98</c:v>
                </c:pt>
                <c:pt idx="355">
                  <c:v>418.92</c:v>
                </c:pt>
                <c:pt idx="356">
                  <c:v>2.74</c:v>
                </c:pt>
                <c:pt idx="357">
                  <c:v>317.20999999999998</c:v>
                </c:pt>
                <c:pt idx="358">
                  <c:v>72.42</c:v>
                </c:pt>
                <c:pt idx="359">
                  <c:v>539.51</c:v>
                </c:pt>
                <c:pt idx="360">
                  <c:v>453.81</c:v>
                </c:pt>
                <c:pt idx="361">
                  <c:v>21.04</c:v>
                </c:pt>
                <c:pt idx="362">
                  <c:v>120.46</c:v>
                </c:pt>
                <c:pt idx="363">
                  <c:v>438.18</c:v>
                </c:pt>
                <c:pt idx="364">
                  <c:v>65.67</c:v>
                </c:pt>
                <c:pt idx="365">
                  <c:v>418.16</c:v>
                </c:pt>
                <c:pt idx="366">
                  <c:v>939.91</c:v>
                </c:pt>
                <c:pt idx="367">
                  <c:v>462.56</c:v>
                </c:pt>
                <c:pt idx="368">
                  <c:v>264.45999999999998</c:v>
                </c:pt>
                <c:pt idx="369">
                  <c:v>110.52</c:v>
                </c:pt>
                <c:pt idx="370">
                  <c:v>316.5</c:v>
                </c:pt>
                <c:pt idx="371">
                  <c:v>161.97999999999999</c:v>
                </c:pt>
                <c:pt idx="372">
                  <c:v>36.25</c:v>
                </c:pt>
                <c:pt idx="373">
                  <c:v>328.56</c:v>
                </c:pt>
                <c:pt idx="374">
                  <c:v>65.25</c:v>
                </c:pt>
                <c:pt idx="375">
                  <c:v>351.25</c:v>
                </c:pt>
                <c:pt idx="376">
                  <c:v>3.68</c:v>
                </c:pt>
                <c:pt idx="377">
                  <c:v>734.96</c:v>
                </c:pt>
                <c:pt idx="378">
                  <c:v>446.98</c:v>
                </c:pt>
                <c:pt idx="379">
                  <c:v>145.09</c:v>
                </c:pt>
                <c:pt idx="380">
                  <c:v>413.63</c:v>
                </c:pt>
                <c:pt idx="381">
                  <c:v>180.62</c:v>
                </c:pt>
                <c:pt idx="382">
                  <c:v>375.26</c:v>
                </c:pt>
                <c:pt idx="383">
                  <c:v>118.95</c:v>
                </c:pt>
                <c:pt idx="384">
                  <c:v>238.47</c:v>
                </c:pt>
                <c:pt idx="385">
                  <c:v>351.6</c:v>
                </c:pt>
                <c:pt idx="386">
                  <c:v>37.590000000000003</c:v>
                </c:pt>
                <c:pt idx="387">
                  <c:v>360.47</c:v>
                </c:pt>
                <c:pt idx="388">
                  <c:v>379.02</c:v>
                </c:pt>
                <c:pt idx="389">
                  <c:v>739.34</c:v>
                </c:pt>
                <c:pt idx="390">
                  <c:v>37.65</c:v>
                </c:pt>
                <c:pt idx="391">
                  <c:v>669.11</c:v>
                </c:pt>
                <c:pt idx="392">
                  <c:v>247.02</c:v>
                </c:pt>
                <c:pt idx="393">
                  <c:v>27.07</c:v>
                </c:pt>
                <c:pt idx="394">
                  <c:v>24.44</c:v>
                </c:pt>
                <c:pt idx="395">
                  <c:v>106.82</c:v>
                </c:pt>
                <c:pt idx="396">
                  <c:v>25.19</c:v>
                </c:pt>
                <c:pt idx="397">
                  <c:v>863.04</c:v>
                </c:pt>
                <c:pt idx="398">
                  <c:v>431.53</c:v>
                </c:pt>
                <c:pt idx="399">
                  <c:v>456.31</c:v>
                </c:pt>
                <c:pt idx="400">
                  <c:v>277.27999999999997</c:v>
                </c:pt>
                <c:pt idx="401">
                  <c:v>394.63</c:v>
                </c:pt>
                <c:pt idx="402">
                  <c:v>130.30000000000001</c:v>
                </c:pt>
                <c:pt idx="403">
                  <c:v>193.4</c:v>
                </c:pt>
                <c:pt idx="404">
                  <c:v>272.95</c:v>
                </c:pt>
                <c:pt idx="405">
                  <c:v>157.61000000000001</c:v>
                </c:pt>
                <c:pt idx="406">
                  <c:v>237.89</c:v>
                </c:pt>
                <c:pt idx="407">
                  <c:v>627.51</c:v>
                </c:pt>
                <c:pt idx="408">
                  <c:v>55.25</c:v>
                </c:pt>
                <c:pt idx="409">
                  <c:v>96.33</c:v>
                </c:pt>
                <c:pt idx="410">
                  <c:v>266.69</c:v>
                </c:pt>
                <c:pt idx="411">
                  <c:v>227.18</c:v>
                </c:pt>
                <c:pt idx="412">
                  <c:v>719.27</c:v>
                </c:pt>
                <c:pt idx="413">
                  <c:v>143.9</c:v>
                </c:pt>
                <c:pt idx="414">
                  <c:v>133.69999999999999</c:v>
                </c:pt>
                <c:pt idx="415">
                  <c:v>418.91</c:v>
                </c:pt>
                <c:pt idx="416">
                  <c:v>25.21</c:v>
                </c:pt>
                <c:pt idx="417">
                  <c:v>357.37</c:v>
                </c:pt>
                <c:pt idx="418">
                  <c:v>453.67</c:v>
                </c:pt>
                <c:pt idx="419">
                  <c:v>61.12</c:v>
                </c:pt>
                <c:pt idx="420">
                  <c:v>478.8</c:v>
                </c:pt>
                <c:pt idx="421">
                  <c:v>110.36</c:v>
                </c:pt>
                <c:pt idx="422">
                  <c:v>523.42999999999995</c:v>
                </c:pt>
                <c:pt idx="423">
                  <c:v>396.36</c:v>
                </c:pt>
                <c:pt idx="424">
                  <c:v>112.84</c:v>
                </c:pt>
                <c:pt idx="425">
                  <c:v>271.94</c:v>
                </c:pt>
                <c:pt idx="426">
                  <c:v>225.96</c:v>
                </c:pt>
                <c:pt idx="427">
                  <c:v>355.73</c:v>
                </c:pt>
                <c:pt idx="428">
                  <c:v>825.85</c:v>
                </c:pt>
                <c:pt idx="429">
                  <c:v>117.73</c:v>
                </c:pt>
                <c:pt idx="430">
                  <c:v>61.91</c:v>
                </c:pt>
                <c:pt idx="431">
                  <c:v>253.93</c:v>
                </c:pt>
                <c:pt idx="432">
                  <c:v>275.94</c:v>
                </c:pt>
                <c:pt idx="433">
                  <c:v>335.72</c:v>
                </c:pt>
                <c:pt idx="434">
                  <c:v>167.34</c:v>
                </c:pt>
                <c:pt idx="435">
                  <c:v>143.78</c:v>
                </c:pt>
                <c:pt idx="436">
                  <c:v>91.16</c:v>
                </c:pt>
                <c:pt idx="437">
                  <c:v>395.89</c:v>
                </c:pt>
                <c:pt idx="438">
                  <c:v>295.98</c:v>
                </c:pt>
                <c:pt idx="439">
                  <c:v>378.27</c:v>
                </c:pt>
                <c:pt idx="440">
                  <c:v>276.17</c:v>
                </c:pt>
                <c:pt idx="441">
                  <c:v>191.37</c:v>
                </c:pt>
                <c:pt idx="442">
                  <c:v>63.58</c:v>
                </c:pt>
                <c:pt idx="443">
                  <c:v>539.29999999999995</c:v>
                </c:pt>
                <c:pt idx="444">
                  <c:v>362.38</c:v>
                </c:pt>
                <c:pt idx="445">
                  <c:v>29.39</c:v>
                </c:pt>
                <c:pt idx="446">
                  <c:v>105.93</c:v>
                </c:pt>
                <c:pt idx="447">
                  <c:v>339</c:v>
                </c:pt>
                <c:pt idx="448">
                  <c:v>454.54</c:v>
                </c:pt>
                <c:pt idx="449">
                  <c:v>273.3</c:v>
                </c:pt>
                <c:pt idx="450">
                  <c:v>41.4</c:v>
                </c:pt>
                <c:pt idx="451">
                  <c:v>673.96</c:v>
                </c:pt>
                <c:pt idx="452">
                  <c:v>86.45</c:v>
                </c:pt>
                <c:pt idx="453">
                  <c:v>948.48</c:v>
                </c:pt>
                <c:pt idx="454">
                  <c:v>24.34</c:v>
                </c:pt>
                <c:pt idx="455">
                  <c:v>119.1</c:v>
                </c:pt>
                <c:pt idx="456">
                  <c:v>37.65</c:v>
                </c:pt>
                <c:pt idx="457">
                  <c:v>423.36</c:v>
                </c:pt>
                <c:pt idx="458">
                  <c:v>131.68</c:v>
                </c:pt>
                <c:pt idx="459">
                  <c:v>134.09</c:v>
                </c:pt>
                <c:pt idx="460">
                  <c:v>416.97</c:v>
                </c:pt>
                <c:pt idx="461">
                  <c:v>234.29</c:v>
                </c:pt>
                <c:pt idx="462">
                  <c:v>53.26</c:v>
                </c:pt>
                <c:pt idx="463">
                  <c:v>179.47</c:v>
                </c:pt>
                <c:pt idx="464">
                  <c:v>418.93</c:v>
                </c:pt>
                <c:pt idx="465">
                  <c:v>95.32</c:v>
                </c:pt>
                <c:pt idx="466">
                  <c:v>266.39</c:v>
                </c:pt>
                <c:pt idx="467">
                  <c:v>503.1</c:v>
                </c:pt>
                <c:pt idx="468">
                  <c:v>187.67</c:v>
                </c:pt>
                <c:pt idx="469">
                  <c:v>354.56</c:v>
                </c:pt>
                <c:pt idx="470">
                  <c:v>64.97</c:v>
                </c:pt>
                <c:pt idx="471">
                  <c:v>191.96</c:v>
                </c:pt>
                <c:pt idx="472">
                  <c:v>106.89</c:v>
                </c:pt>
                <c:pt idx="473">
                  <c:v>460.98</c:v>
                </c:pt>
                <c:pt idx="474">
                  <c:v>87.48</c:v>
                </c:pt>
                <c:pt idx="475">
                  <c:v>106.93</c:v>
                </c:pt>
                <c:pt idx="476">
                  <c:v>300.14999999999998</c:v>
                </c:pt>
                <c:pt idx="477">
                  <c:v>79.680000000000007</c:v>
                </c:pt>
                <c:pt idx="478">
                  <c:v>191.19</c:v>
                </c:pt>
                <c:pt idx="479">
                  <c:v>469.03</c:v>
                </c:pt>
                <c:pt idx="480">
                  <c:v>109.04</c:v>
                </c:pt>
                <c:pt idx="481">
                  <c:v>538.33000000000004</c:v>
                </c:pt>
                <c:pt idx="482">
                  <c:v>220.45</c:v>
                </c:pt>
                <c:pt idx="483">
                  <c:v>487.61</c:v>
                </c:pt>
                <c:pt idx="484">
                  <c:v>47.97</c:v>
                </c:pt>
                <c:pt idx="485">
                  <c:v>78.2</c:v>
                </c:pt>
                <c:pt idx="486">
                  <c:v>332.47</c:v>
                </c:pt>
                <c:pt idx="487">
                  <c:v>403.69</c:v>
                </c:pt>
                <c:pt idx="488">
                  <c:v>47.8</c:v>
                </c:pt>
                <c:pt idx="489">
                  <c:v>79.66</c:v>
                </c:pt>
                <c:pt idx="490">
                  <c:v>39.369999999999997</c:v>
                </c:pt>
                <c:pt idx="491">
                  <c:v>327.82</c:v>
                </c:pt>
                <c:pt idx="492">
                  <c:v>306.13</c:v>
                </c:pt>
                <c:pt idx="493">
                  <c:v>160.78</c:v>
                </c:pt>
                <c:pt idx="494">
                  <c:v>139.06</c:v>
                </c:pt>
                <c:pt idx="495">
                  <c:v>7.34</c:v>
                </c:pt>
                <c:pt idx="496">
                  <c:v>739.55</c:v>
                </c:pt>
                <c:pt idx="497">
                  <c:v>739.18</c:v>
                </c:pt>
                <c:pt idx="498">
                  <c:v>76.650000000000006</c:v>
                </c:pt>
                <c:pt idx="499">
                  <c:v>54.13</c:v>
                </c:pt>
              </c:numCache>
            </c:numRef>
          </c:yVal>
          <c:smooth val="0"/>
          <c:extLst>
            <c:ext xmlns:c16="http://schemas.microsoft.com/office/drawing/2014/chart" uri="{C3380CC4-5D6E-409C-BE32-E72D297353CC}">
              <c16:uniqueId val="{00000000-4ABD-4D8E-AB5A-A1FE8F940EA9}"/>
            </c:ext>
          </c:extLst>
        </c:ser>
        <c:dLbls>
          <c:showLegendKey val="0"/>
          <c:showVal val="0"/>
          <c:showCatName val="0"/>
          <c:showSerName val="0"/>
          <c:showPercent val="0"/>
          <c:showBubbleSize val="0"/>
        </c:dLbls>
        <c:axId val="1788299344"/>
        <c:axId val="1788292624"/>
      </c:scatterChart>
      <c:valAx>
        <c:axId val="1788299344"/>
        <c:scaling>
          <c:orientation val="minMax"/>
        </c:scaling>
        <c:delete val="0"/>
        <c:axPos val="b"/>
        <c:majorGridlines>
          <c:spPr>
            <a:ln w="9525" cap="flat" cmpd="sng" algn="ctr">
              <a:solidFill>
                <a:schemeClr val="tx2">
                  <a:lumMod val="15000"/>
                  <a:lumOff val="85000"/>
                </a:schemeClr>
              </a:solidFill>
              <a:round/>
            </a:ln>
            <a:effectLst/>
          </c:spPr>
        </c:majorGridlines>
        <c:title>
          <c:tx>
            <c:rich>
              <a:bodyPr rot="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IN" sz="900" b="1" i="0" u="none" strike="noStrike" baseline="0"/>
                  <a:t>Shipping Cost ($)</a:t>
                </a:r>
                <a:endParaRPr lang="en-IN"/>
              </a:p>
            </c:rich>
          </c:tx>
          <c:overlay val="0"/>
          <c:spPr>
            <a:noFill/>
            <a:ln>
              <a:noFill/>
            </a:ln>
            <a:effectLst/>
          </c:spPr>
          <c:txPr>
            <a:bodyPr rot="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IN"/>
            </a:p>
          </c:txPr>
        </c:title>
        <c:numFmt formatCode="[$$-409]#,##0.00" sourceLinked="1"/>
        <c:majorTickMark val="none"/>
        <c:minorTickMark val="none"/>
        <c:tickLblPos val="nextTo"/>
        <c:spPr>
          <a:noFill/>
          <a:ln>
            <a:solidFill>
              <a:schemeClr val="tx2">
                <a:lumMod val="40000"/>
                <a:lumOff val="60000"/>
              </a:schemeClr>
            </a:solid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1788292624"/>
        <c:crosses val="autoZero"/>
        <c:crossBetween val="midCat"/>
      </c:valAx>
      <c:valAx>
        <c:axId val="1788292624"/>
        <c:scaling>
          <c:orientation val="minMax"/>
        </c:scaling>
        <c:delete val="0"/>
        <c:axPos val="l"/>
        <c:majorGridlines>
          <c:spPr>
            <a:ln w="9525" cap="flat" cmpd="sng" algn="ctr">
              <a:solidFill>
                <a:schemeClr val="tx2">
                  <a:lumMod val="15000"/>
                  <a:lumOff val="8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IN"/>
                  <a:t>Profits ($)</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title>
        <c:numFmt formatCode="[$$-409]#,##0.00" sourceLinked="1"/>
        <c:majorTickMark val="none"/>
        <c:minorTickMark val="none"/>
        <c:tickLblPos val="nextTo"/>
        <c:spPr>
          <a:noFill/>
          <a:ln>
            <a:solidFill>
              <a:schemeClr val="tx2">
                <a:lumMod val="40000"/>
                <a:lumOff val="60000"/>
              </a:schemeClr>
            </a:solid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1788299344"/>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sz="3200"/>
              <a:t>Order</a:t>
            </a:r>
            <a:r>
              <a:rPr lang="en-US" sz="3200" baseline="0"/>
              <a:t> Priority Distribution</a:t>
            </a:r>
            <a:endParaRPr lang="en-US" sz="3200"/>
          </a:p>
        </c:rich>
      </c:tx>
      <c:layout>
        <c:manualLayout>
          <c:xMode val="edge"/>
          <c:yMode val="edge"/>
          <c:x val="0.24270655787196979"/>
          <c:y val="2.2613027584892541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doughnutChart>
        <c:varyColors val="1"/>
        <c:ser>
          <c:idx val="0"/>
          <c:order val="0"/>
          <c:tx>
            <c:strRef>
              <c:f>Rough_Sheet!$M$9</c:f>
              <c:strCache>
                <c:ptCount val="1"/>
                <c:pt idx="0">
                  <c:v>Count</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86A8-4520-B81B-A674CFEE50CF}"/>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86A8-4520-B81B-A674CFEE50CF}"/>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86A8-4520-B81B-A674CFEE50CF}"/>
              </c:ext>
            </c:extLst>
          </c:dPt>
          <c:dLbls>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lt1"/>
                    </a:solidFill>
                    <a:latin typeface="+mn-lt"/>
                    <a:ea typeface="+mn-ea"/>
                    <a:cs typeface="+mn-cs"/>
                  </a:defRPr>
                </a:pPr>
                <a:endParaRPr lang="en-US"/>
              </a:p>
            </c:txPr>
            <c:showLegendKey val="0"/>
            <c:showVal val="0"/>
            <c:showCatName val="1"/>
            <c:showSerName val="0"/>
            <c:showPercent val="1"/>
            <c:showBubbleSize val="0"/>
            <c:separator>. </c:separator>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Rough_Sheet!$L$10:$L$12</c:f>
              <c:strCache>
                <c:ptCount val="3"/>
                <c:pt idx="0">
                  <c:v>High</c:v>
                </c:pt>
                <c:pt idx="1">
                  <c:v>Medium</c:v>
                </c:pt>
                <c:pt idx="2">
                  <c:v>Low</c:v>
                </c:pt>
              </c:strCache>
            </c:strRef>
          </c:cat>
          <c:val>
            <c:numRef>
              <c:f>Rough_Sheet!$M$10:$M$12</c:f>
              <c:numCache>
                <c:formatCode>General</c:formatCode>
                <c:ptCount val="3"/>
                <c:pt idx="0">
                  <c:v>161</c:v>
                </c:pt>
                <c:pt idx="1">
                  <c:v>171</c:v>
                </c:pt>
                <c:pt idx="2">
                  <c:v>168</c:v>
                </c:pt>
              </c:numCache>
            </c:numRef>
          </c:val>
          <c:extLst>
            <c:ext xmlns:c16="http://schemas.microsoft.com/office/drawing/2014/chart" uri="{C3380CC4-5D6E-409C-BE32-E72D297353CC}">
              <c16:uniqueId val="{00000006-86A8-4520-B81B-A674CFEE50CF}"/>
            </c:ext>
          </c:extLst>
        </c:ser>
        <c:dLbls>
          <c:showLegendKey val="0"/>
          <c:showVal val="1"/>
          <c:showCatName val="0"/>
          <c:showSerName val="0"/>
          <c:showPercent val="0"/>
          <c:showBubbleSize val="0"/>
          <c:showLeaderLines val="1"/>
        </c:dLbls>
        <c:firstSliceAng val="0"/>
        <c:holeSize val="50"/>
      </c:doughnutChart>
      <c:spPr>
        <a:noFill/>
        <a:ln>
          <a:noFill/>
        </a:ln>
        <a:effectLst/>
      </c:spPr>
    </c:plotArea>
    <c:legend>
      <c:legendPos val="r"/>
      <c:layout>
        <c:manualLayout>
          <c:xMode val="edge"/>
          <c:yMode val="edge"/>
          <c:x val="0.83078520426263547"/>
          <c:y val="0.33648940488145612"/>
          <c:w val="0.14823449533085067"/>
          <c:h val="0.32316605856833447"/>
        </c:manualLayout>
      </c:layout>
      <c:overlay val="0"/>
      <c:spPr>
        <a:solidFill>
          <a:schemeClr val="lt1">
            <a:lumMod val="95000"/>
            <a:alpha val="39000"/>
          </a:schemeClr>
        </a:solidFill>
        <a:ln>
          <a:noFill/>
        </a:ln>
        <a:effectLst/>
      </c:spPr>
      <c:txPr>
        <a:bodyPr rot="0" spcFirstLastPara="1" vertOverflow="ellipsis" vert="horz" wrap="square" anchor="ctr" anchorCtr="1"/>
        <a:lstStyle/>
        <a:p>
          <a:pPr>
            <a:defRPr sz="24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2"/>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Monthly</a:t>
            </a:r>
            <a:r>
              <a:rPr lang="en-IN" baseline="0"/>
              <a:t> Sales and Profit Trends</a:t>
            </a: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lotArea>
      <c:layout/>
      <c:lineChart>
        <c:grouping val="standard"/>
        <c:varyColors val="0"/>
        <c:ser>
          <c:idx val="0"/>
          <c:order val="0"/>
          <c:tx>
            <c:strRef>
              <c:f>'Data Visualization &amp; Charts'!$B$1</c:f>
              <c:strCache>
                <c:ptCount val="1"/>
                <c:pt idx="0">
                  <c:v>Total Sales</c:v>
                </c:pt>
              </c:strCache>
            </c:strRef>
          </c:tx>
          <c:spPr>
            <a:ln w="28575" cap="rnd">
              <a:solidFill>
                <a:schemeClr val="accent1"/>
              </a:solidFill>
              <a:round/>
            </a:ln>
            <a:effectLst/>
          </c:spPr>
          <c:marker>
            <c:symbol val="none"/>
          </c:marker>
          <c:cat>
            <c:strRef>
              <c:f>'Data Visualization &amp; Charts'!$A$2:$A$18</c:f>
              <c:strCache>
                <c:ptCount val="17"/>
                <c:pt idx="0">
                  <c:v>2024-01</c:v>
                </c:pt>
                <c:pt idx="1">
                  <c:v>2024-02</c:v>
                </c:pt>
                <c:pt idx="2">
                  <c:v>2024-03</c:v>
                </c:pt>
                <c:pt idx="3">
                  <c:v>2024-04</c:v>
                </c:pt>
                <c:pt idx="4">
                  <c:v>2024-05</c:v>
                </c:pt>
                <c:pt idx="5">
                  <c:v>2024-06</c:v>
                </c:pt>
                <c:pt idx="6">
                  <c:v>2024-07</c:v>
                </c:pt>
                <c:pt idx="7">
                  <c:v>2024-08</c:v>
                </c:pt>
                <c:pt idx="8">
                  <c:v>2024-09</c:v>
                </c:pt>
                <c:pt idx="9">
                  <c:v>2024-10</c:v>
                </c:pt>
                <c:pt idx="10">
                  <c:v>2024-11</c:v>
                </c:pt>
                <c:pt idx="11">
                  <c:v>2024-12</c:v>
                </c:pt>
                <c:pt idx="12">
                  <c:v>2025-01</c:v>
                </c:pt>
                <c:pt idx="13">
                  <c:v>2025-02</c:v>
                </c:pt>
                <c:pt idx="14">
                  <c:v>2025-03</c:v>
                </c:pt>
                <c:pt idx="15">
                  <c:v>2025-04</c:v>
                </c:pt>
                <c:pt idx="16">
                  <c:v>2025-05</c:v>
                </c:pt>
              </c:strCache>
            </c:strRef>
          </c:cat>
          <c:val>
            <c:numRef>
              <c:f>'Data Visualization &amp; Charts'!$B$2:$B$18</c:f>
              <c:numCache>
                <c:formatCode>[$$-409]#,##0.00</c:formatCode>
                <c:ptCount val="17"/>
                <c:pt idx="0">
                  <c:v>23642.31</c:v>
                </c:pt>
                <c:pt idx="1">
                  <c:v>29912</c:v>
                </c:pt>
                <c:pt idx="2">
                  <c:v>27450.58</c:v>
                </c:pt>
                <c:pt idx="3">
                  <c:v>13108.03</c:v>
                </c:pt>
                <c:pt idx="4">
                  <c:v>25044.65</c:v>
                </c:pt>
                <c:pt idx="5">
                  <c:v>38692.6</c:v>
                </c:pt>
                <c:pt idx="6">
                  <c:v>30288.91</c:v>
                </c:pt>
                <c:pt idx="7">
                  <c:v>28579.07</c:v>
                </c:pt>
                <c:pt idx="8">
                  <c:v>31738.73</c:v>
                </c:pt>
                <c:pt idx="9">
                  <c:v>25371.88</c:v>
                </c:pt>
                <c:pt idx="10">
                  <c:v>31766.41</c:v>
                </c:pt>
                <c:pt idx="11">
                  <c:v>39119.29</c:v>
                </c:pt>
                <c:pt idx="12">
                  <c:v>23958.62</c:v>
                </c:pt>
                <c:pt idx="13">
                  <c:v>24475.24</c:v>
                </c:pt>
                <c:pt idx="14">
                  <c:v>32154.880000000001</c:v>
                </c:pt>
                <c:pt idx="15">
                  <c:v>36539.25</c:v>
                </c:pt>
                <c:pt idx="16">
                  <c:v>9732.4599999999991</c:v>
                </c:pt>
              </c:numCache>
            </c:numRef>
          </c:val>
          <c:smooth val="0"/>
          <c:extLst>
            <c:ext xmlns:c16="http://schemas.microsoft.com/office/drawing/2014/chart" uri="{C3380CC4-5D6E-409C-BE32-E72D297353CC}">
              <c16:uniqueId val="{00000000-2130-4205-A607-6FC89D018E22}"/>
            </c:ext>
          </c:extLst>
        </c:ser>
        <c:ser>
          <c:idx val="1"/>
          <c:order val="1"/>
          <c:tx>
            <c:strRef>
              <c:f>'Data Visualization &amp; Charts'!$C$1</c:f>
              <c:strCache>
                <c:ptCount val="1"/>
                <c:pt idx="0">
                  <c:v>Profit</c:v>
                </c:pt>
              </c:strCache>
            </c:strRef>
          </c:tx>
          <c:spPr>
            <a:ln w="28575" cap="rnd">
              <a:solidFill>
                <a:schemeClr val="accent2"/>
              </a:solidFill>
              <a:round/>
            </a:ln>
            <a:effectLst/>
          </c:spPr>
          <c:marker>
            <c:symbol val="none"/>
          </c:marker>
          <c:cat>
            <c:strRef>
              <c:f>'Data Visualization &amp; Charts'!$A$2:$A$18</c:f>
              <c:strCache>
                <c:ptCount val="17"/>
                <c:pt idx="0">
                  <c:v>2024-01</c:v>
                </c:pt>
                <c:pt idx="1">
                  <c:v>2024-02</c:v>
                </c:pt>
                <c:pt idx="2">
                  <c:v>2024-03</c:v>
                </c:pt>
                <c:pt idx="3">
                  <c:v>2024-04</c:v>
                </c:pt>
                <c:pt idx="4">
                  <c:v>2024-05</c:v>
                </c:pt>
                <c:pt idx="5">
                  <c:v>2024-06</c:v>
                </c:pt>
                <c:pt idx="6">
                  <c:v>2024-07</c:v>
                </c:pt>
                <c:pt idx="7">
                  <c:v>2024-08</c:v>
                </c:pt>
                <c:pt idx="8">
                  <c:v>2024-09</c:v>
                </c:pt>
                <c:pt idx="9">
                  <c:v>2024-10</c:v>
                </c:pt>
                <c:pt idx="10">
                  <c:v>2024-11</c:v>
                </c:pt>
                <c:pt idx="11">
                  <c:v>2024-12</c:v>
                </c:pt>
                <c:pt idx="12">
                  <c:v>2025-01</c:v>
                </c:pt>
                <c:pt idx="13">
                  <c:v>2025-02</c:v>
                </c:pt>
                <c:pt idx="14">
                  <c:v>2025-03</c:v>
                </c:pt>
                <c:pt idx="15">
                  <c:v>2025-04</c:v>
                </c:pt>
                <c:pt idx="16">
                  <c:v>2025-05</c:v>
                </c:pt>
              </c:strCache>
            </c:strRef>
          </c:cat>
          <c:val>
            <c:numRef>
              <c:f>'Data Visualization &amp; Charts'!$C$2:$C$18</c:f>
              <c:numCache>
                <c:formatCode>[$$-409]#,##0.00</c:formatCode>
                <c:ptCount val="17"/>
                <c:pt idx="0">
                  <c:v>6054.28</c:v>
                </c:pt>
                <c:pt idx="1">
                  <c:v>9234.0300000000007</c:v>
                </c:pt>
                <c:pt idx="2">
                  <c:v>7448.97</c:v>
                </c:pt>
                <c:pt idx="3">
                  <c:v>4040.24</c:v>
                </c:pt>
                <c:pt idx="4">
                  <c:v>6249.32</c:v>
                </c:pt>
                <c:pt idx="5">
                  <c:v>11775.91</c:v>
                </c:pt>
                <c:pt idx="6">
                  <c:v>8441.19</c:v>
                </c:pt>
                <c:pt idx="7">
                  <c:v>7976.39</c:v>
                </c:pt>
                <c:pt idx="8">
                  <c:v>8387.18</c:v>
                </c:pt>
                <c:pt idx="9">
                  <c:v>7552.51</c:v>
                </c:pt>
                <c:pt idx="10">
                  <c:v>7763.13</c:v>
                </c:pt>
                <c:pt idx="11">
                  <c:v>10480.9</c:v>
                </c:pt>
                <c:pt idx="12">
                  <c:v>7054.74</c:v>
                </c:pt>
                <c:pt idx="13">
                  <c:v>6905.52</c:v>
                </c:pt>
                <c:pt idx="14">
                  <c:v>10348.18</c:v>
                </c:pt>
                <c:pt idx="15">
                  <c:v>10237.879999999999</c:v>
                </c:pt>
                <c:pt idx="16">
                  <c:v>2579.2199999999998</c:v>
                </c:pt>
              </c:numCache>
            </c:numRef>
          </c:val>
          <c:smooth val="0"/>
          <c:extLst>
            <c:ext xmlns:c16="http://schemas.microsoft.com/office/drawing/2014/chart" uri="{C3380CC4-5D6E-409C-BE32-E72D297353CC}">
              <c16:uniqueId val="{00000001-2130-4205-A607-6FC89D018E22}"/>
            </c:ext>
          </c:extLst>
        </c:ser>
        <c:dLbls>
          <c:showLegendKey val="0"/>
          <c:showVal val="0"/>
          <c:showCatName val="0"/>
          <c:showSerName val="0"/>
          <c:showPercent val="0"/>
          <c:showBubbleSize val="0"/>
        </c:dLbls>
        <c:smooth val="0"/>
        <c:axId val="334515888"/>
        <c:axId val="334518288"/>
      </c:lineChart>
      <c:catAx>
        <c:axId val="33451588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Months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34518288"/>
        <c:crosses val="autoZero"/>
        <c:auto val="1"/>
        <c:lblAlgn val="ctr"/>
        <c:lblOffset val="100"/>
        <c:noMultiLvlLbl val="0"/>
      </c:catAx>
      <c:valAx>
        <c:axId val="33451828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Amount $</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409]#,##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345158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withinLinear" id="15">
  <a:schemeClr val="accent2"/>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2">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9525" cap="rnd">
        <a:solidFill>
          <a:schemeClr val="phClr"/>
        </a:solidFill>
        <a:round/>
      </a:ln>
    </cs:spPr>
  </cs:dataPointLine>
  <cs:dataPointMarker>
    <cs:lnRef idx="0">
      <cs:styleClr val="auto"/>
    </cs:lnRef>
    <cs:fillRef idx="3">
      <cs:styleClr val="auto"/>
    </cs:fillRef>
    <cs:effectRef idx="2"/>
    <cs:fontRef idx="minor">
      <a:schemeClr val="tx2"/>
    </cs:fontRef>
    <cs:spPr>
      <a:ln w="9525">
        <a:solidFill>
          <a:schemeClr val="phClr"/>
        </a:solidFill>
        <a:round/>
      </a:ln>
    </cs:spPr>
  </cs:dataPointMarker>
  <cs:dataPointMarkerLayout symbol="circle" size="5"/>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9525" cap="rnd">
        <a:solidFill>
          <a:schemeClr val="phClr"/>
        </a:solidFill>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spPr>
      <a:ln>
        <a:solidFill>
          <a:schemeClr val="tx2">
            <a:lumMod val="40000"/>
            <a:lumOff val="60000"/>
          </a:schemeClr>
        </a:solidFill>
      </a:ln>
    </cs:spPr>
    <cs:defRPr sz="900" kern="1200"/>
  </cs:valueAxis>
  <cs:wall>
    <cs:lnRef idx="0"/>
    <cs:fillRef idx="0"/>
    <cs:effectRef idx="0"/>
    <cs:fontRef idx="minor">
      <a:schemeClr val="tx2"/>
    </cs:fontRef>
  </cs:wall>
</cs:chartStyle>
</file>

<file path=xl/charts/style8.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3" Type="http://schemas.openxmlformats.org/officeDocument/2006/relationships/chart" Target="../charts/chart5.xml"/><Relationship Id="rId7" Type="http://schemas.openxmlformats.org/officeDocument/2006/relationships/chart" Target="../charts/chart9.xml"/><Relationship Id="rId2" Type="http://schemas.openxmlformats.org/officeDocument/2006/relationships/chart" Target="../charts/chart4.xml"/><Relationship Id="rId1" Type="http://schemas.openxmlformats.org/officeDocument/2006/relationships/chart" Target="../charts/chart3.xml"/><Relationship Id="rId6" Type="http://schemas.openxmlformats.org/officeDocument/2006/relationships/chart" Target="../charts/chart8.xml"/><Relationship Id="rId5" Type="http://schemas.openxmlformats.org/officeDocument/2006/relationships/chart" Target="../charts/chart7.xml"/><Relationship Id="rId4"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twoCellAnchor editAs="oneCell">
    <xdr:from>
      <xdr:col>11</xdr:col>
      <xdr:colOff>130513</xdr:colOff>
      <xdr:row>17</xdr:row>
      <xdr:rowOff>181988</xdr:rowOff>
    </xdr:from>
    <xdr:to>
      <xdr:col>12</xdr:col>
      <xdr:colOff>479898</xdr:colOff>
      <xdr:row>31</xdr:row>
      <xdr:rowOff>153616</xdr:rowOff>
    </xdr:to>
    <mc:AlternateContent xmlns:mc="http://schemas.openxmlformats.org/markup-compatibility/2006" xmlns:a14="http://schemas.microsoft.com/office/drawing/2010/main">
      <mc:Choice Requires="a14">
        <xdr:graphicFrame macro="">
          <xdr:nvGraphicFramePr>
            <xdr:cNvPr id="4" name="Category">
              <a:extLst>
                <a:ext uri="{FF2B5EF4-FFF2-40B4-BE49-F238E27FC236}">
                  <a16:creationId xmlns:a16="http://schemas.microsoft.com/office/drawing/2014/main" id="{FB848B25-41B5-AF17-CA4B-D81FB8D9960F}"/>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15416417" y="3682139"/>
              <a:ext cx="1829776" cy="270289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657428</xdr:colOff>
      <xdr:row>17</xdr:row>
      <xdr:rowOff>181988</xdr:rowOff>
    </xdr:from>
    <xdr:to>
      <xdr:col>14</xdr:col>
      <xdr:colOff>591361</xdr:colOff>
      <xdr:row>31</xdr:row>
      <xdr:rowOff>153616</xdr:rowOff>
    </xdr:to>
    <mc:AlternateContent xmlns:mc="http://schemas.openxmlformats.org/markup-compatibility/2006" xmlns:a14="http://schemas.microsoft.com/office/drawing/2010/main">
      <mc:Choice Requires="a14">
        <xdr:graphicFrame macro="">
          <xdr:nvGraphicFramePr>
            <xdr:cNvPr id="5" name="Order_Priority">
              <a:extLst>
                <a:ext uri="{FF2B5EF4-FFF2-40B4-BE49-F238E27FC236}">
                  <a16:creationId xmlns:a16="http://schemas.microsoft.com/office/drawing/2014/main" id="{23AAFE38-CDA1-3434-F64A-4F8198C22331}"/>
                </a:ext>
              </a:extLst>
            </xdr:cNvPr>
            <xdr:cNvGraphicFramePr/>
          </xdr:nvGraphicFramePr>
          <xdr:xfrm>
            <a:off x="0" y="0"/>
            <a:ext cx="0" cy="0"/>
          </xdr:xfrm>
          <a:graphic>
            <a:graphicData uri="http://schemas.microsoft.com/office/drawing/2010/slicer">
              <sle:slicer xmlns:sle="http://schemas.microsoft.com/office/drawing/2010/slicer" name="Order_Priority"/>
            </a:graphicData>
          </a:graphic>
        </xdr:graphicFrame>
      </mc:Choice>
      <mc:Fallback xmlns="">
        <xdr:sp macro="" textlink="">
          <xdr:nvSpPr>
            <xdr:cNvPr id="0" name=""/>
            <xdr:cNvSpPr>
              <a:spLocks noTextEdit="1"/>
            </xdr:cNvSpPr>
          </xdr:nvSpPr>
          <xdr:spPr>
            <a:xfrm>
              <a:off x="17423723" y="3682139"/>
              <a:ext cx="1827457" cy="270289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0</xdr:col>
      <xdr:colOff>794288</xdr:colOff>
      <xdr:row>34</xdr:row>
      <xdr:rowOff>73161</xdr:rowOff>
    </xdr:from>
    <xdr:to>
      <xdr:col>6</xdr:col>
      <xdr:colOff>28301</xdr:colOff>
      <xdr:row>53</xdr:row>
      <xdr:rowOff>20568</xdr:rowOff>
    </xdr:to>
    <xdr:graphicFrame macro="">
      <xdr:nvGraphicFramePr>
        <xdr:cNvPr id="6" name="Chart 5">
          <a:extLst>
            <a:ext uri="{FF2B5EF4-FFF2-40B4-BE49-F238E27FC236}">
              <a16:creationId xmlns:a16="http://schemas.microsoft.com/office/drawing/2014/main" id="{03C46725-58E1-1246-819F-43C4E784FD0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868180</xdr:colOff>
      <xdr:row>1</xdr:row>
      <xdr:rowOff>185970</xdr:rowOff>
    </xdr:from>
    <xdr:to>
      <xdr:col>14</xdr:col>
      <xdr:colOff>7807</xdr:colOff>
      <xdr:row>17</xdr:row>
      <xdr:rowOff>140532</xdr:rowOff>
    </xdr:to>
    <xdr:graphicFrame macro="">
      <xdr:nvGraphicFramePr>
        <xdr:cNvPr id="2" name="Chart 1">
          <a:extLst>
            <a:ext uri="{FF2B5EF4-FFF2-40B4-BE49-F238E27FC236}">
              <a16:creationId xmlns:a16="http://schemas.microsoft.com/office/drawing/2014/main" id="{C5D6EB37-9473-14C6-40D2-E16000CFED0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342900</xdr:colOff>
          <xdr:row>8</xdr:row>
          <xdr:rowOff>0</xdr:rowOff>
        </xdr:from>
        <xdr:to>
          <xdr:col>8</xdr:col>
          <xdr:colOff>352425</xdr:colOff>
          <xdr:row>11</xdr:row>
          <xdr:rowOff>19050</xdr:rowOff>
        </xdr:to>
        <xdr:sp macro="" textlink="">
          <xdr:nvSpPr>
            <xdr:cNvPr id="13314" name="Button 2" hidden="1">
              <a:extLst>
                <a:ext uri="{63B3BB69-23CF-44E3-9099-C40C66FF867C}">
                  <a14:compatExt spid="_x0000_s13314"/>
                </a:ext>
                <a:ext uri="{FF2B5EF4-FFF2-40B4-BE49-F238E27FC236}">
                  <a16:creationId xmlns:a16="http://schemas.microsoft.com/office/drawing/2014/main" id="{00000000-0008-0000-0C00-000002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200" b="1" i="1" u="none" strike="noStrike" baseline="0">
                  <a:solidFill>
                    <a:srgbClr val="000000"/>
                  </a:solidFill>
                  <a:latin typeface="Times New Roman"/>
                  <a:cs typeface="Times New Roman"/>
                </a:rPr>
                <a:t>Highlight Button</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14</xdr:col>
      <xdr:colOff>327422</xdr:colOff>
      <xdr:row>10</xdr:row>
      <xdr:rowOff>174015</xdr:rowOff>
    </xdr:from>
    <xdr:to>
      <xdr:col>29</xdr:col>
      <xdr:colOff>463379</xdr:colOff>
      <xdr:row>37</xdr:row>
      <xdr:rowOff>70515</xdr:rowOff>
    </xdr:to>
    <xdr:graphicFrame macro="">
      <xdr:nvGraphicFramePr>
        <xdr:cNvPr id="4" name="Chart 3">
          <a:extLst>
            <a:ext uri="{FF2B5EF4-FFF2-40B4-BE49-F238E27FC236}">
              <a16:creationId xmlns:a16="http://schemas.microsoft.com/office/drawing/2014/main" id="{A9E627D0-E2D9-4BEB-A171-5098DCCB806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72757</xdr:colOff>
      <xdr:row>38</xdr:row>
      <xdr:rowOff>23951</xdr:rowOff>
    </xdr:from>
    <xdr:to>
      <xdr:col>13</xdr:col>
      <xdr:colOff>267890</xdr:colOff>
      <xdr:row>64</xdr:row>
      <xdr:rowOff>110950</xdr:rowOff>
    </xdr:to>
    <xdr:graphicFrame macro="">
      <xdr:nvGraphicFramePr>
        <xdr:cNvPr id="5" name="Chart 4">
          <a:extLst>
            <a:ext uri="{FF2B5EF4-FFF2-40B4-BE49-F238E27FC236}">
              <a16:creationId xmlns:a16="http://schemas.microsoft.com/office/drawing/2014/main" id="{2C11579E-C8EF-4BA9-800E-E70F5AC3F96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313441</xdr:colOff>
      <xdr:row>38</xdr:row>
      <xdr:rowOff>45551</xdr:rowOff>
    </xdr:from>
    <xdr:to>
      <xdr:col>29</xdr:col>
      <xdr:colOff>463379</xdr:colOff>
      <xdr:row>64</xdr:row>
      <xdr:rowOff>132550</xdr:rowOff>
    </xdr:to>
    <xdr:graphicFrame macro="">
      <xdr:nvGraphicFramePr>
        <xdr:cNvPr id="7" name="Chart 6">
          <a:extLst>
            <a:ext uri="{FF2B5EF4-FFF2-40B4-BE49-F238E27FC236}">
              <a16:creationId xmlns:a16="http://schemas.microsoft.com/office/drawing/2014/main" id="{89C95576-0324-4F16-8D21-AF0A86484DF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67299</xdr:colOff>
      <xdr:row>65</xdr:row>
      <xdr:rowOff>186110</xdr:rowOff>
    </xdr:from>
    <xdr:to>
      <xdr:col>13</xdr:col>
      <xdr:colOff>290541</xdr:colOff>
      <xdr:row>92</xdr:row>
      <xdr:rowOff>85497</xdr:rowOff>
    </xdr:to>
    <xdr:graphicFrame macro="">
      <xdr:nvGraphicFramePr>
        <xdr:cNvPr id="8" name="Chart 7">
          <a:extLst>
            <a:ext uri="{FF2B5EF4-FFF2-40B4-BE49-F238E27FC236}">
              <a16:creationId xmlns:a16="http://schemas.microsoft.com/office/drawing/2014/main" id="{CD63472B-232C-4A83-B02F-1918186DFCB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14</xdr:col>
      <xdr:colOff>329722</xdr:colOff>
      <xdr:row>65</xdr:row>
      <xdr:rowOff>184386</xdr:rowOff>
    </xdr:from>
    <xdr:to>
      <xdr:col>29</xdr:col>
      <xdr:colOff>463379</xdr:colOff>
      <xdr:row>92</xdr:row>
      <xdr:rowOff>83773</xdr:rowOff>
    </xdr:to>
    <xdr:graphicFrame macro="">
      <xdr:nvGraphicFramePr>
        <xdr:cNvPr id="9" name="Chart 8">
          <a:extLst>
            <a:ext uri="{FF2B5EF4-FFF2-40B4-BE49-F238E27FC236}">
              <a16:creationId xmlns:a16="http://schemas.microsoft.com/office/drawing/2014/main" id="{872F391F-F421-47B4-9177-C769FEBD57D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250941</xdr:colOff>
      <xdr:row>92</xdr:row>
      <xdr:rowOff>186966</xdr:rowOff>
    </xdr:from>
    <xdr:to>
      <xdr:col>22</xdr:col>
      <xdr:colOff>137210</xdr:colOff>
      <xdr:row>125</xdr:row>
      <xdr:rowOff>127301</xdr:rowOff>
    </xdr:to>
    <xdr:graphicFrame macro="">
      <xdr:nvGraphicFramePr>
        <xdr:cNvPr id="10" name="Chart 9">
          <a:extLst>
            <a:ext uri="{FF2B5EF4-FFF2-40B4-BE49-F238E27FC236}">
              <a16:creationId xmlns:a16="http://schemas.microsoft.com/office/drawing/2014/main" id="{F65AC4A5-BB33-4DA9-AC20-0A0950FC10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xdr:col>
      <xdr:colOff>56866</xdr:colOff>
      <xdr:row>11</xdr:row>
      <xdr:rowOff>14216</xdr:rowOff>
    </xdr:from>
    <xdr:to>
      <xdr:col>13</xdr:col>
      <xdr:colOff>255895</xdr:colOff>
      <xdr:row>37</xdr:row>
      <xdr:rowOff>101216</xdr:rowOff>
    </xdr:to>
    <xdr:graphicFrame macro="">
      <xdr:nvGraphicFramePr>
        <xdr:cNvPr id="3" name="Chart 2">
          <a:extLst>
            <a:ext uri="{FF2B5EF4-FFF2-40B4-BE49-F238E27FC236}">
              <a16:creationId xmlns:a16="http://schemas.microsoft.com/office/drawing/2014/main" id="{F6F16284-2A7F-4503-8993-D66C7C04798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SUS" refreshedDate="46173.535080092595" createdVersion="8" refreshedVersion="8" minRefreshableVersion="3" recordCount="10" xr:uid="{25C87200-CC0E-4108-BD16-3EE1DABD7C7A}">
  <cacheSource type="worksheet">
    <worksheetSource ref="A1:S11" sheet="Interactive Pivot Analysis"/>
  </cacheSource>
  <cacheFields count="22">
    <cacheField name="Order_ID" numFmtId="0">
      <sharedItems/>
    </cacheField>
    <cacheField name="Order_Date" numFmtId="166">
      <sharedItems containsSemiMixedTypes="0" containsNonDate="0" containsDate="1" containsString="0" minDate="2024-04-29T00:00:00" maxDate="2025-05-02T00:00:00" count="10">
        <d v="2025-01-20T00:00:00"/>
        <d v="2025-02-14T00:00:00"/>
        <d v="2024-04-29T00:00:00"/>
        <d v="2024-10-01T00:00:00"/>
        <d v="2025-02-15T00:00:00"/>
        <d v="2025-02-26T00:00:00"/>
        <d v="2024-06-13T00:00:00"/>
        <d v="2025-05-01T00:00:00"/>
        <d v="2024-09-13T00:00:00"/>
        <d v="2024-08-27T00:00:00"/>
      </sharedItems>
      <fieldGroup par="21"/>
    </cacheField>
    <cacheField name="Customer_Name" numFmtId="0">
      <sharedItems/>
    </cacheField>
    <cacheField name="Country" numFmtId="0">
      <sharedItems/>
    </cacheField>
    <cacheField name="Product" numFmtId="0">
      <sharedItems/>
    </cacheField>
    <cacheField name="Category" numFmtId="0">
      <sharedItems count="5">
        <s v="Accessories"/>
        <s v="Electronics"/>
        <s v="Apparel"/>
        <s v="Home Decor"/>
        <s v="Textiles"/>
      </sharedItems>
    </cacheField>
    <cacheField name="Quantity" numFmtId="0">
      <sharedItems containsSemiMixedTypes="0" containsString="0" containsNumber="1" containsInteger="1" minValue="3" maxValue="47"/>
    </cacheField>
    <cacheField name="Unit_Price" numFmtId="0">
      <sharedItems containsSemiMixedTypes="0" containsString="0" containsNumber="1" minValue="18.98" maxValue="69.22"/>
    </cacheField>
    <cacheField name="Total_Sales" numFmtId="0">
      <sharedItems containsSemiMixedTypes="0" containsString="0" containsNumber="1" minValue="94.56" maxValue="1176.74"/>
    </cacheField>
    <cacheField name="Shipping_Cost" numFmtId="0">
      <sharedItems containsSemiMixedTypes="0" containsString="0" containsNumber="1" minValue="6.98" maxValue="73.95"/>
    </cacheField>
    <cacheField name="Profit" numFmtId="0">
      <sharedItems containsSemiMixedTypes="0" containsString="0" containsNumber="1" minValue="20.079999999999998" maxValue="430.8"/>
    </cacheField>
    <cacheField name="Ship_Mode" numFmtId="0">
      <sharedItems/>
    </cacheField>
    <cacheField name="Order_Priority" numFmtId="0">
      <sharedItems count="3">
        <s v="Low"/>
        <s v="Medium"/>
        <s v="High"/>
      </sharedItems>
    </cacheField>
    <cacheField name="Region_Code" numFmtId="0">
      <sharedItems containsBlank="1" count="4">
        <m/>
        <s v="EU"/>
        <s v="SA"/>
        <s v="AS"/>
      </sharedItems>
    </cacheField>
    <cacheField name="Unit_Cost" numFmtId="0">
      <sharedItems containsSemiMixedTypes="0" containsString="0" containsNumber="1" minValue="12.75" maxValue="40"/>
    </cacheField>
    <cacheField name="Supplier" numFmtId="0">
      <sharedItems/>
    </cacheField>
    <cacheField name="Origin_Country" numFmtId="0">
      <sharedItems/>
    </cacheField>
    <cacheField name="Month" numFmtId="14">
      <sharedItems count="8">
        <s v="2025-01"/>
        <s v="2025-02"/>
        <s v="2024-04"/>
        <s v="2024-10"/>
        <s v="2024-06"/>
        <s v="2025-05"/>
        <s v="2024-09"/>
        <s v="2024-08"/>
      </sharedItems>
    </cacheField>
    <cacheField name="Profit Margin " numFmtId="9">
      <sharedItems containsSemiMixedTypes="0" containsString="0" containsNumber="1" minValue="0.15562636646973996" maxValue="0.39853915306363852"/>
    </cacheField>
    <cacheField name="Months (Order_Date)" numFmtId="0" databaseField="0">
      <fieldGroup base="1">
        <rangePr groupBy="months" startDate="2024-04-29T00:00:00" endDate="2025-05-02T00:00:00"/>
        <groupItems count="14">
          <s v="&lt;29-04-2024"/>
          <s v="Jan"/>
          <s v="Feb"/>
          <s v="Mar"/>
          <s v="Apr"/>
          <s v="May"/>
          <s v="Jun"/>
          <s v="Jul"/>
          <s v="Aug"/>
          <s v="Sep"/>
          <s v="Oct"/>
          <s v="Nov"/>
          <s v="Dec"/>
          <s v="&gt;02-05-2025"/>
        </groupItems>
      </fieldGroup>
    </cacheField>
    <cacheField name="Quarters (Order_Date)" numFmtId="0" databaseField="0">
      <fieldGroup base="1">
        <rangePr groupBy="quarters" startDate="2024-04-29T00:00:00" endDate="2025-05-02T00:00:00"/>
        <groupItems count="6">
          <s v="&lt;29-04-2024"/>
          <s v="Qtr1"/>
          <s v="Qtr2"/>
          <s v="Qtr3"/>
          <s v="Qtr4"/>
          <s v="&gt;02-05-2025"/>
        </groupItems>
      </fieldGroup>
    </cacheField>
    <cacheField name="Years (Order_Date)" numFmtId="0" databaseField="0">
      <fieldGroup base="1">
        <rangePr groupBy="years" startDate="2024-04-29T00:00:00" endDate="2025-05-02T00:00:00"/>
        <groupItems count="4">
          <s v="&lt;29-04-2024"/>
          <s v="2024"/>
          <s v="2025"/>
          <s v="&gt;02-05-2025"/>
        </groupItems>
      </fieldGroup>
    </cacheField>
  </cacheFields>
  <extLst>
    <ext xmlns:x14="http://schemas.microsoft.com/office/spreadsheetml/2009/9/main" uri="{725AE2AE-9491-48be-B2B4-4EB974FC3084}">
      <x14:pivotCacheDefinition pivotCacheId="1004873809"/>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
  <r>
    <s v="ORD_2025_0001"/>
    <x v="0"/>
    <s v="Smith, Emily"/>
    <s v="USA"/>
    <s v="Travel Backpack"/>
    <x v="0"/>
    <n v="20"/>
    <n v="55.22"/>
    <n v="1104.4000000000001"/>
    <n v="49.36"/>
    <n v="355.04"/>
    <s v="Land"/>
    <x v="0"/>
    <x v="0"/>
    <n v="35"/>
    <s v="CarryPro"/>
    <s v="Vietnam"/>
    <x v="0"/>
    <n v="0.32147772546178921"/>
  </r>
  <r>
    <s v="ORD_2025_0002"/>
    <x v="1"/>
    <s v="Brown, Laura"/>
    <s v="UK"/>
    <s v="Leather Wallet"/>
    <x v="0"/>
    <n v="33"/>
    <n v="32.03"/>
    <n v="1056.99"/>
    <n v="59.59"/>
    <n v="403.4"/>
    <s v="Sea"/>
    <x v="1"/>
    <x v="1"/>
    <n v="18"/>
    <s v="CraftLine"/>
    <s v="Italy"/>
    <x v="1"/>
    <n v="0.38164977908967918"/>
  </r>
  <r>
    <s v="ORD_2025_0003"/>
    <x v="2"/>
    <s v="Davis, John"/>
    <s v="Italy"/>
    <s v="Leather Wallet"/>
    <x v="0"/>
    <n v="34"/>
    <n v="28.48"/>
    <n v="968.32"/>
    <n v="73.95"/>
    <n v="282.37"/>
    <s v="Land"/>
    <x v="2"/>
    <x v="1"/>
    <n v="18"/>
    <s v="CraftLine"/>
    <s v="Italy"/>
    <x v="2"/>
    <n v="0.2916081460674157"/>
  </r>
  <r>
    <s v="ORD_2025_0004"/>
    <x v="3"/>
    <s v="Miller, Daniel"/>
    <s v="Brazil"/>
    <s v="Bluetooth Speaker"/>
    <x v="1"/>
    <n v="6"/>
    <n v="56.36"/>
    <n v="338.16"/>
    <n v="11.39"/>
    <n v="134.77000000000001"/>
    <s v="Air"/>
    <x v="1"/>
    <x v="2"/>
    <n v="32"/>
    <s v="AudioTech Ltd."/>
    <s v="China"/>
    <x v="3"/>
    <n v="0.39853915306363852"/>
  </r>
  <r>
    <s v="ORD_2025_0005"/>
    <x v="4"/>
    <s v="Johnson, Emma"/>
    <s v="Canada"/>
    <s v="Denim Jacket"/>
    <x v="2"/>
    <n v="17"/>
    <n v="69.22"/>
    <n v="1176.74"/>
    <n v="65.94"/>
    <n v="430.8"/>
    <s v="Sea"/>
    <x v="0"/>
    <x v="0"/>
    <n v="40"/>
    <s v="BlueWear"/>
    <s v="Bangladesh"/>
    <x v="1"/>
    <n v="0.36609616397844896"/>
  </r>
  <r>
    <s v="ORD_2025_0006"/>
    <x v="5"/>
    <s v="Johnson, Michael"/>
    <s v="Mexico"/>
    <s v="Wireless Mouse"/>
    <x v="1"/>
    <n v="13"/>
    <n v="27.94"/>
    <n v="363.22"/>
    <n v="15.36"/>
    <n v="87.86"/>
    <s v="Sea"/>
    <x v="0"/>
    <x v="0"/>
    <n v="20"/>
    <s v="ClickTech"/>
    <s v="China"/>
    <x v="1"/>
    <n v="0.2418919663014151"/>
  </r>
  <r>
    <s v="ORD_2025_0007"/>
    <x v="6"/>
    <s v="Hernandez, Emma"/>
    <s v="UK"/>
    <s v="Glass Bowl Set"/>
    <x v="3"/>
    <n v="3"/>
    <n v="31.52"/>
    <n v="94.56"/>
    <n v="6.98"/>
    <n v="20.079999999999998"/>
    <s v="Land"/>
    <x v="2"/>
    <x v="1"/>
    <n v="22.5"/>
    <s v="ClearCraft"/>
    <s v="India"/>
    <x v="4"/>
    <n v="0.21235194585448391"/>
  </r>
  <r>
    <s v="ORD_2025_0008"/>
    <x v="7"/>
    <s v="Miller, John"/>
    <s v="China"/>
    <s v="Cotton Bedsheet"/>
    <x v="4"/>
    <n v="14"/>
    <n v="30.71"/>
    <n v="429.94"/>
    <n v="13.03"/>
    <n v="66.91"/>
    <s v="Sea"/>
    <x v="0"/>
    <x v="3"/>
    <n v="25"/>
    <s v="SoftWeave"/>
    <s v="Turkey"/>
    <x v="5"/>
    <n v="0.15562636646973996"/>
  </r>
  <r>
    <s v="ORD_2025_0009"/>
    <x v="8"/>
    <s v="Davis, John"/>
    <s v="USA"/>
    <s v="Ceramic Vase"/>
    <x v="3"/>
    <n v="47"/>
    <n v="24.47"/>
    <n v="1150.0899999999999"/>
    <n v="61.3"/>
    <n v="360.29"/>
    <s v="Sea"/>
    <x v="0"/>
    <x v="0"/>
    <n v="15.5"/>
    <s v="Artisans Co."/>
    <s v="India"/>
    <x v="6"/>
    <n v="0.31327113530245465"/>
  </r>
  <r>
    <s v="ORD_2025_0010"/>
    <x v="9"/>
    <s v="Martinez, Laura"/>
    <s v="Italy"/>
    <s v="LED Lamp"/>
    <x v="1"/>
    <n v="27"/>
    <n v="18.98"/>
    <n v="512.46"/>
    <n v="28.89"/>
    <n v="139.32"/>
    <s v="Sea"/>
    <x v="2"/>
    <x v="1"/>
    <n v="12.75"/>
    <s v="BrightHome"/>
    <s v="Vietnam"/>
    <x v="7"/>
    <n v="0.2718651211801896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0992263-6FF3-46FD-94B3-0BBE7153B81F}"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Months" colHeaderCaption="Regions">
  <location ref="A19:K30" firstHeaderRow="1" firstDataRow="3" firstDataCol="1"/>
  <pivotFields count="22">
    <pivotField showAll="0"/>
    <pivotField numFmtId="166" showAll="0">
      <items count="11">
        <item x="2"/>
        <item x="6"/>
        <item x="9"/>
        <item x="8"/>
        <item x="3"/>
        <item x="0"/>
        <item x="1"/>
        <item x="4"/>
        <item x="5"/>
        <item x="7"/>
        <item t="default"/>
      </items>
    </pivotField>
    <pivotField showAll="0"/>
    <pivotField showAll="0"/>
    <pivotField showAll="0"/>
    <pivotField showAll="0">
      <items count="6">
        <item x="0"/>
        <item x="2"/>
        <item x="1"/>
        <item x="3"/>
        <item x="4"/>
        <item t="default"/>
      </items>
    </pivotField>
    <pivotField showAll="0"/>
    <pivotField showAll="0"/>
    <pivotField dataField="1" showAll="0"/>
    <pivotField showAll="0"/>
    <pivotField showAll="0"/>
    <pivotField showAll="0"/>
    <pivotField showAll="0">
      <items count="4">
        <item x="2"/>
        <item x="0"/>
        <item x="1"/>
        <item t="default"/>
      </items>
    </pivotField>
    <pivotField axis="axisCol" showAll="0">
      <items count="5">
        <item x="3"/>
        <item x="1"/>
        <item x="2"/>
        <item x="0"/>
        <item t="default"/>
      </items>
    </pivotField>
    <pivotField showAll="0"/>
    <pivotField showAll="0"/>
    <pivotField showAll="0"/>
    <pivotField showAll="0">
      <items count="9">
        <item x="2"/>
        <item x="4"/>
        <item x="7"/>
        <item x="6"/>
        <item x="3"/>
        <item x="0"/>
        <item x="1"/>
        <item x="5"/>
        <item t="default"/>
      </items>
    </pivotField>
    <pivotField dataField="1" numFmtId="9" showAll="0"/>
    <pivotField axis="axisRow"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5">
        <item sd="0" x="0"/>
        <item sd="0" x="1"/>
        <item sd="0" x="2"/>
        <item sd="0" x="3"/>
        <item t="default"/>
      </items>
    </pivotField>
  </pivotFields>
  <rowFields count="1">
    <field x="19"/>
  </rowFields>
  <rowItems count="9">
    <i>
      <x v="1"/>
    </i>
    <i>
      <x v="2"/>
    </i>
    <i>
      <x v="4"/>
    </i>
    <i>
      <x v="5"/>
    </i>
    <i>
      <x v="6"/>
    </i>
    <i>
      <x v="8"/>
    </i>
    <i>
      <x v="9"/>
    </i>
    <i>
      <x v="10"/>
    </i>
    <i t="grand">
      <x/>
    </i>
  </rowItems>
  <colFields count="2">
    <field x="13"/>
    <field x="-2"/>
  </colFields>
  <colItems count="10">
    <i>
      <x/>
      <x/>
    </i>
    <i r="1" i="1">
      <x v="1"/>
    </i>
    <i>
      <x v="1"/>
      <x/>
    </i>
    <i r="1" i="1">
      <x v="1"/>
    </i>
    <i>
      <x v="2"/>
      <x/>
    </i>
    <i r="1" i="1">
      <x v="1"/>
    </i>
    <i>
      <x v="3"/>
      <x/>
    </i>
    <i r="1" i="1">
      <x v="1"/>
    </i>
    <i t="grand">
      <x/>
    </i>
    <i t="grand" i="1">
      <x/>
    </i>
  </colItems>
  <dataFields count="2">
    <dataField name="Sum of Total_Sales" fld="8" baseField="0" baseItem="0"/>
    <dataField name="Average of Profit Margin " fld="18" subtotal="average" baseField="19" baseItem="2" numFmtId="9"/>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32173D5C-6E1A-4331-9E6E-DF31A8561894}" sourceName="Category">
  <pivotTables>
    <pivotTable tabId="20" name="PivotTable1"/>
  </pivotTables>
  <data>
    <tabular pivotCacheId="1004873809">
      <items count="5">
        <i x="0" s="1"/>
        <i x="2" s="1"/>
        <i x="1" s="1"/>
        <i x="3" s="1"/>
        <i x="4"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rder_Priority" xr10:uid="{8B48FE4D-9175-487A-8024-B7A6C2C94D77}" sourceName="Order_Priority">
  <pivotTables>
    <pivotTable tabId="20" name="PivotTable1"/>
  </pivotTables>
  <data>
    <tabular pivotCacheId="1004873809">
      <items count="3">
        <i x="2" s="1"/>
        <i x="0"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BA7F1DEB-838D-48A1-BE53-9B058FD53F75}" cache="Slicer_Category" caption="Category" rowHeight="257175"/>
  <slicer name="Order_Priority" xr10:uid="{3752BB7F-ED08-490A-A9F4-1D7D10D05EDC}" cache="Slicer_Order_Priority" caption="Order_Priority" rowHeight="257175"/>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0C928D4-C3CB-4074-9A9D-E579AE8C4A81}" name="Table7" displayName="Table7" ref="A1:D7" totalsRowShown="0" headerRowDxfId="133" dataDxfId="131" headerRowBorderDxfId="132" tableBorderDxfId="130">
  <autoFilter ref="A1:D7" xr:uid="{D0C928D4-C3CB-4074-9A9D-E579AE8C4A81}"/>
  <tableColumns count="4">
    <tableColumn id="1" xr3:uid="{E6B33D5F-3B2B-4733-8CB5-CE7167CF481D}" name="Region_Code" dataDxfId="129"/>
    <tableColumn id="2" xr3:uid="{55C4E2A5-110A-4A52-A4B1-A5E70AD2C344}" name="Region_Name" dataDxfId="128"/>
    <tableColumn id="3" xr3:uid="{9A72E2D9-50F1-452E-B8B1-53A1E484F02C}" name="Continent" dataDxfId="127"/>
    <tableColumn id="4" xr3:uid="{32714523-C819-4EF1-B3C8-294B92169D44}" name="Manager" dataDxfId="126"/>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DB3114C6-1C98-424D-93E3-3E7D2EAB2F20}" name="Table8" displayName="Table8" ref="A1:F11" totalsRowShown="0" headerRowDxfId="125" dataDxfId="123" headerRowBorderDxfId="124" tableBorderDxfId="122">
  <autoFilter ref="A1:F11" xr:uid="{DB3114C6-1C98-424D-93E3-3E7D2EAB2F20}"/>
  <tableColumns count="6">
    <tableColumn id="1" xr3:uid="{0A62CE14-91E0-41C4-A443-38C711400840}" name="Product_ID" dataDxfId="121"/>
    <tableColumn id="2" xr3:uid="{19B7D2FB-7A93-4E86-BB10-BC0CE404A79D}" name="Product" dataDxfId="120"/>
    <tableColumn id="3" xr3:uid="{4AA601AD-94F7-47D5-879F-33289185F475}" name="Category" dataDxfId="119"/>
    <tableColumn id="4" xr3:uid="{0D24B175-5016-4790-A7AC-448F72D5B4BB}" name="Supplier" dataDxfId="118"/>
    <tableColumn id="5" xr3:uid="{C8B88359-F6B3-4D97-82B0-921E5203AD9D}" name="Origin_Country" dataDxfId="117"/>
    <tableColumn id="6" xr3:uid="{EC7D1F49-CAD3-464D-91BA-4A4C9D93D1DF}" name="Unit_Cost" dataDxfId="116"/>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3EFD9DB-EB79-4CE9-B4F0-F52B9C040146}" name="Table10" displayName="Table10" ref="I1:N94" totalsRowShown="0" headerRowDxfId="115" headerRowBorderDxfId="114" tableBorderDxfId="113" totalsRowBorderDxfId="112">
  <autoFilter ref="I1:N94" xr:uid="{A3EFD9DB-EB79-4CE9-B4F0-F52B9C040146}"/>
  <tableColumns count="6">
    <tableColumn id="1" xr3:uid="{7BEEE4A7-6AA2-446C-89F1-43ED03013131}" name="Region_Code" dataDxfId="111"/>
    <tableColumn id="2" xr3:uid="{953F3A00-1B9D-44EB-85CD-FDFF270871D2}" name="Month" dataDxfId="110"/>
    <tableColumn id="3" xr3:uid="{EAF1A0A2-847A-4FB3-AE9F-D2DAB5660A7E}" name="Total_Sales" dataDxfId="109"/>
    <tableColumn id="4" xr3:uid="{1D046E7C-97B0-4865-B77C-F76837E21F33}" name="Total_Profit" dataDxfId="108"/>
    <tableColumn id="5" xr3:uid="{C9E27D04-E1C4-4336-8177-27ADDFFA71BD}" name="Shipments" dataDxfId="107"/>
    <tableColumn id="6" xr3:uid="{AE7289CA-CBF5-4B09-BA4C-21EC4058DEBF}" name="Returns" dataDxfId="106"/>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5D4240A5-49A7-4238-97AB-8D9C2F90FAF1}" name="Table11" displayName="Table11" ref="R1:T94" totalsRowShown="0" headerRowDxfId="105" headerRowBorderDxfId="104" tableBorderDxfId="103" totalsRowBorderDxfId="102">
  <autoFilter ref="R1:T94" xr:uid="{5D4240A5-49A7-4238-97AB-8D9C2F90FAF1}"/>
  <sortState xmlns:xlrd2="http://schemas.microsoft.com/office/spreadsheetml/2017/richdata2" ref="R2:T94">
    <sortCondition ref="R1:R94"/>
  </sortState>
  <tableColumns count="3">
    <tableColumn id="1" xr3:uid="{32257B18-8017-4047-914B-AD9FCBFFF508}" name="Month" dataDxfId="101"/>
    <tableColumn id="2" xr3:uid="{4B0E48AA-78A9-4B52-88F1-D43B7531687C}" name="Total_Sales" dataDxfId="100"/>
    <tableColumn id="3" xr3:uid="{D3ADD51D-C95A-4F27-9CBC-0FA4A8AF8056}" name="Total_Profit" dataDxfId="99"/>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4A4F2CA-DC04-44E8-99F9-E3F27CFE9063}" name="Table1" displayName="Table1" ref="A1:N501" totalsRowShown="0" headerRowDxfId="97" dataDxfId="95" headerRowBorderDxfId="96" tableBorderDxfId="94" totalsRowBorderDxfId="93">
  <autoFilter ref="A1:N501" xr:uid="{C4A4F2CA-DC04-44E8-99F9-E3F27CFE9063}"/>
  <tableColumns count="14">
    <tableColumn id="1" xr3:uid="{8293728B-43B8-4A98-8B8D-572CA1EB6A96}" name="Order_ID" dataDxfId="92"/>
    <tableColumn id="2" xr3:uid="{822836FC-D802-4E63-A5E1-63C2D5BFAE71}" name="Order_Date" dataDxfId="91"/>
    <tableColumn id="3" xr3:uid="{040BE5EF-AB4C-4041-B11E-0D1FE349C9A4}" name="Customer_Name" dataDxfId="90">
      <calculatedColumnFormula>TRIM(Sales_Data!C2)</calculatedColumnFormula>
    </tableColumn>
    <tableColumn id="4" xr3:uid="{EEEDC557-1570-4881-974B-43ADA4E14280}" name="Country" dataDxfId="89">
      <calculatedColumnFormula>PROPER(TRIM(Sales_Data!D2))</calculatedColumnFormula>
    </tableColumn>
    <tableColumn id="6" xr3:uid="{03F14192-0B3D-436D-B90C-E0D42E8D2421}" name="Product" dataDxfId="88"/>
    <tableColumn id="7" xr3:uid="{593B1167-64CB-42C8-8DA5-766FC8BF5E84}" name="Category" dataDxfId="87"/>
    <tableColumn id="8" xr3:uid="{E84B2D28-8A89-462A-B9D7-DC17B46DF649}" name="Quantity" dataDxfId="86"/>
    <tableColumn id="9" xr3:uid="{A86432B4-2855-484A-A751-C8EBAAB4221F}" name="Unit_Price" dataDxfId="85"/>
    <tableColumn id="10" xr3:uid="{84F38A0A-70ED-4361-8653-BDF3BC446CD9}" name="Total_Sales" dataDxfId="84">
      <calculatedColumnFormula>PRODUCT(Table1[[#This Row],[Quantity]],Table1[[#This Row],[Unit_Price]])</calculatedColumnFormula>
    </tableColumn>
    <tableColumn id="11" xr3:uid="{2C9F00CC-C6FF-4ADB-B77E-C91D2B072A9F}" name="Shipping_Cost" dataDxfId="83"/>
    <tableColumn id="12" xr3:uid="{CB8E684B-0BD2-427D-869B-49F76FE1CFEC}" name="Profit" dataDxfId="82"/>
    <tableColumn id="13" xr3:uid="{FD0C8884-C728-439E-BC92-EA67E2ECCCD2}" name="Ship_Mode" dataDxfId="81"/>
    <tableColumn id="14" xr3:uid="{C1F20791-D7D9-485A-A9D0-FE62E7081043}" name="Order_Priority" dataDxfId="80"/>
    <tableColumn id="15" xr3:uid="{1AEE5ED7-B065-47BC-A141-A0B0D71ECD44}" name="Region_Code" dataDxfId="79"/>
  </tableColumns>
  <tableStyleInfo name="TableStyleLight2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74C1A3E-0092-4DCD-B90B-D387FF3A7FA0}" name="Table15" displayName="Table15" ref="A1:Q501" totalsRowShown="0" headerRowDxfId="77" dataDxfId="75" headerRowBorderDxfId="76" tableBorderDxfId="74" totalsRowBorderDxfId="73">
  <autoFilter ref="A1:Q501" xr:uid="{B74C1A3E-0092-4DCD-B90B-D387FF3A7FA0}"/>
  <tableColumns count="17">
    <tableColumn id="1" xr3:uid="{A80893D0-8CFC-4F5A-A9D6-2473B466A4C1}" name="Order_ID" dataDxfId="72"/>
    <tableColumn id="2" xr3:uid="{8ECCBA76-E4A9-47E7-A2A7-7B165483BC8C}" name="Order_Date" dataDxfId="71"/>
    <tableColumn id="3" xr3:uid="{4A3BE498-5E4C-4DC0-AE60-6D40180B9758}" name="Customer_Name" dataDxfId="70"/>
    <tableColumn id="4" xr3:uid="{1ADD7563-1816-45FC-AA1C-95482D22B52F}" name="Country" dataDxfId="69">
      <calculatedColumnFormula>PROPER(TRIM(Sales_Data!D2))</calculatedColumnFormula>
    </tableColumn>
    <tableColumn id="6" xr3:uid="{3C87444E-65EA-47DB-B6E3-91DE225DC371}" name="Product" dataDxfId="68"/>
    <tableColumn id="7" xr3:uid="{4C1D01B6-0069-49C5-A30F-FA671D512C6A}" name="Category" dataDxfId="67"/>
    <tableColumn id="8" xr3:uid="{D7D0C0C8-50F9-4315-81B3-83BB334DB3A4}" name="Quantity" dataDxfId="66"/>
    <tableColumn id="9" xr3:uid="{C95317E7-25FA-4A36-93A4-405F054C8D3B}" name="Unit_Price" dataDxfId="65"/>
    <tableColumn id="10" xr3:uid="{7CFC395E-C45D-47AF-B610-EBC15BCD9CF4}" name="Total_Sales" dataDxfId="64">
      <calculatedColumnFormula>PRODUCT(Table15[[#This Row],[Quantity]],Table15[[#This Row],[Unit_Price]])</calculatedColumnFormula>
    </tableColumn>
    <tableColumn id="11" xr3:uid="{36BC21D8-DA97-413A-A066-30ED7C3E72DD}" name="Shipping_Cost" dataDxfId="63"/>
    <tableColumn id="12" xr3:uid="{3926C342-8626-418D-9683-3E34DA8312A5}" name="Profit" dataDxfId="62"/>
    <tableColumn id="13" xr3:uid="{019C5046-5D8C-4004-A47D-646A8B005984}" name="Ship_Mode" dataDxfId="61"/>
    <tableColumn id="14" xr3:uid="{A8EB3275-9C27-4778-91EF-EA2EB4620F86}" name="Order_Priority" dataDxfId="60"/>
    <tableColumn id="15" xr3:uid="{3ABD7E3D-EBE8-485A-AF91-E1B588CC84C7}" name="Region_Code" dataDxfId="59"/>
    <tableColumn id="5" xr3:uid="{D67DE686-76E2-4499-A6BD-56ACC0AEAFDA}" name="Unit_Cost" dataDxfId="58">
      <calculatedColumnFormula>VLOOKUP(E2,Product_Master!$B$2:$F$11,5,FALSE)</calculatedColumnFormula>
    </tableColumn>
    <tableColumn id="17" xr3:uid="{06F0C3AA-9FD4-4474-8575-40A50C9A8417}" name="COGS" dataDxfId="57">
      <calculatedColumnFormula>PRODUCT(Table15[[#This Row],[Quantity]],Table15[[#This Row],[Unit_Cost]])</calculatedColumnFormula>
    </tableColumn>
    <tableColumn id="16" xr3:uid="{3BA35B00-D01D-4A48-8DC8-4501C507271F}" name="Profit Margin %" dataDxfId="56">
      <calculatedColumnFormula>(Table15[[#This Row],[Profit]]/Table15[[#This Row],[Total_Sales]])</calculatedColumnFormula>
    </tableColumn>
  </tableColumns>
  <tableStyleInfo name="TableStyleLight2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C418C9E-9A79-45F2-BC85-B92B2448FE47}" name="Table6" displayName="Table6" ref="S13:U14" totalsRowShown="0" headerRowDxfId="4" dataDxfId="3">
  <autoFilter ref="S13:U14" xr:uid="{8C418C9E-9A79-45F2-BC85-B92B2448FE47}"/>
  <tableColumns count="3">
    <tableColumn id="1" xr3:uid="{EA5CE79C-4D9E-49B0-95A8-7064C66B05EC}" name="Average_Profit_Margin" dataDxfId="2">
      <calculatedColumnFormula>AVERAGE(Table15[Profit Margin %])</calculatedColumnFormula>
    </tableColumn>
    <tableColumn id="2" xr3:uid="{A1B4CC08-5060-4242-A19D-D20F8197FE62}" name="Min_Profit_Margin" dataDxfId="1">
      <calculatedColumnFormula>MIN(Table15[Profit Margin %])</calculatedColumnFormula>
    </tableColumn>
    <tableColumn id="3" xr3:uid="{92EB18B4-CE0C-4A52-8BC0-1EE34480F5B2}" name="Max_Profit_Margin" dataDxfId="0">
      <calculatedColumnFormula>MAX(Table15[Profit Margin %])</calculatedColumnFormula>
    </tableColum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6630E12-623E-48C3-AE0F-C5957D7EE25D}" name="Table5" displayName="Table5" ref="A1:D501" totalsRowShown="0" headerRowDxfId="55" dataDxfId="53" headerRowBorderDxfId="54" tableBorderDxfId="52" totalsRowBorderDxfId="51">
  <autoFilter ref="A1:D501" xr:uid="{06630E12-623E-48C3-AE0F-C5957D7EE25D}"/>
  <tableColumns count="4">
    <tableColumn id="1" xr3:uid="{9F0BED29-DC38-4669-ABC5-1314C96C4423}" name="Customer_Name" dataDxfId="50"/>
    <tableColumn id="2" xr3:uid="{EE2754AC-73C8-4511-BCE1-8AAC496602AF}" name="First_Name" dataDxfId="49">
      <calculatedColumnFormula>RIGHT(Table5[[#This Row],[Customer_Name]],LEN(Table5[[#This Row],[Customer_Name]])-FIND(",",Table5[[#This Row],[Customer_Name]])-1)</calculatedColumnFormula>
    </tableColumn>
    <tableColumn id="3" xr3:uid="{ECBDA51D-FDE1-4713-91AE-799473A1A2EC}" name="Last_Name" dataDxfId="48">
      <calculatedColumnFormula>LEFT(Table5[[#This Row],[Customer_Name]],FIND(",",Table5[[#This Row],[Customer_Name]])-1)</calculatedColumnFormula>
    </tableColumn>
    <tableColumn id="4" xr3:uid="{8DFC2750-84E8-4F49-B987-F6CFC0D3EED5}" name="Customer_Code" dataDxfId="47">
      <calculatedColumnFormula>LEFT(Table5[[#This Row],[First_Name]],2)&amp;LEFT(Table5[[#This Row],[Last_Name]],2)&amp;ROW()</calculatedColumnFormula>
    </tableColumn>
  </tableColumns>
  <tableStyleInfo name="TableStyleMedium5"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DEB719B-1474-4124-A29B-7E5C8E286105}" name="Table2" displayName="Table2" ref="A1:D501" totalsRowShown="0" headerRowDxfId="44" dataDxfId="42" headerRowBorderDxfId="43" tableBorderDxfId="41" totalsRowBorderDxfId="40">
  <autoFilter ref="A1:D501" xr:uid="{6DEB719B-1474-4124-A29B-7E5C8E286105}"/>
  <tableColumns count="4">
    <tableColumn id="1" xr3:uid="{8E2FEC46-1D27-43D1-BEC5-B8E1048AC3C7}" name="Total_Sales" dataDxfId="39">
      <calculatedColumnFormula>PRODUCT(Table1[[#This Row],[Quantity]],Table1[[#This Row],[Unit_Price]])</calculatedColumnFormula>
    </tableColumn>
    <tableColumn id="2" xr3:uid="{1D538AFC-E344-459E-A595-B8D4BDF06B5C}" name="Profit" dataDxfId="38"/>
    <tableColumn id="3" xr3:uid="{B1BC249A-9317-4D80-B819-E60D65B6BDD8}" name="Profit_Margin %" dataDxfId="37">
      <calculatedColumnFormula>Table2[[#This Row],[Profit]]/Table2[[#This Row],[Total_Sales]]</calculatedColumnFormula>
    </tableColumn>
    <tableColumn id="4" xr3:uid="{97ADE925-4267-4AB2-9A2D-5C7557BBAE03}" name="Performance Flag" dataDxfId="36">
      <calculatedColumnFormula>IF(AND(Table2[[#This Row],[Profit_Margin %]]&gt;20%,Table2[[#This Row],[Total_Sales]]&gt;2000),"Excellent",IF(AND(Table2[[#This Row],[Profit_Margin %]]&gt;=10%,Table2[[#This Row],[Profit_Margin %]]&lt;=20%),"Good","Needs Improvement"))</calculatedColumnFormula>
    </tableColumn>
  </tableColumns>
  <tableStyleInfo name="TableStyleMedium3"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95896A84-FD39-48EE-B28C-BF1B92CF88E4}" name="Table9" displayName="Table9" ref="A2:D12" totalsRowShown="0" headerRowDxfId="35" dataDxfId="34">
  <autoFilter ref="A2:D12" xr:uid="{95896A84-FD39-48EE-B28C-BF1B92CF88E4}"/>
  <tableColumns count="4">
    <tableColumn id="1" xr3:uid="{87AB7F6B-F96A-4BF4-9C5F-2675C079593A}" name="Product_ID" dataDxfId="33"/>
    <tableColumn id="2" xr3:uid="{2C5B1D4D-C1AD-47CF-B9A7-2B9E49A50974}" name="Supplier" dataDxfId="32">
      <calculatedColumnFormula>INDEX(Product_Master!$A$15:$F$24,MATCH(Table9[[#This Row],[Product_ID]],Product_Master!$A$15:$A$24,0),MATCH(Table9[[#Headers],[Supplier]],Product_Master!$A$14:$F$14,0))</calculatedColumnFormula>
    </tableColumn>
    <tableColumn id="3" xr3:uid="{673E257D-E04F-427D-B8E9-D788AD7EADAD}" name="Origin_Country" dataDxfId="31">
      <calculatedColumnFormula>INDEX(Product_Master!$A$15:$F$24,MATCH(Table9[[#This Row],[Product_ID]],Product_Master!$A$15:$A$24,0),MATCH(Table9[[#Headers],[Origin_Country]],Product_Master!$A$14:$F$14,0))</calculatedColumnFormula>
    </tableColumn>
    <tableColumn id="4" xr3:uid="{5A8C64F4-BB44-4677-8356-D3116C7D84B9}" name="Region Name" dataDxfId="30">
      <calculatedColumnFormula>IFERROR(VLOOKUP(Table9[[#This Row],[Origin_Country]],Region_Master!$A$11:$D$16,2,0),"Not Found")</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79AFF54-8AC5-4895-98CB-A30DD414954E}" name="Table3" displayName="Table3" ref="A1:C18" totalsRowShown="0" headerRowDxfId="29" dataDxfId="28" tableBorderDxfId="27">
  <autoFilter ref="A1:C18" xr:uid="{F5706D6E-AC34-4FAA-8EAD-F2841422827A}"/>
  <tableColumns count="3">
    <tableColumn id="1" xr3:uid="{44D1048A-3601-4498-B301-112424721F58}" name="Month" dataDxfId="26"/>
    <tableColumn id="2" xr3:uid="{1B12F237-FB29-4401-958C-E1DBEEC9F634}" name="Total Sales" dataDxfId="25"/>
    <tableColumn id="3" xr3:uid="{D9315BE9-CC81-4E18-91FD-90F7C460472C}" name="Profit" dataDxfId="24"/>
  </tableColumns>
  <tableStyleInfo name="TableStyleLight2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7DDAECE2-ABC1-46C7-8B1B-A3ACC50A7CC3}" name="Table18" displayName="Table18" ref="A28:F34" totalsRowShown="0" dataDxfId="22" headerRowBorderDxfId="23" tableBorderDxfId="21" totalsRowBorderDxfId="20">
  <autoFilter ref="A28:F34" xr:uid="{7DDAECE2-ABC1-46C7-8B1B-A3ACC50A7CC3}"/>
  <tableColumns count="6">
    <tableColumn id="1" xr3:uid="{208E1DD1-5837-49C1-8833-B9272B130F8B}" name="Region_Code" dataDxfId="19"/>
    <tableColumn id="2" xr3:uid="{BDF4215C-E6A9-4C85-A448-70D6BBD61AA6}" name="Accessories" dataDxfId="18"/>
    <tableColumn id="3" xr3:uid="{DAE42F8B-0D97-466C-BDC4-BEA4FC99EF2F}" name="Apparel" dataDxfId="17"/>
    <tableColumn id="4" xr3:uid="{91678428-165F-4518-94FF-D3F07794A4C6}" name="Electronics" dataDxfId="16"/>
    <tableColumn id="5" xr3:uid="{4831B816-BB01-4EC8-8962-97213CF14487}" name="Home Decor" dataDxfId="15"/>
    <tableColumn id="6" xr3:uid="{51234BD8-DFBB-41B3-A5CF-0CCD7D64DFD0}" name="Textiles" dataDxfId="14"/>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9495F6A8-5BFB-4F7A-824C-BCB10B5528F0}" name="Macrosample" displayName="Macrosample" ref="K1:N501" totalsRowShown="0" headerRowDxfId="12" headerRowBorderDxfId="11" tableBorderDxfId="10" totalsRowBorderDxfId="9">
  <autoFilter ref="K1:N501" xr:uid="{9495F6A8-5BFB-4F7A-824C-BCB10B5528F0}"/>
  <tableColumns count="4">
    <tableColumn id="1" xr3:uid="{A05B05D7-6965-41E0-BB16-209267A1BE7B}" name="Order_ID" dataDxfId="8"/>
    <tableColumn id="2" xr3:uid="{C5B119D1-AA8E-43ED-9B7C-C65EEEAAB242}" name="Product" dataDxfId="7"/>
    <tableColumn id="3" xr3:uid="{8BA358DC-BBA9-49F6-8C4E-0F98962B61B5}" name="Category" dataDxfId="6"/>
    <tableColumn id="4" xr3:uid="{49B5D8C0-9B10-4715-83F6-78E3893E5772}" name="Profit Margin %" dataDxfId="5"/>
  </tableColumns>
  <tableStyleInfo name="TableStyleLight16"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table" Target="../tables/table6.xml"/></Relationships>
</file>

<file path=xl/worksheets/_rels/sheet7.xml.rels><?xml version="1.0" encoding="UTF-8" standalone="yes"?>
<Relationships xmlns="http://schemas.openxmlformats.org/package/2006/relationships"><Relationship Id="rId1" Type="http://schemas.openxmlformats.org/officeDocument/2006/relationships/table" Target="../tables/table8.xml"/></Relationships>
</file>

<file path=xl/worksheets/_rels/sheet8.xml.rels><?xml version="1.0" encoding="UTF-8" standalone="yes"?>
<Relationships xmlns="http://schemas.openxmlformats.org/package/2006/relationships"><Relationship Id="rId1" Type="http://schemas.openxmlformats.org/officeDocument/2006/relationships/table" Target="../tables/table9.xml"/></Relationships>
</file>

<file path=xl/worksheets/_rels/sheet9.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12.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table" Target="../tables/table11.xml"/><Relationship Id="rId1" Type="http://schemas.openxmlformats.org/officeDocument/2006/relationships/drawing" Target="../drawings/drawing2.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3.xml"/><Relationship Id="rId4" Type="http://schemas.openxmlformats.org/officeDocument/2006/relationships/table" Target="../tables/table13.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BB82EB-59AC-4209-82E6-092629404B28}">
  <sheetPr codeName="Sheet2"/>
  <dimension ref="A1:D16"/>
  <sheetViews>
    <sheetView topLeftCell="A4" zoomScale="204" workbookViewId="0">
      <selection activeCell="D10" sqref="D10:D16"/>
    </sheetView>
  </sheetViews>
  <sheetFormatPr defaultRowHeight="15" x14ac:dyDescent="0.25"/>
  <cols>
    <col min="1" max="1" width="17.7109375" bestFit="1" customWidth="1"/>
    <col min="2" max="2" width="18.140625" bestFit="1" customWidth="1"/>
    <col min="3" max="3" width="14.7109375" bestFit="1" customWidth="1"/>
    <col min="4" max="4" width="13.5703125" bestFit="1" customWidth="1"/>
  </cols>
  <sheetData>
    <row r="1" spans="1:4" x14ac:dyDescent="0.25">
      <c r="A1" s="19" t="s">
        <v>13</v>
      </c>
      <c r="B1" s="19" t="s">
        <v>703</v>
      </c>
      <c r="C1" s="19" t="s">
        <v>702</v>
      </c>
      <c r="D1" s="19" t="s">
        <v>701</v>
      </c>
    </row>
    <row r="2" spans="1:4" x14ac:dyDescent="0.25">
      <c r="A2" s="20" t="s">
        <v>21</v>
      </c>
      <c r="B2" s="20" t="s">
        <v>700</v>
      </c>
      <c r="C2" s="20" t="s">
        <v>691</v>
      </c>
      <c r="D2" s="20" t="s">
        <v>699</v>
      </c>
    </row>
    <row r="3" spans="1:4" x14ac:dyDescent="0.25">
      <c r="A3" s="20" t="s">
        <v>28</v>
      </c>
      <c r="B3" s="20" t="s">
        <v>698</v>
      </c>
      <c r="C3" s="20" t="s">
        <v>698</v>
      </c>
      <c r="D3" s="20" t="s">
        <v>697</v>
      </c>
    </row>
    <row r="4" spans="1:4" x14ac:dyDescent="0.25">
      <c r="A4" s="20" t="s">
        <v>58</v>
      </c>
      <c r="B4" s="20" t="s">
        <v>696</v>
      </c>
      <c r="C4" s="20" t="s">
        <v>696</v>
      </c>
      <c r="D4" s="20" t="s">
        <v>695</v>
      </c>
    </row>
    <row r="5" spans="1:4" x14ac:dyDescent="0.25">
      <c r="A5" s="20" t="s">
        <v>87</v>
      </c>
      <c r="B5" s="20" t="s">
        <v>694</v>
      </c>
      <c r="C5" s="20" t="s">
        <v>694</v>
      </c>
      <c r="D5" s="20" t="s">
        <v>693</v>
      </c>
    </row>
    <row r="6" spans="1:4" x14ac:dyDescent="0.25">
      <c r="A6" s="20" t="s">
        <v>39</v>
      </c>
      <c r="B6" s="20" t="s">
        <v>692</v>
      </c>
      <c r="C6" s="20" t="s">
        <v>691</v>
      </c>
      <c r="D6" s="20" t="s">
        <v>690</v>
      </c>
    </row>
    <row r="7" spans="1:4" x14ac:dyDescent="0.25">
      <c r="A7" s="20" t="s">
        <v>130</v>
      </c>
      <c r="B7" s="20" t="s">
        <v>689</v>
      </c>
      <c r="C7" s="20" t="s">
        <v>129</v>
      </c>
      <c r="D7" s="20" t="s">
        <v>688</v>
      </c>
    </row>
    <row r="10" spans="1:4" x14ac:dyDescent="0.25">
      <c r="A10" s="27" t="s">
        <v>13</v>
      </c>
      <c r="B10" s="27" t="s">
        <v>703</v>
      </c>
      <c r="C10" s="27" t="s">
        <v>702</v>
      </c>
      <c r="D10" s="27" t="s">
        <v>701</v>
      </c>
    </row>
    <row r="11" spans="1:4" x14ac:dyDescent="0.25">
      <c r="A11" t="s">
        <v>21</v>
      </c>
      <c r="B11" t="s">
        <v>700</v>
      </c>
      <c r="C11" t="s">
        <v>691</v>
      </c>
      <c r="D11" t="s">
        <v>699</v>
      </c>
    </row>
    <row r="12" spans="1:4" x14ac:dyDescent="0.25">
      <c r="A12" t="s">
        <v>28</v>
      </c>
      <c r="B12" t="s">
        <v>698</v>
      </c>
      <c r="C12" t="s">
        <v>698</v>
      </c>
      <c r="D12" t="s">
        <v>697</v>
      </c>
    </row>
    <row r="13" spans="1:4" x14ac:dyDescent="0.25">
      <c r="A13" t="s">
        <v>58</v>
      </c>
      <c r="B13" t="s">
        <v>696</v>
      </c>
      <c r="C13" t="s">
        <v>696</v>
      </c>
      <c r="D13" t="s">
        <v>695</v>
      </c>
    </row>
    <row r="14" spans="1:4" x14ac:dyDescent="0.25">
      <c r="A14" t="s">
        <v>87</v>
      </c>
      <c r="B14" t="s">
        <v>694</v>
      </c>
      <c r="C14" t="s">
        <v>694</v>
      </c>
      <c r="D14" t="s">
        <v>693</v>
      </c>
    </row>
    <row r="15" spans="1:4" x14ac:dyDescent="0.25">
      <c r="A15" t="s">
        <v>39</v>
      </c>
      <c r="B15" t="s">
        <v>692</v>
      </c>
      <c r="C15" t="s">
        <v>691</v>
      </c>
      <c r="D15" t="s">
        <v>690</v>
      </c>
    </row>
    <row r="16" spans="1:4" x14ac:dyDescent="0.25">
      <c r="A16" t="s">
        <v>130</v>
      </c>
      <c r="B16" t="s">
        <v>689</v>
      </c>
      <c r="C16" t="s">
        <v>129</v>
      </c>
      <c r="D16" t="s">
        <v>688</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E7E1E3-3F87-4013-8506-80A65A87F915}">
  <sheetPr codeName="Sheet1"/>
  <dimension ref="A1:F24"/>
  <sheetViews>
    <sheetView zoomScale="169" zoomScaleNormal="127" workbookViewId="0">
      <selection activeCell="F2" sqref="F2"/>
    </sheetView>
  </sheetViews>
  <sheetFormatPr defaultRowHeight="15" x14ac:dyDescent="0.25"/>
  <cols>
    <col min="1" max="1" width="15.42578125" bestFit="1" customWidth="1"/>
    <col min="2" max="2" width="17" bestFit="1" customWidth="1"/>
    <col min="3" max="3" width="13.7109375" bestFit="1" customWidth="1"/>
    <col min="4" max="4" width="14" bestFit="1" customWidth="1"/>
    <col min="5" max="5" width="19.28515625" bestFit="1" customWidth="1"/>
    <col min="6" max="6" width="14.42578125" bestFit="1" customWidth="1"/>
  </cols>
  <sheetData>
    <row r="1" spans="1:6" x14ac:dyDescent="0.25">
      <c r="A1" s="19" t="s">
        <v>655</v>
      </c>
      <c r="B1" s="19" t="s">
        <v>4</v>
      </c>
      <c r="C1" s="19" t="s">
        <v>5</v>
      </c>
      <c r="D1" s="19" t="s">
        <v>656</v>
      </c>
      <c r="E1" s="19" t="s">
        <v>657</v>
      </c>
      <c r="F1" s="19" t="s">
        <v>658</v>
      </c>
    </row>
    <row r="2" spans="1:6" x14ac:dyDescent="0.25">
      <c r="A2" s="20" t="s">
        <v>659</v>
      </c>
      <c r="B2" s="20" t="s">
        <v>36</v>
      </c>
      <c r="C2" s="20" t="s">
        <v>37</v>
      </c>
      <c r="D2" s="20" t="s">
        <v>660</v>
      </c>
      <c r="E2" s="20" t="s">
        <v>55</v>
      </c>
      <c r="F2" s="20">
        <v>32</v>
      </c>
    </row>
    <row r="3" spans="1:6" x14ac:dyDescent="0.25">
      <c r="A3" s="20" t="s">
        <v>661</v>
      </c>
      <c r="B3" s="20" t="s">
        <v>60</v>
      </c>
      <c r="C3" s="20" t="s">
        <v>52</v>
      </c>
      <c r="D3" s="20" t="s">
        <v>662</v>
      </c>
      <c r="E3" s="20" t="s">
        <v>177</v>
      </c>
      <c r="F3" s="20">
        <v>15.5</v>
      </c>
    </row>
    <row r="4" spans="1:6" x14ac:dyDescent="0.25">
      <c r="A4" s="20" t="s">
        <v>663</v>
      </c>
      <c r="B4" s="20" t="s">
        <v>25</v>
      </c>
      <c r="C4" s="20" t="s">
        <v>18</v>
      </c>
      <c r="D4" s="20" t="s">
        <v>664</v>
      </c>
      <c r="E4" s="20" t="s">
        <v>31</v>
      </c>
      <c r="F4" s="20">
        <v>18</v>
      </c>
    </row>
    <row r="5" spans="1:6" x14ac:dyDescent="0.25">
      <c r="A5" s="20" t="s">
        <v>665</v>
      </c>
      <c r="B5" s="20" t="s">
        <v>63</v>
      </c>
      <c r="C5" s="20" t="s">
        <v>37</v>
      </c>
      <c r="D5" s="20" t="s">
        <v>666</v>
      </c>
      <c r="E5" s="20" t="s">
        <v>667</v>
      </c>
      <c r="F5" s="20">
        <v>12.75</v>
      </c>
    </row>
    <row r="6" spans="1:6" x14ac:dyDescent="0.25">
      <c r="A6" s="20" t="s">
        <v>668</v>
      </c>
      <c r="B6" s="20" t="s">
        <v>56</v>
      </c>
      <c r="C6" s="20" t="s">
        <v>57</v>
      </c>
      <c r="D6" s="20" t="s">
        <v>669</v>
      </c>
      <c r="E6" s="20" t="s">
        <v>670</v>
      </c>
      <c r="F6" s="20">
        <v>25</v>
      </c>
    </row>
    <row r="7" spans="1:6" x14ac:dyDescent="0.25">
      <c r="A7" s="20" t="s">
        <v>671</v>
      </c>
      <c r="B7" s="20" t="s">
        <v>48</v>
      </c>
      <c r="C7" s="20" t="s">
        <v>37</v>
      </c>
      <c r="D7" s="20" t="s">
        <v>672</v>
      </c>
      <c r="E7" s="20" t="s">
        <v>55</v>
      </c>
      <c r="F7" s="20">
        <v>20</v>
      </c>
    </row>
    <row r="8" spans="1:6" x14ac:dyDescent="0.25">
      <c r="A8" s="20" t="s">
        <v>673</v>
      </c>
      <c r="B8" s="20" t="s">
        <v>51</v>
      </c>
      <c r="C8" s="20" t="s">
        <v>52</v>
      </c>
      <c r="D8" s="20" t="s">
        <v>674</v>
      </c>
      <c r="E8" s="20" t="s">
        <v>177</v>
      </c>
      <c r="F8" s="20">
        <v>22.5</v>
      </c>
    </row>
    <row r="9" spans="1:6" x14ac:dyDescent="0.25">
      <c r="A9" s="20" t="s">
        <v>675</v>
      </c>
      <c r="B9" s="20" t="s">
        <v>17</v>
      </c>
      <c r="C9" s="20" t="s">
        <v>18</v>
      </c>
      <c r="D9" s="20" t="s">
        <v>676</v>
      </c>
      <c r="E9" s="20" t="s">
        <v>667</v>
      </c>
      <c r="F9" s="20">
        <v>35</v>
      </c>
    </row>
    <row r="10" spans="1:6" x14ac:dyDescent="0.25">
      <c r="A10" s="20" t="s">
        <v>677</v>
      </c>
      <c r="B10" s="20" t="s">
        <v>83</v>
      </c>
      <c r="C10" s="20" t="s">
        <v>52</v>
      </c>
      <c r="D10" s="20" t="s">
        <v>666</v>
      </c>
      <c r="E10" s="20" t="s">
        <v>177</v>
      </c>
      <c r="F10" s="20">
        <v>28</v>
      </c>
    </row>
    <row r="11" spans="1:6" x14ac:dyDescent="0.25">
      <c r="A11" s="20" t="s">
        <v>678</v>
      </c>
      <c r="B11" s="20" t="s">
        <v>43</v>
      </c>
      <c r="C11" s="20" t="s">
        <v>44</v>
      </c>
      <c r="D11" s="20" t="s">
        <v>679</v>
      </c>
      <c r="E11" s="20" t="s">
        <v>680</v>
      </c>
      <c r="F11" s="20">
        <v>40</v>
      </c>
    </row>
    <row r="14" spans="1:6" x14ac:dyDescent="0.25">
      <c r="A14" s="27" t="s">
        <v>655</v>
      </c>
      <c r="B14" s="27" t="s">
        <v>4</v>
      </c>
      <c r="C14" s="27" t="s">
        <v>5</v>
      </c>
      <c r="D14" s="27" t="s">
        <v>656</v>
      </c>
      <c r="E14" s="27" t="s">
        <v>657</v>
      </c>
      <c r="F14" s="27" t="s">
        <v>658</v>
      </c>
    </row>
    <row r="15" spans="1:6" x14ac:dyDescent="0.25">
      <c r="A15" t="s">
        <v>659</v>
      </c>
      <c r="B15" t="s">
        <v>36</v>
      </c>
      <c r="C15" t="s">
        <v>37</v>
      </c>
      <c r="D15" t="s">
        <v>660</v>
      </c>
      <c r="E15" t="s">
        <v>55</v>
      </c>
      <c r="F15">
        <v>32</v>
      </c>
    </row>
    <row r="16" spans="1:6" x14ac:dyDescent="0.25">
      <c r="A16" t="s">
        <v>661</v>
      </c>
      <c r="B16" t="s">
        <v>60</v>
      </c>
      <c r="C16" t="s">
        <v>52</v>
      </c>
      <c r="D16" t="s">
        <v>662</v>
      </c>
      <c r="E16" t="s">
        <v>177</v>
      </c>
      <c r="F16">
        <v>15.5</v>
      </c>
    </row>
    <row r="17" spans="1:6" x14ac:dyDescent="0.25">
      <c r="A17" t="s">
        <v>663</v>
      </c>
      <c r="B17" t="s">
        <v>25</v>
      </c>
      <c r="C17" t="s">
        <v>18</v>
      </c>
      <c r="D17" t="s">
        <v>664</v>
      </c>
      <c r="E17" t="s">
        <v>31</v>
      </c>
      <c r="F17">
        <v>18</v>
      </c>
    </row>
    <row r="18" spans="1:6" x14ac:dyDescent="0.25">
      <c r="A18" t="s">
        <v>665</v>
      </c>
      <c r="B18" t="s">
        <v>63</v>
      </c>
      <c r="C18" t="s">
        <v>37</v>
      </c>
      <c r="D18" t="s">
        <v>666</v>
      </c>
      <c r="E18" t="s">
        <v>667</v>
      </c>
      <c r="F18">
        <v>12.75</v>
      </c>
    </row>
    <row r="19" spans="1:6" x14ac:dyDescent="0.25">
      <c r="A19" t="s">
        <v>668</v>
      </c>
      <c r="B19" t="s">
        <v>56</v>
      </c>
      <c r="C19" t="s">
        <v>57</v>
      </c>
      <c r="D19" t="s">
        <v>669</v>
      </c>
      <c r="E19" t="s">
        <v>670</v>
      </c>
      <c r="F19">
        <v>25</v>
      </c>
    </row>
    <row r="20" spans="1:6" x14ac:dyDescent="0.25">
      <c r="A20" t="s">
        <v>671</v>
      </c>
      <c r="B20" t="s">
        <v>48</v>
      </c>
      <c r="C20" t="s">
        <v>37</v>
      </c>
      <c r="D20" t="s">
        <v>672</v>
      </c>
      <c r="E20" t="s">
        <v>55</v>
      </c>
      <c r="F20">
        <v>20</v>
      </c>
    </row>
    <row r="21" spans="1:6" x14ac:dyDescent="0.25">
      <c r="A21" t="s">
        <v>673</v>
      </c>
      <c r="B21" t="s">
        <v>51</v>
      </c>
      <c r="C21" t="s">
        <v>52</v>
      </c>
      <c r="D21" t="s">
        <v>674</v>
      </c>
      <c r="E21" t="s">
        <v>177</v>
      </c>
      <c r="F21">
        <v>22.5</v>
      </c>
    </row>
    <row r="22" spans="1:6" x14ac:dyDescent="0.25">
      <c r="A22" t="s">
        <v>675</v>
      </c>
      <c r="B22" t="s">
        <v>17</v>
      </c>
      <c r="C22" t="s">
        <v>18</v>
      </c>
      <c r="D22" t="s">
        <v>676</v>
      </c>
      <c r="E22" t="s">
        <v>667</v>
      </c>
      <c r="F22">
        <v>35</v>
      </c>
    </row>
    <row r="23" spans="1:6" x14ac:dyDescent="0.25">
      <c r="A23" t="s">
        <v>677</v>
      </c>
      <c r="B23" t="s">
        <v>83</v>
      </c>
      <c r="C23" t="s">
        <v>52</v>
      </c>
      <c r="D23" t="s">
        <v>666</v>
      </c>
      <c r="E23" t="s">
        <v>177</v>
      </c>
      <c r="F23">
        <v>28</v>
      </c>
    </row>
    <row r="24" spans="1:6" x14ac:dyDescent="0.25">
      <c r="A24" t="s">
        <v>678</v>
      </c>
      <c r="B24" t="s">
        <v>43</v>
      </c>
      <c r="C24" t="s">
        <v>44</v>
      </c>
      <c r="D24" t="s">
        <v>679</v>
      </c>
      <c r="E24" t="s">
        <v>680</v>
      </c>
      <c r="F24">
        <v>40</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EC456D-F552-43A2-8E9B-0745D58ADF3A}">
  <sheetPr codeName="Sheet10"/>
  <dimension ref="A1:N501"/>
  <sheetViews>
    <sheetView zoomScale="161" zoomScaleNormal="192" workbookViewId="0">
      <selection activeCell="N1" sqref="N1"/>
    </sheetView>
  </sheetViews>
  <sheetFormatPr defaultRowHeight="15" x14ac:dyDescent="0.25"/>
  <cols>
    <col min="1" max="1" width="16.140625" bestFit="1" customWidth="1"/>
    <col min="2" max="2" width="19" customWidth="1"/>
    <col min="3" max="3" width="18.85546875" bestFit="1" customWidth="1"/>
    <col min="4" max="4" width="12.28515625" bestFit="1" customWidth="1"/>
    <col min="5" max="5" width="17.7109375" bestFit="1" customWidth="1"/>
    <col min="6" max="6" width="11.85546875" bestFit="1" customWidth="1"/>
    <col min="7" max="7" width="8.7109375" bestFit="1" customWidth="1"/>
    <col min="8" max="8" width="10.28515625" bestFit="1" customWidth="1"/>
    <col min="9" max="9" width="11" bestFit="1" customWidth="1"/>
    <col min="10" max="10" width="13.7109375" bestFit="1" customWidth="1"/>
    <col min="11" max="11" width="8" bestFit="1" customWidth="1"/>
    <col min="12" max="12" width="11.140625" bestFit="1" customWidth="1"/>
    <col min="13" max="13" width="13.85546875" bestFit="1" customWidth="1"/>
    <col min="14" max="14" width="12.7109375" bestFit="1" customWidth="1"/>
  </cols>
  <sheetData>
    <row r="1" spans="1:14" x14ac:dyDescent="0.25">
      <c r="A1" s="59" t="s">
        <v>0</v>
      </c>
      <c r="B1" s="59" t="s">
        <v>1</v>
      </c>
      <c r="C1" s="59" t="s">
        <v>2</v>
      </c>
      <c r="D1" s="59" t="s">
        <v>3</v>
      </c>
      <c r="E1" s="59" t="s">
        <v>4</v>
      </c>
      <c r="F1" s="59" t="s">
        <v>5</v>
      </c>
      <c r="G1" s="59" t="s">
        <v>6</v>
      </c>
      <c r="H1" s="59" t="s">
        <v>7</v>
      </c>
      <c r="I1" s="59" t="s">
        <v>8</v>
      </c>
      <c r="J1" s="59" t="s">
        <v>9</v>
      </c>
      <c r="K1" s="59" t="s">
        <v>10</v>
      </c>
      <c r="L1" s="59" t="s">
        <v>11</v>
      </c>
      <c r="M1" s="59" t="s">
        <v>12</v>
      </c>
      <c r="N1" s="59" t="s">
        <v>13</v>
      </c>
    </row>
    <row r="2" spans="1:14" x14ac:dyDescent="0.25">
      <c r="A2" s="1" t="s">
        <v>14</v>
      </c>
      <c r="B2" s="1">
        <v>45677</v>
      </c>
      <c r="C2" s="1" t="s">
        <v>15</v>
      </c>
      <c r="D2" s="1" t="s">
        <v>16</v>
      </c>
      <c r="E2" s="1" t="s">
        <v>17</v>
      </c>
      <c r="F2" s="1" t="s">
        <v>18</v>
      </c>
      <c r="G2" s="1">
        <v>20</v>
      </c>
      <c r="H2" s="1">
        <v>55.22</v>
      </c>
      <c r="I2" s="1">
        <v>1104.4000000000001</v>
      </c>
      <c r="J2" s="1">
        <v>49.36</v>
      </c>
      <c r="K2" s="1">
        <v>355.04</v>
      </c>
      <c r="L2" s="1" t="s">
        <v>19</v>
      </c>
      <c r="M2" s="1" t="s">
        <v>20</v>
      </c>
      <c r="N2" s="1" t="s">
        <v>21</v>
      </c>
    </row>
    <row r="3" spans="1:14" x14ac:dyDescent="0.25">
      <c r="A3" s="1" t="s">
        <v>22</v>
      </c>
      <c r="B3" s="1">
        <v>45702</v>
      </c>
      <c r="C3" s="1" t="s">
        <v>23</v>
      </c>
      <c r="D3" s="1" t="s">
        <v>24</v>
      </c>
      <c r="E3" s="1" t="s">
        <v>25</v>
      </c>
      <c r="F3" s="1" t="s">
        <v>18</v>
      </c>
      <c r="G3" s="1">
        <v>33</v>
      </c>
      <c r="H3" s="1">
        <v>32.03</v>
      </c>
      <c r="I3" s="1">
        <v>1056.99</v>
      </c>
      <c r="J3" s="1">
        <v>59.59</v>
      </c>
      <c r="K3" s="1">
        <v>403.4</v>
      </c>
      <c r="L3" s="1" t="s">
        <v>26</v>
      </c>
      <c r="M3" s="1" t="s">
        <v>27</v>
      </c>
      <c r="N3" s="1" t="s">
        <v>28</v>
      </c>
    </row>
    <row r="4" spans="1:14" x14ac:dyDescent="0.25">
      <c r="A4" s="1" t="s">
        <v>29</v>
      </c>
      <c r="B4" s="1">
        <v>45411</v>
      </c>
      <c r="C4" s="1" t="s">
        <v>30</v>
      </c>
      <c r="D4" s="1" t="s">
        <v>31</v>
      </c>
      <c r="E4" s="1" t="s">
        <v>25</v>
      </c>
      <c r="F4" s="1" t="s">
        <v>18</v>
      </c>
      <c r="G4" s="1">
        <v>34</v>
      </c>
      <c r="H4" s="1">
        <v>28.48</v>
      </c>
      <c r="I4" s="1">
        <v>968.32</v>
      </c>
      <c r="J4" s="1">
        <v>73.95</v>
      </c>
      <c r="K4" s="1">
        <v>282.37</v>
      </c>
      <c r="L4" s="1" t="s">
        <v>19</v>
      </c>
      <c r="M4" s="1" t="s">
        <v>32</v>
      </c>
      <c r="N4" s="1" t="s">
        <v>28</v>
      </c>
    </row>
    <row r="5" spans="1:14" x14ac:dyDescent="0.25">
      <c r="A5" s="1" t="s">
        <v>33</v>
      </c>
      <c r="B5" s="1" t="s">
        <v>940</v>
      </c>
      <c r="C5" s="1" t="s">
        <v>34</v>
      </c>
      <c r="D5" s="1" t="s">
        <v>35</v>
      </c>
      <c r="E5" s="1" t="s">
        <v>36</v>
      </c>
      <c r="F5" s="1" t="s">
        <v>37</v>
      </c>
      <c r="G5" s="1">
        <v>6</v>
      </c>
      <c r="H5" s="1">
        <v>56.36</v>
      </c>
      <c r="I5" s="1">
        <v>338.16</v>
      </c>
      <c r="J5" s="1">
        <v>11.39</v>
      </c>
      <c r="K5" s="1">
        <v>134.77000000000001</v>
      </c>
      <c r="L5" s="1" t="s">
        <v>38</v>
      </c>
      <c r="M5" s="1" t="s">
        <v>27</v>
      </c>
      <c r="N5" s="1" t="s">
        <v>39</v>
      </c>
    </row>
    <row r="6" spans="1:14" ht="15.75" customHeight="1" x14ac:dyDescent="0.25">
      <c r="A6" s="1" t="s">
        <v>40</v>
      </c>
      <c r="B6" s="1" t="s">
        <v>1045</v>
      </c>
      <c r="C6" s="1" t="s">
        <v>41</v>
      </c>
      <c r="D6" s="1" t="s">
        <v>42</v>
      </c>
      <c r="E6" s="1" t="s">
        <v>43</v>
      </c>
      <c r="F6" s="1" t="s">
        <v>44</v>
      </c>
      <c r="G6" s="1">
        <v>17</v>
      </c>
      <c r="H6" s="1">
        <v>69.22</v>
      </c>
      <c r="I6" s="1">
        <v>1176.74</v>
      </c>
      <c r="J6" s="1">
        <v>65.94</v>
      </c>
      <c r="K6" s="1">
        <v>430.8</v>
      </c>
      <c r="L6" s="1" t="s">
        <v>26</v>
      </c>
      <c r="M6" s="1" t="s">
        <v>20</v>
      </c>
      <c r="N6" s="1" t="s">
        <v>21</v>
      </c>
    </row>
    <row r="7" spans="1:14" x14ac:dyDescent="0.25">
      <c r="A7" s="1" t="s">
        <v>45</v>
      </c>
      <c r="B7" s="1" t="s">
        <v>1044</v>
      </c>
      <c r="C7" s="1" t="s">
        <v>46</v>
      </c>
      <c r="D7" s="1" t="s">
        <v>47</v>
      </c>
      <c r="E7" s="1" t="s">
        <v>48</v>
      </c>
      <c r="F7" s="1" t="s">
        <v>37</v>
      </c>
      <c r="G7" s="1">
        <v>13</v>
      </c>
      <c r="H7" s="1">
        <v>27.94</v>
      </c>
      <c r="I7" s="1">
        <v>363.22</v>
      </c>
      <c r="J7" s="1">
        <v>15.36</v>
      </c>
      <c r="K7" s="1">
        <v>87.86</v>
      </c>
      <c r="L7" s="1" t="s">
        <v>26</v>
      </c>
      <c r="M7" s="1" t="s">
        <v>20</v>
      </c>
      <c r="N7" s="1" t="s">
        <v>21</v>
      </c>
    </row>
    <row r="8" spans="1:14" x14ac:dyDescent="0.25">
      <c r="A8" s="1" t="s">
        <v>49</v>
      </c>
      <c r="B8" s="1" t="s">
        <v>1043</v>
      </c>
      <c r="C8" s="1" t="s">
        <v>50</v>
      </c>
      <c r="D8" s="1" t="s">
        <v>24</v>
      </c>
      <c r="E8" s="1" t="s">
        <v>51</v>
      </c>
      <c r="F8" s="1" t="s">
        <v>52</v>
      </c>
      <c r="G8" s="1">
        <v>3</v>
      </c>
      <c r="H8" s="1">
        <v>31.52</v>
      </c>
      <c r="I8" s="1">
        <v>94.56</v>
      </c>
      <c r="J8" s="1">
        <v>6.98</v>
      </c>
      <c r="K8" s="1">
        <v>20.079999999999998</v>
      </c>
      <c r="L8" s="1" t="s">
        <v>19</v>
      </c>
      <c r="M8" s="1" t="s">
        <v>32</v>
      </c>
      <c r="N8" s="1" t="s">
        <v>28</v>
      </c>
    </row>
    <row r="9" spans="1:14" x14ac:dyDescent="0.25">
      <c r="A9" s="1" t="s">
        <v>53</v>
      </c>
      <c r="B9" s="1" t="s">
        <v>930</v>
      </c>
      <c r="C9" s="1" t="s">
        <v>54</v>
      </c>
      <c r="D9" s="1" t="s">
        <v>55</v>
      </c>
      <c r="E9" s="1" t="s">
        <v>56</v>
      </c>
      <c r="F9" s="1" t="s">
        <v>57</v>
      </c>
      <c r="G9" s="1">
        <v>14</v>
      </c>
      <c r="H9" s="1">
        <v>30.71</v>
      </c>
      <c r="I9" s="1">
        <v>429.94</v>
      </c>
      <c r="J9" s="1">
        <v>13.03</v>
      </c>
      <c r="K9" s="1">
        <v>66.91</v>
      </c>
      <c r="L9" s="1" t="s">
        <v>26</v>
      </c>
      <c r="M9" s="1" t="s">
        <v>20</v>
      </c>
      <c r="N9" s="1" t="s">
        <v>58</v>
      </c>
    </row>
    <row r="10" spans="1:14" x14ac:dyDescent="0.25">
      <c r="A10" s="1" t="s">
        <v>59</v>
      </c>
      <c r="B10" s="1" t="s">
        <v>1042</v>
      </c>
      <c r="C10" s="1" t="s">
        <v>30</v>
      </c>
      <c r="D10" s="1" t="s">
        <v>16</v>
      </c>
      <c r="E10" s="1" t="s">
        <v>60</v>
      </c>
      <c r="F10" s="1" t="s">
        <v>52</v>
      </c>
      <c r="G10" s="1">
        <v>47</v>
      </c>
      <c r="H10" s="1">
        <v>24.47</v>
      </c>
      <c r="I10" s="1">
        <v>1150.0899999999999</v>
      </c>
      <c r="J10" s="1">
        <v>61.3</v>
      </c>
      <c r="K10" s="1">
        <v>360.29</v>
      </c>
      <c r="L10" s="1" t="s">
        <v>26</v>
      </c>
      <c r="M10" s="1" t="s">
        <v>20</v>
      </c>
      <c r="N10" s="1" t="s">
        <v>21</v>
      </c>
    </row>
    <row r="11" spans="1:14" x14ac:dyDescent="0.25">
      <c r="A11" s="1" t="s">
        <v>61</v>
      </c>
      <c r="B11" s="1" t="s">
        <v>1029</v>
      </c>
      <c r="C11" s="1" t="s">
        <v>62</v>
      </c>
      <c r="D11" s="1" t="s">
        <v>31</v>
      </c>
      <c r="E11" s="1" t="s">
        <v>63</v>
      </c>
      <c r="F11" s="1" t="s">
        <v>37</v>
      </c>
      <c r="G11" s="1">
        <v>27</v>
      </c>
      <c r="H11" s="1">
        <v>18.98</v>
      </c>
      <c r="I11" s="1">
        <v>512.46</v>
      </c>
      <c r="J11" s="1">
        <v>28.89</v>
      </c>
      <c r="K11" s="1">
        <v>139.32</v>
      </c>
      <c r="L11" s="1" t="s">
        <v>26</v>
      </c>
      <c r="M11" s="1" t="s">
        <v>32</v>
      </c>
      <c r="N11" s="1" t="s">
        <v>28</v>
      </c>
    </row>
    <row r="12" spans="1:14" x14ac:dyDescent="0.25">
      <c r="A12" s="1" t="s">
        <v>64</v>
      </c>
      <c r="B12" s="1" t="s">
        <v>986</v>
      </c>
      <c r="C12" s="1" t="s">
        <v>65</v>
      </c>
      <c r="D12" s="1" t="s">
        <v>55</v>
      </c>
      <c r="E12" s="1" t="s">
        <v>17</v>
      </c>
      <c r="F12" s="1" t="s">
        <v>18</v>
      </c>
      <c r="G12" s="1">
        <v>32</v>
      </c>
      <c r="H12" s="1">
        <v>57.84</v>
      </c>
      <c r="I12" s="1">
        <v>1850.88</v>
      </c>
      <c r="J12" s="1">
        <v>55.15</v>
      </c>
      <c r="K12" s="1">
        <v>675.73</v>
      </c>
      <c r="L12" s="1" t="s">
        <v>19</v>
      </c>
      <c r="M12" s="1" t="s">
        <v>20</v>
      </c>
      <c r="N12" s="1" t="s">
        <v>58</v>
      </c>
    </row>
    <row r="13" spans="1:14" x14ac:dyDescent="0.25">
      <c r="A13" s="1" t="s">
        <v>66</v>
      </c>
      <c r="B13" s="1" t="s">
        <v>1041</v>
      </c>
      <c r="C13" s="1" t="s">
        <v>67</v>
      </c>
      <c r="D13" s="1" t="s">
        <v>42</v>
      </c>
      <c r="E13" s="1" t="s">
        <v>43</v>
      </c>
      <c r="F13" s="1" t="s">
        <v>44</v>
      </c>
      <c r="G13" s="1">
        <v>49</v>
      </c>
      <c r="H13" s="1">
        <v>58.77</v>
      </c>
      <c r="I13" s="1">
        <v>2879.73</v>
      </c>
      <c r="J13" s="1">
        <v>140.29</v>
      </c>
      <c r="K13" s="1">
        <v>779.44</v>
      </c>
      <c r="L13" s="1" t="s">
        <v>38</v>
      </c>
      <c r="M13" s="1" t="s">
        <v>32</v>
      </c>
      <c r="N13" s="1" t="s">
        <v>21</v>
      </c>
    </row>
    <row r="14" spans="1:14" x14ac:dyDescent="0.25">
      <c r="A14" s="1" t="s">
        <v>68</v>
      </c>
      <c r="B14" s="1" t="s">
        <v>1002</v>
      </c>
      <c r="C14" s="1" t="s">
        <v>65</v>
      </c>
      <c r="D14" s="1" t="s">
        <v>69</v>
      </c>
      <c r="E14" s="1" t="s">
        <v>17</v>
      </c>
      <c r="F14" s="1" t="s">
        <v>18</v>
      </c>
      <c r="G14" s="1">
        <v>43</v>
      </c>
      <c r="H14" s="1">
        <v>56.92</v>
      </c>
      <c r="I14" s="1">
        <v>2447.56</v>
      </c>
      <c r="J14" s="1">
        <v>140.4</v>
      </c>
      <c r="K14" s="1">
        <v>802.16</v>
      </c>
      <c r="L14" s="1" t="s">
        <v>19</v>
      </c>
      <c r="M14" s="1" t="s">
        <v>27</v>
      </c>
      <c r="N14" s="1" t="s">
        <v>58</v>
      </c>
    </row>
    <row r="15" spans="1:14" x14ac:dyDescent="0.25">
      <c r="A15" s="1" t="s">
        <v>70</v>
      </c>
      <c r="B15" s="1" t="s">
        <v>802</v>
      </c>
      <c r="C15" s="1" t="s">
        <v>71</v>
      </c>
      <c r="D15" s="1" t="s">
        <v>31</v>
      </c>
      <c r="E15" s="1" t="s">
        <v>56</v>
      </c>
      <c r="F15" s="1" t="s">
        <v>57</v>
      </c>
      <c r="G15" s="1">
        <v>32</v>
      </c>
      <c r="H15" s="1">
        <v>43.45</v>
      </c>
      <c r="I15" s="1">
        <v>1390.4</v>
      </c>
      <c r="J15" s="1">
        <v>30.04</v>
      </c>
      <c r="K15" s="1">
        <v>560.36</v>
      </c>
      <c r="L15" s="1" t="s">
        <v>19</v>
      </c>
      <c r="M15" s="1" t="s">
        <v>32</v>
      </c>
      <c r="N15" s="1" t="s">
        <v>28</v>
      </c>
    </row>
    <row r="16" spans="1:14" x14ac:dyDescent="0.25">
      <c r="A16" s="1" t="s">
        <v>72</v>
      </c>
      <c r="B16" s="1" t="s">
        <v>981</v>
      </c>
      <c r="C16" s="1" t="s">
        <v>73</v>
      </c>
      <c r="D16" s="1" t="s">
        <v>74</v>
      </c>
      <c r="E16" s="1" t="s">
        <v>56</v>
      </c>
      <c r="F16" s="1" t="s">
        <v>57</v>
      </c>
      <c r="G16" s="1">
        <v>22</v>
      </c>
      <c r="H16" s="1">
        <v>42.59</v>
      </c>
      <c r="I16" s="1">
        <v>936.98</v>
      </c>
      <c r="J16" s="1">
        <v>29.87</v>
      </c>
      <c r="K16" s="1">
        <v>357.11</v>
      </c>
      <c r="L16" s="1" t="s">
        <v>26</v>
      </c>
      <c r="M16" s="1" t="s">
        <v>32</v>
      </c>
      <c r="N16" s="1" t="s">
        <v>58</v>
      </c>
    </row>
    <row r="17" spans="1:14" x14ac:dyDescent="0.25">
      <c r="A17" s="1" t="s">
        <v>75</v>
      </c>
      <c r="B17" s="1" t="s">
        <v>1040</v>
      </c>
      <c r="C17" s="1" t="s">
        <v>76</v>
      </c>
      <c r="D17" s="1" t="s">
        <v>77</v>
      </c>
      <c r="E17" s="1" t="s">
        <v>48</v>
      </c>
      <c r="F17" s="1" t="s">
        <v>37</v>
      </c>
      <c r="G17" s="1">
        <v>48</v>
      </c>
      <c r="H17" s="1">
        <v>25.36</v>
      </c>
      <c r="I17" s="1">
        <v>1217.28</v>
      </c>
      <c r="J17" s="1">
        <v>49.68</v>
      </c>
      <c r="K17" s="1">
        <v>207.6</v>
      </c>
      <c r="L17" s="1" t="s">
        <v>26</v>
      </c>
      <c r="M17" s="1" t="s">
        <v>20</v>
      </c>
      <c r="N17" s="1" t="s">
        <v>58</v>
      </c>
    </row>
    <row r="18" spans="1:14" x14ac:dyDescent="0.25">
      <c r="A18" s="1" t="s">
        <v>78</v>
      </c>
      <c r="B18" s="1" t="s">
        <v>837</v>
      </c>
      <c r="C18" s="1" t="s">
        <v>65</v>
      </c>
      <c r="D18" s="1" t="s">
        <v>74</v>
      </c>
      <c r="E18" s="1" t="s">
        <v>25</v>
      </c>
      <c r="F18" s="1" t="s">
        <v>18</v>
      </c>
      <c r="G18" s="1">
        <v>48</v>
      </c>
      <c r="H18" s="1">
        <v>30.07</v>
      </c>
      <c r="I18" s="1">
        <v>1443.36</v>
      </c>
      <c r="J18" s="1">
        <v>102.31</v>
      </c>
      <c r="K18" s="1">
        <v>477.05</v>
      </c>
      <c r="L18" s="1" t="s">
        <v>38</v>
      </c>
      <c r="M18" s="1" t="s">
        <v>20</v>
      </c>
      <c r="N18" s="1" t="s">
        <v>58</v>
      </c>
    </row>
    <row r="19" spans="1:14" x14ac:dyDescent="0.25">
      <c r="A19" s="1" t="s">
        <v>79</v>
      </c>
      <c r="B19" s="1" t="s">
        <v>846</v>
      </c>
      <c r="C19" s="1" t="s">
        <v>46</v>
      </c>
      <c r="D19" s="1" t="s">
        <v>74</v>
      </c>
      <c r="E19" s="1" t="s">
        <v>48</v>
      </c>
      <c r="F19" s="1" t="s">
        <v>37</v>
      </c>
      <c r="G19" s="1">
        <v>6</v>
      </c>
      <c r="H19" s="1">
        <v>32.17</v>
      </c>
      <c r="I19" s="1">
        <v>193.02</v>
      </c>
      <c r="J19" s="1">
        <v>14.45</v>
      </c>
      <c r="K19" s="1">
        <v>58.57</v>
      </c>
      <c r="L19" s="1" t="s">
        <v>38</v>
      </c>
      <c r="M19" s="1" t="s">
        <v>20</v>
      </c>
      <c r="N19" s="1" t="s">
        <v>58</v>
      </c>
    </row>
    <row r="20" spans="1:14" x14ac:dyDescent="0.25">
      <c r="A20" s="1" t="s">
        <v>80</v>
      </c>
      <c r="B20" s="1" t="s">
        <v>804</v>
      </c>
      <c r="C20" s="1" t="s">
        <v>81</v>
      </c>
      <c r="D20" s="1" t="s">
        <v>69</v>
      </c>
      <c r="E20" s="1" t="s">
        <v>25</v>
      </c>
      <c r="F20" s="1" t="s">
        <v>18</v>
      </c>
      <c r="G20" s="1">
        <v>37</v>
      </c>
      <c r="H20" s="1">
        <v>24.14</v>
      </c>
      <c r="I20" s="1">
        <v>893.18</v>
      </c>
      <c r="J20" s="1">
        <v>31.39</v>
      </c>
      <c r="K20" s="1">
        <v>195.79</v>
      </c>
      <c r="L20" s="1" t="s">
        <v>26</v>
      </c>
      <c r="M20" s="1" t="s">
        <v>27</v>
      </c>
      <c r="N20" s="1" t="s">
        <v>58</v>
      </c>
    </row>
    <row r="21" spans="1:14" x14ac:dyDescent="0.25">
      <c r="A21" s="1" t="s">
        <v>82</v>
      </c>
      <c r="B21" s="1" t="s">
        <v>1039</v>
      </c>
      <c r="C21" s="1" t="s">
        <v>41</v>
      </c>
      <c r="D21" s="1" t="s">
        <v>24</v>
      </c>
      <c r="E21" s="1" t="s">
        <v>83</v>
      </c>
      <c r="F21" s="1" t="s">
        <v>52</v>
      </c>
      <c r="G21" s="1">
        <v>39</v>
      </c>
      <c r="H21" s="1">
        <v>37.840000000000003</v>
      </c>
      <c r="I21" s="1">
        <v>1475.76</v>
      </c>
      <c r="J21" s="1">
        <v>73.400000000000006</v>
      </c>
      <c r="K21" s="1">
        <v>310.36</v>
      </c>
      <c r="L21" s="1" t="s">
        <v>26</v>
      </c>
      <c r="M21" s="1" t="s">
        <v>32</v>
      </c>
      <c r="N21" s="1" t="s">
        <v>28</v>
      </c>
    </row>
    <row r="22" spans="1:14" x14ac:dyDescent="0.25">
      <c r="A22" s="1" t="s">
        <v>84</v>
      </c>
      <c r="B22" s="1" t="s">
        <v>859</v>
      </c>
      <c r="C22" s="1" t="s">
        <v>85</v>
      </c>
      <c r="D22" s="1" t="s">
        <v>86</v>
      </c>
      <c r="E22" s="1" t="s">
        <v>43</v>
      </c>
      <c r="F22" s="1" t="s">
        <v>44</v>
      </c>
      <c r="G22" s="1">
        <v>6</v>
      </c>
      <c r="H22" s="1">
        <v>68.77</v>
      </c>
      <c r="I22" s="1">
        <v>412.62</v>
      </c>
      <c r="J22" s="1">
        <v>17.18</v>
      </c>
      <c r="K22" s="1">
        <v>155.44</v>
      </c>
      <c r="L22" s="1" t="s">
        <v>26</v>
      </c>
      <c r="M22" s="1" t="s">
        <v>20</v>
      </c>
      <c r="N22" s="1" t="s">
        <v>87</v>
      </c>
    </row>
    <row r="23" spans="1:14" x14ac:dyDescent="0.25">
      <c r="A23" s="1" t="s">
        <v>88</v>
      </c>
      <c r="B23" s="1" t="s">
        <v>1038</v>
      </c>
      <c r="C23" s="1" t="s">
        <v>89</v>
      </c>
      <c r="D23" s="1" t="s">
        <v>42</v>
      </c>
      <c r="E23" s="1" t="s">
        <v>63</v>
      </c>
      <c r="F23" s="1" t="s">
        <v>37</v>
      </c>
      <c r="G23" s="1">
        <v>6</v>
      </c>
      <c r="H23" s="1">
        <v>18.5</v>
      </c>
      <c r="I23" s="1">
        <v>111</v>
      </c>
      <c r="J23" s="1">
        <v>5.26</v>
      </c>
      <c r="K23" s="1">
        <v>29.24</v>
      </c>
      <c r="L23" s="1" t="s">
        <v>38</v>
      </c>
      <c r="M23" s="1" t="s">
        <v>27</v>
      </c>
      <c r="N23" s="1" t="s">
        <v>21</v>
      </c>
    </row>
    <row r="24" spans="1:14" x14ac:dyDescent="0.25">
      <c r="A24" s="1" t="s">
        <v>90</v>
      </c>
      <c r="B24" s="1" t="s">
        <v>991</v>
      </c>
      <c r="C24" s="1" t="s">
        <v>91</v>
      </c>
      <c r="D24" s="1" t="s">
        <v>31</v>
      </c>
      <c r="E24" s="1" t="s">
        <v>51</v>
      </c>
      <c r="F24" s="1" t="s">
        <v>52</v>
      </c>
      <c r="G24" s="1">
        <v>33</v>
      </c>
      <c r="H24" s="1">
        <v>28.96</v>
      </c>
      <c r="I24" s="1">
        <v>955.68</v>
      </c>
      <c r="J24" s="1">
        <v>49.07</v>
      </c>
      <c r="K24" s="1">
        <v>164.11</v>
      </c>
      <c r="L24" s="1" t="s">
        <v>26</v>
      </c>
      <c r="M24" s="1" t="s">
        <v>20</v>
      </c>
      <c r="N24" s="1" t="s">
        <v>28</v>
      </c>
    </row>
    <row r="25" spans="1:14" x14ac:dyDescent="0.25">
      <c r="A25" s="1" t="s">
        <v>92</v>
      </c>
      <c r="B25" s="1" t="s">
        <v>1037</v>
      </c>
      <c r="C25" s="1" t="s">
        <v>93</v>
      </c>
      <c r="D25" s="1" t="s">
        <v>42</v>
      </c>
      <c r="E25" s="1" t="s">
        <v>51</v>
      </c>
      <c r="F25" s="1" t="s">
        <v>52</v>
      </c>
      <c r="G25" s="1">
        <v>31</v>
      </c>
      <c r="H25" s="1">
        <v>35.020000000000003</v>
      </c>
      <c r="I25" s="1">
        <v>1085.6199999999999</v>
      </c>
      <c r="J25" s="1">
        <v>74.650000000000006</v>
      </c>
      <c r="K25" s="1">
        <v>313.47000000000003</v>
      </c>
      <c r="L25" s="1" t="s">
        <v>38</v>
      </c>
      <c r="M25" s="1" t="s">
        <v>20</v>
      </c>
      <c r="N25" s="1" t="s">
        <v>21</v>
      </c>
    </row>
    <row r="26" spans="1:14" x14ac:dyDescent="0.25">
      <c r="A26" s="1" t="s">
        <v>94</v>
      </c>
      <c r="B26" s="1" t="s">
        <v>741</v>
      </c>
      <c r="C26" s="1" t="s">
        <v>95</v>
      </c>
      <c r="D26" s="1" t="s">
        <v>42</v>
      </c>
      <c r="E26" s="1" t="s">
        <v>48</v>
      </c>
      <c r="F26" s="1" t="s">
        <v>37</v>
      </c>
      <c r="G26" s="1">
        <v>25</v>
      </c>
      <c r="H26" s="1">
        <v>31.57</v>
      </c>
      <c r="I26" s="1">
        <v>789.25</v>
      </c>
      <c r="J26" s="1">
        <v>56.47</v>
      </c>
      <c r="K26" s="1">
        <v>232.78</v>
      </c>
      <c r="L26" s="1" t="s">
        <v>26</v>
      </c>
      <c r="M26" s="1" t="s">
        <v>27</v>
      </c>
      <c r="N26" s="1" t="s">
        <v>21</v>
      </c>
    </row>
    <row r="27" spans="1:14" x14ac:dyDescent="0.25">
      <c r="A27" s="1" t="s">
        <v>96</v>
      </c>
      <c r="B27" s="1" t="s">
        <v>861</v>
      </c>
      <c r="C27" s="1" t="s">
        <v>97</v>
      </c>
      <c r="D27" s="1" t="s">
        <v>31</v>
      </c>
      <c r="E27" s="1" t="s">
        <v>60</v>
      </c>
      <c r="F27" s="1" t="s">
        <v>52</v>
      </c>
      <c r="G27" s="1">
        <v>14</v>
      </c>
      <c r="H27" s="1">
        <v>27.08</v>
      </c>
      <c r="I27" s="1">
        <v>379.12</v>
      </c>
      <c r="J27" s="1">
        <v>11.12</v>
      </c>
      <c r="K27" s="1">
        <v>151</v>
      </c>
      <c r="L27" s="1" t="s">
        <v>26</v>
      </c>
      <c r="M27" s="1" t="s">
        <v>32</v>
      </c>
      <c r="N27" s="1" t="s">
        <v>28</v>
      </c>
    </row>
    <row r="28" spans="1:14" x14ac:dyDescent="0.25">
      <c r="A28" s="1" t="s">
        <v>98</v>
      </c>
      <c r="B28" s="1" t="s">
        <v>1009</v>
      </c>
      <c r="C28" s="1" t="s">
        <v>34</v>
      </c>
      <c r="D28" s="1" t="s">
        <v>31</v>
      </c>
      <c r="E28" s="1" t="s">
        <v>83</v>
      </c>
      <c r="F28" s="1" t="s">
        <v>52</v>
      </c>
      <c r="G28" s="1">
        <v>39</v>
      </c>
      <c r="H28" s="1">
        <v>35.32</v>
      </c>
      <c r="I28" s="1">
        <v>1377.48</v>
      </c>
      <c r="J28" s="1">
        <v>63.72</v>
      </c>
      <c r="K28" s="1">
        <v>221.76</v>
      </c>
      <c r="L28" s="1" t="s">
        <v>26</v>
      </c>
      <c r="M28" s="1" t="s">
        <v>27</v>
      </c>
      <c r="N28" s="1" t="s">
        <v>28</v>
      </c>
    </row>
    <row r="29" spans="1:14" x14ac:dyDescent="0.25">
      <c r="A29" s="1" t="s">
        <v>99</v>
      </c>
      <c r="B29" s="1" t="s">
        <v>1036</v>
      </c>
      <c r="C29" s="1" t="s">
        <v>100</v>
      </c>
      <c r="D29" s="1" t="s">
        <v>55</v>
      </c>
      <c r="E29" s="1" t="s">
        <v>51</v>
      </c>
      <c r="F29" s="1" t="s">
        <v>52</v>
      </c>
      <c r="G29" s="1">
        <v>6</v>
      </c>
      <c r="H29" s="1">
        <v>39.630000000000003</v>
      </c>
      <c r="I29" s="1">
        <v>237.78</v>
      </c>
      <c r="J29" s="1">
        <v>8.08</v>
      </c>
      <c r="K29" s="1">
        <v>94.7</v>
      </c>
      <c r="L29" s="1" t="s">
        <v>19</v>
      </c>
      <c r="M29" s="1" t="s">
        <v>32</v>
      </c>
      <c r="N29" s="1" t="s">
        <v>58</v>
      </c>
    </row>
    <row r="30" spans="1:14" x14ac:dyDescent="0.25">
      <c r="A30" s="1" t="s">
        <v>101</v>
      </c>
      <c r="B30" s="1" t="s">
        <v>900</v>
      </c>
      <c r="C30" s="1" t="s">
        <v>102</v>
      </c>
      <c r="D30" s="1" t="s">
        <v>86</v>
      </c>
      <c r="E30" s="1" t="s">
        <v>43</v>
      </c>
      <c r="F30" s="1" t="s">
        <v>44</v>
      </c>
      <c r="G30" s="1">
        <v>36</v>
      </c>
      <c r="H30" s="1">
        <v>68.400000000000006</v>
      </c>
      <c r="I30" s="1">
        <v>2462.4</v>
      </c>
      <c r="J30" s="1">
        <v>150.83000000000001</v>
      </c>
      <c r="K30" s="1">
        <v>871.57</v>
      </c>
      <c r="L30" s="1" t="s">
        <v>26</v>
      </c>
      <c r="M30" s="1" t="s">
        <v>20</v>
      </c>
      <c r="N30" s="1" t="s">
        <v>87</v>
      </c>
    </row>
    <row r="31" spans="1:14" x14ac:dyDescent="0.25">
      <c r="A31" s="1" t="s">
        <v>103</v>
      </c>
      <c r="B31" s="1" t="s">
        <v>1035</v>
      </c>
      <c r="C31" s="1" t="s">
        <v>76</v>
      </c>
      <c r="D31" s="1" t="s">
        <v>31</v>
      </c>
      <c r="E31" s="1" t="s">
        <v>56</v>
      </c>
      <c r="F31" s="1" t="s">
        <v>57</v>
      </c>
      <c r="G31" s="1">
        <v>1</v>
      </c>
      <c r="H31" s="1">
        <v>44.98</v>
      </c>
      <c r="I31" s="1">
        <v>44.98</v>
      </c>
      <c r="J31" s="1">
        <v>2.81</v>
      </c>
      <c r="K31" s="1">
        <v>17.170000000000002</v>
      </c>
      <c r="L31" s="1" t="s">
        <v>26</v>
      </c>
      <c r="M31" s="1" t="s">
        <v>27</v>
      </c>
      <c r="N31" s="1" t="s">
        <v>28</v>
      </c>
    </row>
    <row r="32" spans="1:14" x14ac:dyDescent="0.25">
      <c r="A32" s="1" t="s">
        <v>104</v>
      </c>
      <c r="B32" s="1" t="s">
        <v>811</v>
      </c>
      <c r="C32" s="1" t="s">
        <v>105</v>
      </c>
      <c r="D32" s="1" t="s">
        <v>106</v>
      </c>
      <c r="E32" s="1" t="s">
        <v>83</v>
      </c>
      <c r="F32" s="1" t="s">
        <v>52</v>
      </c>
      <c r="G32" s="1">
        <v>3</v>
      </c>
      <c r="H32" s="1">
        <v>37.74</v>
      </c>
      <c r="I32" s="1">
        <v>113.22</v>
      </c>
      <c r="J32" s="1">
        <v>4.04</v>
      </c>
      <c r="K32" s="1">
        <v>25.18</v>
      </c>
      <c r="L32" s="1" t="s">
        <v>26</v>
      </c>
      <c r="M32" s="1" t="s">
        <v>27</v>
      </c>
      <c r="N32" s="1" t="s">
        <v>28</v>
      </c>
    </row>
    <row r="33" spans="1:14" x14ac:dyDescent="0.25">
      <c r="A33" s="1" t="s">
        <v>107</v>
      </c>
      <c r="B33" s="1" t="s">
        <v>928</v>
      </c>
      <c r="C33" s="1" t="s">
        <v>108</v>
      </c>
      <c r="D33" s="1" t="s">
        <v>106</v>
      </c>
      <c r="E33" s="1" t="s">
        <v>56</v>
      </c>
      <c r="F33" s="1" t="s">
        <v>57</v>
      </c>
      <c r="G33" s="1">
        <v>12</v>
      </c>
      <c r="H33" s="1">
        <v>39.799999999999997</v>
      </c>
      <c r="I33" s="1">
        <v>477.6</v>
      </c>
      <c r="J33" s="1">
        <v>20.54</v>
      </c>
      <c r="K33" s="1">
        <v>157.06</v>
      </c>
      <c r="L33" s="1" t="s">
        <v>38</v>
      </c>
      <c r="M33" s="1" t="s">
        <v>27</v>
      </c>
      <c r="N33" s="1" t="s">
        <v>28</v>
      </c>
    </row>
    <row r="34" spans="1:14" x14ac:dyDescent="0.25">
      <c r="A34" s="1" t="s">
        <v>109</v>
      </c>
      <c r="B34" s="1" t="s">
        <v>1034</v>
      </c>
      <c r="C34" s="1" t="s">
        <v>110</v>
      </c>
      <c r="D34" s="1" t="s">
        <v>55</v>
      </c>
      <c r="E34" s="1" t="s">
        <v>36</v>
      </c>
      <c r="F34" s="1" t="s">
        <v>37</v>
      </c>
      <c r="G34" s="1">
        <v>26</v>
      </c>
      <c r="H34" s="1">
        <v>43.23</v>
      </c>
      <c r="I34" s="1">
        <v>1123.98</v>
      </c>
      <c r="J34" s="1">
        <v>57.2</v>
      </c>
      <c r="K34" s="1">
        <v>234.78</v>
      </c>
      <c r="L34" s="1" t="s">
        <v>26</v>
      </c>
      <c r="M34" s="1" t="s">
        <v>32</v>
      </c>
      <c r="N34" s="1" t="s">
        <v>58</v>
      </c>
    </row>
    <row r="35" spans="1:14" x14ac:dyDescent="0.25">
      <c r="A35" s="1" t="s">
        <v>111</v>
      </c>
      <c r="B35" s="1" t="s">
        <v>863</v>
      </c>
      <c r="C35" s="1" t="s">
        <v>34</v>
      </c>
      <c r="D35" s="1" t="s">
        <v>31</v>
      </c>
      <c r="E35" s="1" t="s">
        <v>43</v>
      </c>
      <c r="F35" s="1" t="s">
        <v>44</v>
      </c>
      <c r="G35" s="1">
        <v>17</v>
      </c>
      <c r="H35" s="1">
        <v>66.34</v>
      </c>
      <c r="I35" s="1">
        <v>1127.78</v>
      </c>
      <c r="J35" s="1">
        <v>81.150000000000006</v>
      </c>
      <c r="K35" s="1">
        <v>366.63</v>
      </c>
      <c r="L35" s="1" t="s">
        <v>26</v>
      </c>
      <c r="M35" s="1" t="s">
        <v>32</v>
      </c>
      <c r="N35" s="1" t="s">
        <v>28</v>
      </c>
    </row>
    <row r="36" spans="1:14" x14ac:dyDescent="0.25">
      <c r="A36" s="1" t="s">
        <v>112</v>
      </c>
      <c r="B36" s="1" t="s">
        <v>1033</v>
      </c>
      <c r="C36" s="1" t="s">
        <v>113</v>
      </c>
      <c r="D36" s="1" t="s">
        <v>69</v>
      </c>
      <c r="E36" s="1" t="s">
        <v>56</v>
      </c>
      <c r="F36" s="1" t="s">
        <v>57</v>
      </c>
      <c r="G36" s="1">
        <v>4</v>
      </c>
      <c r="H36" s="1">
        <v>33.869999999999997</v>
      </c>
      <c r="I36" s="1">
        <v>135.47999999999999</v>
      </c>
      <c r="J36" s="1">
        <v>6.59</v>
      </c>
      <c r="K36" s="1">
        <v>28.89</v>
      </c>
      <c r="L36" s="1" t="s">
        <v>19</v>
      </c>
      <c r="M36" s="1" t="s">
        <v>32</v>
      </c>
      <c r="N36" s="1" t="s">
        <v>58</v>
      </c>
    </row>
    <row r="37" spans="1:14" x14ac:dyDescent="0.25">
      <c r="A37" s="1" t="s">
        <v>114</v>
      </c>
      <c r="B37" s="1" t="s">
        <v>1032</v>
      </c>
      <c r="C37" s="1" t="s">
        <v>115</v>
      </c>
      <c r="D37" s="1" t="s">
        <v>31</v>
      </c>
      <c r="E37" s="1" t="s">
        <v>43</v>
      </c>
      <c r="F37" s="1" t="s">
        <v>44</v>
      </c>
      <c r="G37" s="1">
        <v>10</v>
      </c>
      <c r="H37" s="1">
        <v>64.650000000000006</v>
      </c>
      <c r="I37" s="1">
        <v>646.5</v>
      </c>
      <c r="J37" s="1">
        <v>17.89</v>
      </c>
      <c r="K37" s="1">
        <v>228.61</v>
      </c>
      <c r="L37" s="1" t="s">
        <v>38</v>
      </c>
      <c r="M37" s="1" t="s">
        <v>20</v>
      </c>
      <c r="N37" s="1" t="s">
        <v>28</v>
      </c>
    </row>
    <row r="38" spans="1:14" x14ac:dyDescent="0.25">
      <c r="A38" s="1" t="s">
        <v>116</v>
      </c>
      <c r="B38" s="1" t="s">
        <v>762</v>
      </c>
      <c r="C38" s="1" t="s">
        <v>117</v>
      </c>
      <c r="D38" s="1" t="s">
        <v>86</v>
      </c>
      <c r="E38" s="1" t="s">
        <v>51</v>
      </c>
      <c r="F38" s="1" t="s">
        <v>52</v>
      </c>
      <c r="G38" s="1">
        <v>12</v>
      </c>
      <c r="H38" s="1">
        <v>29.56</v>
      </c>
      <c r="I38" s="1">
        <v>354.72</v>
      </c>
      <c r="J38" s="1">
        <v>21.4</v>
      </c>
      <c r="K38" s="1">
        <v>63.32</v>
      </c>
      <c r="L38" s="1" t="s">
        <v>26</v>
      </c>
      <c r="M38" s="1" t="s">
        <v>20</v>
      </c>
      <c r="N38" s="1" t="s">
        <v>87</v>
      </c>
    </row>
    <row r="39" spans="1:14" x14ac:dyDescent="0.25">
      <c r="A39" s="1" t="s">
        <v>118</v>
      </c>
      <c r="B39" s="1" t="s">
        <v>1031</v>
      </c>
      <c r="C39" s="1" t="s">
        <v>119</v>
      </c>
      <c r="D39" s="1" t="s">
        <v>16</v>
      </c>
      <c r="E39" s="1" t="s">
        <v>56</v>
      </c>
      <c r="F39" s="1" t="s">
        <v>57</v>
      </c>
      <c r="G39" s="1">
        <v>4</v>
      </c>
      <c r="H39" s="1">
        <v>35.36</v>
      </c>
      <c r="I39" s="1">
        <v>141.44</v>
      </c>
      <c r="J39" s="1">
        <v>8.66</v>
      </c>
      <c r="K39" s="1">
        <v>32.78</v>
      </c>
      <c r="L39" s="1" t="s">
        <v>38</v>
      </c>
      <c r="M39" s="1" t="s">
        <v>27</v>
      </c>
      <c r="N39" s="1" t="s">
        <v>21</v>
      </c>
    </row>
    <row r="40" spans="1:14" x14ac:dyDescent="0.25">
      <c r="A40" s="1" t="s">
        <v>120</v>
      </c>
      <c r="B40" s="1" t="s">
        <v>1030</v>
      </c>
      <c r="C40" s="1" t="s">
        <v>121</v>
      </c>
      <c r="D40" s="1" t="s">
        <v>31</v>
      </c>
      <c r="E40" s="1" t="s">
        <v>48</v>
      </c>
      <c r="F40" s="1" t="s">
        <v>37</v>
      </c>
      <c r="G40" s="1">
        <v>28</v>
      </c>
      <c r="H40" s="1">
        <v>31.42</v>
      </c>
      <c r="I40" s="1">
        <v>879.76</v>
      </c>
      <c r="J40" s="1">
        <v>69.319999999999993</v>
      </c>
      <c r="K40" s="1">
        <v>250.44</v>
      </c>
      <c r="L40" s="1" t="s">
        <v>19</v>
      </c>
      <c r="M40" s="1" t="s">
        <v>32</v>
      </c>
      <c r="N40" s="1" t="s">
        <v>28</v>
      </c>
    </row>
    <row r="41" spans="1:14" x14ac:dyDescent="0.25">
      <c r="A41" s="1" t="s">
        <v>122</v>
      </c>
      <c r="B41" s="1" t="s">
        <v>856</v>
      </c>
      <c r="C41" s="1" t="s">
        <v>123</v>
      </c>
      <c r="D41" s="1" t="s">
        <v>16</v>
      </c>
      <c r="E41" s="1" t="s">
        <v>17</v>
      </c>
      <c r="F41" s="1" t="s">
        <v>18</v>
      </c>
      <c r="G41" s="1">
        <v>35</v>
      </c>
      <c r="H41" s="1">
        <v>55.12</v>
      </c>
      <c r="I41" s="1">
        <v>1929.2</v>
      </c>
      <c r="J41" s="1">
        <v>58.22</v>
      </c>
      <c r="K41" s="1">
        <v>645.98</v>
      </c>
      <c r="L41" s="1" t="s">
        <v>19</v>
      </c>
      <c r="M41" s="1" t="s">
        <v>20</v>
      </c>
      <c r="N41" s="1" t="s">
        <v>21</v>
      </c>
    </row>
    <row r="42" spans="1:14" x14ac:dyDescent="0.25">
      <c r="A42" s="1" t="s">
        <v>124</v>
      </c>
      <c r="B42" s="1" t="s">
        <v>819</v>
      </c>
      <c r="C42" s="1" t="s">
        <v>125</v>
      </c>
      <c r="D42" s="1" t="s">
        <v>74</v>
      </c>
      <c r="E42" s="1" t="s">
        <v>51</v>
      </c>
      <c r="F42" s="1" t="s">
        <v>52</v>
      </c>
      <c r="G42" s="1">
        <v>41</v>
      </c>
      <c r="H42" s="1">
        <v>33.94</v>
      </c>
      <c r="I42" s="1">
        <v>1391.54</v>
      </c>
      <c r="J42" s="1">
        <v>33.26</v>
      </c>
      <c r="K42" s="1">
        <v>435.78</v>
      </c>
      <c r="L42" s="1" t="s">
        <v>19</v>
      </c>
      <c r="M42" s="1" t="s">
        <v>32</v>
      </c>
      <c r="N42" s="1" t="s">
        <v>58</v>
      </c>
    </row>
    <row r="43" spans="1:14" x14ac:dyDescent="0.25">
      <c r="A43" s="1" t="s">
        <v>126</v>
      </c>
      <c r="B43" s="1" t="s">
        <v>1029</v>
      </c>
      <c r="C43" s="1" t="s">
        <v>71</v>
      </c>
      <c r="D43" s="1" t="s">
        <v>69</v>
      </c>
      <c r="E43" s="1" t="s">
        <v>51</v>
      </c>
      <c r="F43" s="1" t="s">
        <v>52</v>
      </c>
      <c r="G43" s="1">
        <v>20</v>
      </c>
      <c r="H43" s="1">
        <v>38.43</v>
      </c>
      <c r="I43" s="1">
        <v>768.6</v>
      </c>
      <c r="J43" s="1">
        <v>60.07</v>
      </c>
      <c r="K43" s="1">
        <v>258.52999999999997</v>
      </c>
      <c r="L43" s="1" t="s">
        <v>38</v>
      </c>
      <c r="M43" s="1" t="s">
        <v>32</v>
      </c>
      <c r="N43" s="1" t="s">
        <v>58</v>
      </c>
    </row>
    <row r="44" spans="1:14" x14ac:dyDescent="0.25">
      <c r="A44" s="1" t="s">
        <v>127</v>
      </c>
      <c r="B44" s="1" t="s">
        <v>1028</v>
      </c>
      <c r="C44" s="1" t="s">
        <v>73</v>
      </c>
      <c r="D44" s="1" t="s">
        <v>35</v>
      </c>
      <c r="E44" s="1" t="s">
        <v>56</v>
      </c>
      <c r="F44" s="1" t="s">
        <v>57</v>
      </c>
      <c r="G44" s="1">
        <v>23</v>
      </c>
      <c r="H44" s="1">
        <v>35.07</v>
      </c>
      <c r="I44" s="1">
        <v>806.61</v>
      </c>
      <c r="J44" s="1">
        <v>21.23</v>
      </c>
      <c r="K44" s="1">
        <v>210.38</v>
      </c>
      <c r="L44" s="1" t="s">
        <v>19</v>
      </c>
      <c r="M44" s="1" t="s">
        <v>32</v>
      </c>
      <c r="N44" s="1" t="s">
        <v>39</v>
      </c>
    </row>
    <row r="45" spans="1:14" x14ac:dyDescent="0.25">
      <c r="A45" s="1" t="s">
        <v>128</v>
      </c>
      <c r="B45" s="1" t="s">
        <v>936</v>
      </c>
      <c r="C45" s="1" t="s">
        <v>67</v>
      </c>
      <c r="D45" s="1" t="s">
        <v>129</v>
      </c>
      <c r="E45" s="1" t="s">
        <v>43</v>
      </c>
      <c r="F45" s="1" t="s">
        <v>44</v>
      </c>
      <c r="G45" s="1">
        <v>35</v>
      </c>
      <c r="H45" s="1">
        <v>71.44</v>
      </c>
      <c r="I45" s="1">
        <v>2500.4</v>
      </c>
      <c r="J45" s="1">
        <v>166.81</v>
      </c>
      <c r="K45" s="1">
        <v>933.59</v>
      </c>
      <c r="L45" s="1" t="s">
        <v>26</v>
      </c>
      <c r="M45" s="1" t="s">
        <v>27</v>
      </c>
      <c r="N45" s="1" t="s">
        <v>130</v>
      </c>
    </row>
    <row r="46" spans="1:14" x14ac:dyDescent="0.25">
      <c r="A46" s="1" t="s">
        <v>131</v>
      </c>
      <c r="B46" s="1" t="s">
        <v>1027</v>
      </c>
      <c r="C46" s="1" t="s">
        <v>115</v>
      </c>
      <c r="D46" s="1" t="s">
        <v>42</v>
      </c>
      <c r="E46" s="1" t="s">
        <v>25</v>
      </c>
      <c r="F46" s="1" t="s">
        <v>18</v>
      </c>
      <c r="G46" s="1">
        <v>11</v>
      </c>
      <c r="H46" s="1">
        <v>26.05</v>
      </c>
      <c r="I46" s="1">
        <v>286.55</v>
      </c>
      <c r="J46" s="1">
        <v>13.39</v>
      </c>
      <c r="K46" s="1">
        <v>75.16</v>
      </c>
      <c r="L46" s="1" t="s">
        <v>26</v>
      </c>
      <c r="M46" s="1" t="s">
        <v>20</v>
      </c>
      <c r="N46" s="1" t="s">
        <v>21</v>
      </c>
    </row>
    <row r="47" spans="1:14" x14ac:dyDescent="0.25">
      <c r="A47" s="1" t="s">
        <v>132</v>
      </c>
      <c r="B47" s="1" t="s">
        <v>1026</v>
      </c>
      <c r="C47" s="1" t="s">
        <v>41</v>
      </c>
      <c r="D47" s="1" t="s">
        <v>24</v>
      </c>
      <c r="E47" s="1" t="s">
        <v>60</v>
      </c>
      <c r="F47" s="1" t="s">
        <v>52</v>
      </c>
      <c r="G47" s="1">
        <v>46</v>
      </c>
      <c r="H47" s="1">
        <v>26.67</v>
      </c>
      <c r="I47" s="1">
        <v>1226.82</v>
      </c>
      <c r="J47" s="1">
        <v>83.55</v>
      </c>
      <c r="K47" s="1">
        <v>430.27</v>
      </c>
      <c r="L47" s="1" t="s">
        <v>19</v>
      </c>
      <c r="M47" s="1" t="s">
        <v>32</v>
      </c>
      <c r="N47" s="1" t="s">
        <v>28</v>
      </c>
    </row>
    <row r="48" spans="1:14" x14ac:dyDescent="0.25">
      <c r="A48" s="1" t="s">
        <v>133</v>
      </c>
      <c r="B48" s="1" t="s">
        <v>1025</v>
      </c>
      <c r="C48" s="1" t="s">
        <v>91</v>
      </c>
      <c r="D48" s="1" t="s">
        <v>24</v>
      </c>
      <c r="E48" s="1" t="s">
        <v>83</v>
      </c>
      <c r="F48" s="1" t="s">
        <v>52</v>
      </c>
      <c r="G48" s="1">
        <v>12</v>
      </c>
      <c r="H48" s="1">
        <v>42.84</v>
      </c>
      <c r="I48" s="1">
        <v>514.08000000000004</v>
      </c>
      <c r="J48" s="1">
        <v>22.74</v>
      </c>
      <c r="K48" s="1">
        <v>155.34</v>
      </c>
      <c r="L48" s="1" t="s">
        <v>38</v>
      </c>
      <c r="M48" s="1" t="s">
        <v>20</v>
      </c>
      <c r="N48" s="1" t="s">
        <v>28</v>
      </c>
    </row>
    <row r="49" spans="1:14" x14ac:dyDescent="0.25">
      <c r="A49" s="1" t="s">
        <v>134</v>
      </c>
      <c r="B49" s="1" t="s">
        <v>1024</v>
      </c>
      <c r="C49" s="1" t="s">
        <v>135</v>
      </c>
      <c r="D49" s="1" t="s">
        <v>69</v>
      </c>
      <c r="E49" s="1" t="s">
        <v>25</v>
      </c>
      <c r="F49" s="1" t="s">
        <v>18</v>
      </c>
      <c r="G49" s="1">
        <v>18</v>
      </c>
      <c r="H49" s="1">
        <v>30.89</v>
      </c>
      <c r="I49" s="1">
        <v>556.02</v>
      </c>
      <c r="J49" s="1">
        <v>12</v>
      </c>
      <c r="K49" s="1">
        <v>220.02</v>
      </c>
      <c r="L49" s="1" t="s">
        <v>26</v>
      </c>
      <c r="M49" s="1" t="s">
        <v>20</v>
      </c>
      <c r="N49" s="1" t="s">
        <v>58</v>
      </c>
    </row>
    <row r="50" spans="1:14" x14ac:dyDescent="0.25">
      <c r="A50" s="1" t="s">
        <v>136</v>
      </c>
      <c r="B50" s="1" t="s">
        <v>790</v>
      </c>
      <c r="C50" s="1" t="s">
        <v>137</v>
      </c>
      <c r="D50" s="1" t="s">
        <v>42</v>
      </c>
      <c r="E50" s="1" t="s">
        <v>17</v>
      </c>
      <c r="F50" s="1" t="s">
        <v>18</v>
      </c>
      <c r="G50" s="1">
        <v>21</v>
      </c>
      <c r="H50" s="1">
        <v>52.41</v>
      </c>
      <c r="I50" s="1">
        <v>1100.6099999999999</v>
      </c>
      <c r="J50" s="1">
        <v>81.099999999999994</v>
      </c>
      <c r="K50" s="1">
        <v>284.51</v>
      </c>
      <c r="L50" s="1" t="s">
        <v>38</v>
      </c>
      <c r="M50" s="1" t="s">
        <v>27</v>
      </c>
      <c r="N50" s="1" t="s">
        <v>21</v>
      </c>
    </row>
    <row r="51" spans="1:14" x14ac:dyDescent="0.25">
      <c r="A51" s="1" t="s">
        <v>138</v>
      </c>
      <c r="B51" s="1" t="s">
        <v>1023</v>
      </c>
      <c r="C51" s="1" t="s">
        <v>139</v>
      </c>
      <c r="D51" s="1" t="s">
        <v>129</v>
      </c>
      <c r="E51" s="1" t="s">
        <v>83</v>
      </c>
      <c r="F51" s="1" t="s">
        <v>52</v>
      </c>
      <c r="G51" s="1">
        <v>17</v>
      </c>
      <c r="H51" s="1">
        <v>38.64</v>
      </c>
      <c r="I51" s="1">
        <v>656.88</v>
      </c>
      <c r="J51" s="1">
        <v>13.86</v>
      </c>
      <c r="K51" s="1">
        <v>167.02</v>
      </c>
      <c r="L51" s="1" t="s">
        <v>26</v>
      </c>
      <c r="M51" s="1" t="s">
        <v>20</v>
      </c>
      <c r="N51" s="1" t="s">
        <v>130</v>
      </c>
    </row>
    <row r="52" spans="1:14" x14ac:dyDescent="0.25">
      <c r="A52" s="1" t="s">
        <v>140</v>
      </c>
      <c r="B52" s="1" t="s">
        <v>754</v>
      </c>
      <c r="C52" s="1" t="s">
        <v>119</v>
      </c>
      <c r="D52" s="1" t="s">
        <v>77</v>
      </c>
      <c r="E52" s="1" t="s">
        <v>25</v>
      </c>
      <c r="F52" s="1" t="s">
        <v>18</v>
      </c>
      <c r="G52" s="1">
        <v>41</v>
      </c>
      <c r="H52" s="1">
        <v>25.79</v>
      </c>
      <c r="I52" s="1">
        <v>1057.3900000000001</v>
      </c>
      <c r="J52" s="1">
        <v>71.22</v>
      </c>
      <c r="K52" s="1">
        <v>248.17</v>
      </c>
      <c r="L52" s="1" t="s">
        <v>26</v>
      </c>
      <c r="M52" s="1" t="s">
        <v>27</v>
      </c>
      <c r="N52" s="1" t="s">
        <v>58</v>
      </c>
    </row>
    <row r="53" spans="1:14" x14ac:dyDescent="0.25">
      <c r="A53" s="1" t="s">
        <v>141</v>
      </c>
      <c r="B53" s="1" t="s">
        <v>1008</v>
      </c>
      <c r="C53" s="1" t="s">
        <v>142</v>
      </c>
      <c r="D53" s="1" t="s">
        <v>77</v>
      </c>
      <c r="E53" s="1" t="s">
        <v>83</v>
      </c>
      <c r="F53" s="1" t="s">
        <v>52</v>
      </c>
      <c r="G53" s="1">
        <v>41</v>
      </c>
      <c r="H53" s="1">
        <v>41.13</v>
      </c>
      <c r="I53" s="1">
        <v>1686.33</v>
      </c>
      <c r="J53" s="1">
        <v>80.12</v>
      </c>
      <c r="K53" s="1">
        <v>458.21</v>
      </c>
      <c r="L53" s="1" t="s">
        <v>26</v>
      </c>
      <c r="M53" s="1" t="s">
        <v>32</v>
      </c>
      <c r="N53" s="1" t="s">
        <v>58</v>
      </c>
    </row>
    <row r="54" spans="1:14" x14ac:dyDescent="0.25">
      <c r="A54" s="1" t="s">
        <v>143</v>
      </c>
      <c r="B54" s="1" t="s">
        <v>844</v>
      </c>
      <c r="C54" s="1" t="s">
        <v>67</v>
      </c>
      <c r="D54" s="1" t="s">
        <v>55</v>
      </c>
      <c r="E54" s="1" t="s">
        <v>43</v>
      </c>
      <c r="F54" s="1" t="s">
        <v>44</v>
      </c>
      <c r="G54" s="1">
        <v>33</v>
      </c>
      <c r="H54" s="1">
        <v>55.67</v>
      </c>
      <c r="I54" s="1">
        <v>1837.11</v>
      </c>
      <c r="J54" s="1">
        <v>144.32</v>
      </c>
      <c r="K54" s="1">
        <v>372.79</v>
      </c>
      <c r="L54" s="1" t="s">
        <v>19</v>
      </c>
      <c r="M54" s="1" t="s">
        <v>20</v>
      </c>
      <c r="N54" s="1" t="s">
        <v>58</v>
      </c>
    </row>
    <row r="55" spans="1:14" x14ac:dyDescent="0.25">
      <c r="A55" s="1" t="s">
        <v>144</v>
      </c>
      <c r="B55" s="1" t="s">
        <v>1022</v>
      </c>
      <c r="C55" s="1" t="s">
        <v>145</v>
      </c>
      <c r="D55" s="1" t="s">
        <v>77</v>
      </c>
      <c r="E55" s="1" t="s">
        <v>43</v>
      </c>
      <c r="F55" s="1" t="s">
        <v>44</v>
      </c>
      <c r="G55" s="1">
        <v>18</v>
      </c>
      <c r="H55" s="1">
        <v>50.87</v>
      </c>
      <c r="I55" s="1">
        <v>915.66</v>
      </c>
      <c r="J55" s="1">
        <v>49.93</v>
      </c>
      <c r="K55" s="1">
        <v>145.72999999999999</v>
      </c>
      <c r="L55" s="1" t="s">
        <v>19</v>
      </c>
      <c r="M55" s="1" t="s">
        <v>27</v>
      </c>
      <c r="N55" s="1" t="s">
        <v>58</v>
      </c>
    </row>
    <row r="56" spans="1:14" x14ac:dyDescent="0.25">
      <c r="A56" s="1" t="s">
        <v>146</v>
      </c>
      <c r="B56" s="1" t="s">
        <v>1021</v>
      </c>
      <c r="C56" s="1" t="s">
        <v>147</v>
      </c>
      <c r="D56" s="1" t="s">
        <v>86</v>
      </c>
      <c r="E56" s="1" t="s">
        <v>60</v>
      </c>
      <c r="F56" s="1" t="s">
        <v>52</v>
      </c>
      <c r="G56" s="1">
        <v>14</v>
      </c>
      <c r="H56" s="1">
        <v>26.7</v>
      </c>
      <c r="I56" s="1">
        <v>373.8</v>
      </c>
      <c r="J56" s="1">
        <v>11.84</v>
      </c>
      <c r="K56" s="1">
        <v>144.96</v>
      </c>
      <c r="L56" s="1" t="s">
        <v>38</v>
      </c>
      <c r="M56" s="1" t="s">
        <v>20</v>
      </c>
      <c r="N56" s="1" t="s">
        <v>87</v>
      </c>
    </row>
    <row r="57" spans="1:14" x14ac:dyDescent="0.25">
      <c r="A57" s="1" t="s">
        <v>148</v>
      </c>
      <c r="B57" s="1" t="s">
        <v>1020</v>
      </c>
      <c r="C57" s="1" t="s">
        <v>149</v>
      </c>
      <c r="D57" s="1" t="s">
        <v>16</v>
      </c>
      <c r="E57" s="1" t="s">
        <v>25</v>
      </c>
      <c r="F57" s="1" t="s">
        <v>18</v>
      </c>
      <c r="G57" s="1">
        <v>16</v>
      </c>
      <c r="H57" s="1">
        <v>28.96</v>
      </c>
      <c r="I57" s="1">
        <v>463.36</v>
      </c>
      <c r="J57" s="1">
        <v>35.65</v>
      </c>
      <c r="K57" s="1">
        <v>139.71</v>
      </c>
      <c r="L57" s="1" t="s">
        <v>19</v>
      </c>
      <c r="M57" s="1" t="s">
        <v>32</v>
      </c>
      <c r="N57" s="1" t="s">
        <v>21</v>
      </c>
    </row>
    <row r="58" spans="1:14" x14ac:dyDescent="0.25">
      <c r="A58" s="1" t="s">
        <v>150</v>
      </c>
      <c r="B58" s="1" t="s">
        <v>978</v>
      </c>
      <c r="C58" s="1" t="s">
        <v>67</v>
      </c>
      <c r="D58" s="1" t="s">
        <v>151</v>
      </c>
      <c r="E58" s="1" t="s">
        <v>25</v>
      </c>
      <c r="F58" s="1" t="s">
        <v>18</v>
      </c>
      <c r="G58" s="1">
        <v>47</v>
      </c>
      <c r="H58" s="1">
        <v>23.03</v>
      </c>
      <c r="I58" s="1">
        <v>1082.4100000000001</v>
      </c>
      <c r="J58" s="1">
        <v>50.12</v>
      </c>
      <c r="K58" s="1">
        <v>186.29</v>
      </c>
      <c r="L58" s="1" t="s">
        <v>38</v>
      </c>
      <c r="M58" s="1" t="s">
        <v>20</v>
      </c>
      <c r="N58" s="1" t="s">
        <v>28</v>
      </c>
    </row>
    <row r="59" spans="1:14" x14ac:dyDescent="0.25">
      <c r="A59" s="1" t="s">
        <v>152</v>
      </c>
      <c r="B59" s="1" t="s">
        <v>757</v>
      </c>
      <c r="C59" s="1" t="s">
        <v>149</v>
      </c>
      <c r="D59" s="1" t="s">
        <v>129</v>
      </c>
      <c r="E59" s="1" t="s">
        <v>17</v>
      </c>
      <c r="F59" s="1" t="s">
        <v>18</v>
      </c>
      <c r="G59" s="1">
        <v>18</v>
      </c>
      <c r="H59" s="1">
        <v>50.03</v>
      </c>
      <c r="I59" s="1">
        <v>900.54</v>
      </c>
      <c r="J59" s="1">
        <v>68.44</v>
      </c>
      <c r="K59" s="1">
        <v>202.1</v>
      </c>
      <c r="L59" s="1" t="s">
        <v>38</v>
      </c>
      <c r="M59" s="1" t="s">
        <v>20</v>
      </c>
      <c r="N59" s="1" t="s">
        <v>130</v>
      </c>
    </row>
    <row r="60" spans="1:14" x14ac:dyDescent="0.25">
      <c r="A60" s="1" t="s">
        <v>153</v>
      </c>
      <c r="B60" s="1" t="s">
        <v>1019</v>
      </c>
      <c r="C60" s="1" t="s">
        <v>154</v>
      </c>
      <c r="D60" s="1" t="s">
        <v>24</v>
      </c>
      <c r="E60" s="1" t="s">
        <v>56</v>
      </c>
      <c r="F60" s="1" t="s">
        <v>57</v>
      </c>
      <c r="G60" s="1">
        <v>38</v>
      </c>
      <c r="H60" s="1">
        <v>32.07</v>
      </c>
      <c r="I60" s="1">
        <v>1218.6600000000001</v>
      </c>
      <c r="J60" s="1">
        <v>54.49</v>
      </c>
      <c r="K60" s="1">
        <v>214.17</v>
      </c>
      <c r="L60" s="1" t="s">
        <v>38</v>
      </c>
      <c r="M60" s="1" t="s">
        <v>32</v>
      </c>
      <c r="N60" s="1" t="s">
        <v>28</v>
      </c>
    </row>
    <row r="61" spans="1:14" x14ac:dyDescent="0.25">
      <c r="A61" s="1" t="s">
        <v>155</v>
      </c>
      <c r="B61" s="1" t="s">
        <v>823</v>
      </c>
      <c r="C61" s="1" t="s">
        <v>156</v>
      </c>
      <c r="D61" s="1" t="s">
        <v>35</v>
      </c>
      <c r="E61" s="1" t="s">
        <v>36</v>
      </c>
      <c r="F61" s="1" t="s">
        <v>37</v>
      </c>
      <c r="G61" s="1">
        <v>23</v>
      </c>
      <c r="H61" s="1">
        <v>50.96</v>
      </c>
      <c r="I61" s="1">
        <v>1172.08</v>
      </c>
      <c r="J61" s="1">
        <v>61</v>
      </c>
      <c r="K61" s="1">
        <v>375.08</v>
      </c>
      <c r="L61" s="1" t="s">
        <v>38</v>
      </c>
      <c r="M61" s="1" t="s">
        <v>27</v>
      </c>
      <c r="N61" s="1" t="s">
        <v>39</v>
      </c>
    </row>
    <row r="62" spans="1:14" x14ac:dyDescent="0.25">
      <c r="A62" s="1" t="s">
        <v>157</v>
      </c>
      <c r="B62" s="1" t="s">
        <v>1018</v>
      </c>
      <c r="C62" s="1" t="s">
        <v>158</v>
      </c>
      <c r="D62" s="1" t="s">
        <v>77</v>
      </c>
      <c r="E62" s="1" t="s">
        <v>43</v>
      </c>
      <c r="F62" s="1" t="s">
        <v>44</v>
      </c>
      <c r="G62" s="1">
        <v>46</v>
      </c>
      <c r="H62" s="1">
        <v>70.599999999999994</v>
      </c>
      <c r="I62" s="1">
        <v>3247.6</v>
      </c>
      <c r="J62" s="1">
        <v>166.91</v>
      </c>
      <c r="K62" s="1">
        <v>1240.69</v>
      </c>
      <c r="L62" s="1" t="s">
        <v>38</v>
      </c>
      <c r="M62" s="1" t="s">
        <v>27</v>
      </c>
      <c r="N62" s="1" t="s">
        <v>58</v>
      </c>
    </row>
    <row r="63" spans="1:14" x14ac:dyDescent="0.25">
      <c r="A63" s="1" t="s">
        <v>159</v>
      </c>
      <c r="B63" s="1" t="s">
        <v>1017</v>
      </c>
      <c r="C63" s="1" t="s">
        <v>91</v>
      </c>
      <c r="D63" s="1" t="s">
        <v>77</v>
      </c>
      <c r="E63" s="1" t="s">
        <v>43</v>
      </c>
      <c r="F63" s="1" t="s">
        <v>44</v>
      </c>
      <c r="G63" s="1">
        <v>15</v>
      </c>
      <c r="H63" s="1">
        <v>53.36</v>
      </c>
      <c r="I63" s="1">
        <v>800.4</v>
      </c>
      <c r="J63" s="1">
        <v>56.29</v>
      </c>
      <c r="K63" s="1">
        <v>144.11000000000001</v>
      </c>
      <c r="L63" s="1" t="s">
        <v>19</v>
      </c>
      <c r="M63" s="1" t="s">
        <v>20</v>
      </c>
      <c r="N63" s="1" t="s">
        <v>58</v>
      </c>
    </row>
    <row r="64" spans="1:14" x14ac:dyDescent="0.25">
      <c r="A64" s="1" t="s">
        <v>160</v>
      </c>
      <c r="B64" s="1" t="s">
        <v>988</v>
      </c>
      <c r="C64" s="1" t="s">
        <v>161</v>
      </c>
      <c r="D64" s="1" t="s">
        <v>129</v>
      </c>
      <c r="E64" s="1" t="s">
        <v>36</v>
      </c>
      <c r="F64" s="1" t="s">
        <v>37</v>
      </c>
      <c r="G64" s="1">
        <v>42</v>
      </c>
      <c r="H64" s="1">
        <v>39.840000000000003</v>
      </c>
      <c r="I64" s="1">
        <v>1673.28</v>
      </c>
      <c r="J64" s="1">
        <v>132.74</v>
      </c>
      <c r="K64" s="1">
        <v>196.54</v>
      </c>
      <c r="L64" s="1" t="s">
        <v>19</v>
      </c>
      <c r="M64" s="1" t="s">
        <v>32</v>
      </c>
      <c r="N64" s="1" t="s">
        <v>130</v>
      </c>
    </row>
    <row r="65" spans="1:14" x14ac:dyDescent="0.25">
      <c r="A65" s="1" t="s">
        <v>162</v>
      </c>
      <c r="B65" s="1" t="s">
        <v>963</v>
      </c>
      <c r="C65" s="1" t="s">
        <v>145</v>
      </c>
      <c r="D65" s="1" t="s">
        <v>77</v>
      </c>
      <c r="E65" s="1" t="s">
        <v>56</v>
      </c>
      <c r="F65" s="1" t="s">
        <v>57</v>
      </c>
      <c r="G65" s="1">
        <v>31</v>
      </c>
      <c r="H65" s="1">
        <v>38.26</v>
      </c>
      <c r="I65" s="1">
        <v>1186.06</v>
      </c>
      <c r="J65" s="1">
        <v>69.33</v>
      </c>
      <c r="K65" s="1">
        <v>341.73</v>
      </c>
      <c r="L65" s="1" t="s">
        <v>26</v>
      </c>
      <c r="M65" s="1" t="s">
        <v>20</v>
      </c>
      <c r="N65" s="1" t="s">
        <v>58</v>
      </c>
    </row>
    <row r="66" spans="1:14" x14ac:dyDescent="0.25">
      <c r="A66" s="1" t="s">
        <v>163</v>
      </c>
      <c r="B66" s="1" t="s">
        <v>860</v>
      </c>
      <c r="C66" s="1" t="s">
        <v>147</v>
      </c>
      <c r="D66" s="1" t="s">
        <v>106</v>
      </c>
      <c r="E66" s="1" t="s">
        <v>60</v>
      </c>
      <c r="F66" s="1" t="s">
        <v>52</v>
      </c>
      <c r="G66" s="1">
        <v>2</v>
      </c>
      <c r="H66" s="1">
        <v>23.09</v>
      </c>
      <c r="I66" s="1">
        <v>46.18</v>
      </c>
      <c r="J66" s="1">
        <v>2.52</v>
      </c>
      <c r="K66" s="1">
        <v>12.66</v>
      </c>
      <c r="L66" s="1" t="s">
        <v>26</v>
      </c>
      <c r="M66" s="1" t="s">
        <v>27</v>
      </c>
      <c r="N66" s="1" t="s">
        <v>28</v>
      </c>
    </row>
    <row r="67" spans="1:14" x14ac:dyDescent="0.25">
      <c r="A67" s="1" t="s">
        <v>164</v>
      </c>
      <c r="B67" s="1" t="s">
        <v>896</v>
      </c>
      <c r="C67" s="1" t="s">
        <v>50</v>
      </c>
      <c r="D67" s="1" t="s">
        <v>74</v>
      </c>
      <c r="E67" s="1" t="s">
        <v>36</v>
      </c>
      <c r="F67" s="1" t="s">
        <v>37</v>
      </c>
      <c r="G67" s="1">
        <v>40</v>
      </c>
      <c r="H67" s="1">
        <v>46.81</v>
      </c>
      <c r="I67" s="1">
        <v>1872.4</v>
      </c>
      <c r="J67" s="1">
        <v>43.01</v>
      </c>
      <c r="K67" s="1">
        <v>549.39</v>
      </c>
      <c r="L67" s="1" t="s">
        <v>19</v>
      </c>
      <c r="M67" s="1" t="s">
        <v>32</v>
      </c>
      <c r="N67" s="1" t="s">
        <v>58</v>
      </c>
    </row>
    <row r="68" spans="1:14" x14ac:dyDescent="0.25">
      <c r="A68" s="1" t="s">
        <v>165</v>
      </c>
      <c r="B68" s="1" t="s">
        <v>1016</v>
      </c>
      <c r="C68" s="1" t="s">
        <v>166</v>
      </c>
      <c r="D68" s="1" t="s">
        <v>55</v>
      </c>
      <c r="E68" s="1" t="s">
        <v>36</v>
      </c>
      <c r="F68" s="1" t="s">
        <v>37</v>
      </c>
      <c r="G68" s="1">
        <v>43</v>
      </c>
      <c r="H68" s="1">
        <v>57.01</v>
      </c>
      <c r="I68" s="1">
        <v>2451.4299999999998</v>
      </c>
      <c r="J68" s="1">
        <v>115.04</v>
      </c>
      <c r="K68" s="1">
        <v>960.39</v>
      </c>
      <c r="L68" s="1" t="s">
        <v>26</v>
      </c>
      <c r="M68" s="1" t="s">
        <v>20</v>
      </c>
      <c r="N68" s="1" t="s">
        <v>58</v>
      </c>
    </row>
    <row r="69" spans="1:14" x14ac:dyDescent="0.25">
      <c r="A69" s="1" t="s">
        <v>167</v>
      </c>
      <c r="B69" s="1" t="s">
        <v>749</v>
      </c>
      <c r="C69" s="1" t="s">
        <v>168</v>
      </c>
      <c r="D69" s="1" t="s">
        <v>47</v>
      </c>
      <c r="E69" s="1" t="s">
        <v>63</v>
      </c>
      <c r="F69" s="1" t="s">
        <v>37</v>
      </c>
      <c r="G69" s="1">
        <v>15</v>
      </c>
      <c r="H69" s="1">
        <v>22.23</v>
      </c>
      <c r="I69" s="1">
        <v>333.45</v>
      </c>
      <c r="J69" s="1">
        <v>16.89</v>
      </c>
      <c r="K69" s="1">
        <v>125.31</v>
      </c>
      <c r="L69" s="1" t="s">
        <v>38</v>
      </c>
      <c r="M69" s="1" t="s">
        <v>27</v>
      </c>
      <c r="N69" s="1" t="s">
        <v>21</v>
      </c>
    </row>
    <row r="70" spans="1:14" x14ac:dyDescent="0.25">
      <c r="A70" s="1" t="s">
        <v>169</v>
      </c>
      <c r="B70" s="1" t="s">
        <v>826</v>
      </c>
      <c r="C70" s="1" t="s">
        <v>170</v>
      </c>
      <c r="D70" s="1" t="s">
        <v>106</v>
      </c>
      <c r="E70" s="1" t="s">
        <v>60</v>
      </c>
      <c r="F70" s="1" t="s">
        <v>52</v>
      </c>
      <c r="G70" s="1">
        <v>15</v>
      </c>
      <c r="H70" s="1">
        <v>19.23</v>
      </c>
      <c r="I70" s="1">
        <v>288.45</v>
      </c>
      <c r="J70" s="1">
        <v>20.22</v>
      </c>
      <c r="K70" s="1">
        <v>35.729999999999997</v>
      </c>
      <c r="L70" s="1" t="s">
        <v>19</v>
      </c>
      <c r="M70" s="1" t="s">
        <v>20</v>
      </c>
      <c r="N70" s="1" t="s">
        <v>28</v>
      </c>
    </row>
    <row r="71" spans="1:14" x14ac:dyDescent="0.25">
      <c r="A71" s="1" t="s">
        <v>171</v>
      </c>
      <c r="B71" s="1" t="s">
        <v>983</v>
      </c>
      <c r="C71" s="1" t="s">
        <v>93</v>
      </c>
      <c r="D71" s="1" t="s">
        <v>31</v>
      </c>
      <c r="E71" s="1" t="s">
        <v>83</v>
      </c>
      <c r="F71" s="1" t="s">
        <v>52</v>
      </c>
      <c r="G71" s="1">
        <v>34</v>
      </c>
      <c r="H71" s="1">
        <v>45.54</v>
      </c>
      <c r="I71" s="1">
        <v>1548.36</v>
      </c>
      <c r="J71" s="1">
        <v>36.76</v>
      </c>
      <c r="K71" s="1">
        <v>559.6</v>
      </c>
      <c r="L71" s="1" t="s">
        <v>19</v>
      </c>
      <c r="M71" s="1" t="s">
        <v>20</v>
      </c>
      <c r="N71" s="1" t="s">
        <v>28</v>
      </c>
    </row>
    <row r="72" spans="1:14" x14ac:dyDescent="0.25">
      <c r="A72" s="1" t="s">
        <v>172</v>
      </c>
      <c r="B72" s="1" t="s">
        <v>791</v>
      </c>
      <c r="C72" s="1" t="s">
        <v>173</v>
      </c>
      <c r="D72" s="1" t="s">
        <v>106</v>
      </c>
      <c r="E72" s="1" t="s">
        <v>43</v>
      </c>
      <c r="F72" s="1" t="s">
        <v>44</v>
      </c>
      <c r="G72" s="1">
        <v>33</v>
      </c>
      <c r="H72" s="1">
        <v>63.88</v>
      </c>
      <c r="I72" s="1">
        <v>2108.04</v>
      </c>
      <c r="J72" s="1">
        <v>111.7</v>
      </c>
      <c r="K72" s="1">
        <v>676.34</v>
      </c>
      <c r="L72" s="1" t="s">
        <v>19</v>
      </c>
      <c r="M72" s="1" t="s">
        <v>32</v>
      </c>
      <c r="N72" s="1" t="s">
        <v>28</v>
      </c>
    </row>
    <row r="73" spans="1:14" x14ac:dyDescent="0.25">
      <c r="A73" s="1" t="s">
        <v>174</v>
      </c>
      <c r="B73" s="1" t="s">
        <v>1015</v>
      </c>
      <c r="C73" s="1" t="s">
        <v>91</v>
      </c>
      <c r="D73" s="1" t="s">
        <v>151</v>
      </c>
      <c r="E73" s="1" t="s">
        <v>25</v>
      </c>
      <c r="F73" s="1" t="s">
        <v>18</v>
      </c>
      <c r="G73" s="1">
        <v>39</v>
      </c>
      <c r="H73" s="1">
        <v>25.38</v>
      </c>
      <c r="I73" s="1">
        <v>989.82</v>
      </c>
      <c r="J73" s="1">
        <v>50.82</v>
      </c>
      <c r="K73" s="1">
        <v>237</v>
      </c>
      <c r="L73" s="1" t="s">
        <v>26</v>
      </c>
      <c r="M73" s="1" t="s">
        <v>27</v>
      </c>
      <c r="N73" s="1" t="s">
        <v>28</v>
      </c>
    </row>
    <row r="74" spans="1:14" x14ac:dyDescent="0.25">
      <c r="A74" s="1" t="s">
        <v>175</v>
      </c>
      <c r="B74" s="1" t="s">
        <v>944</v>
      </c>
      <c r="C74" s="1" t="s">
        <v>176</v>
      </c>
      <c r="D74" s="1" t="s">
        <v>177</v>
      </c>
      <c r="E74" s="1" t="s">
        <v>56</v>
      </c>
      <c r="F74" s="1" t="s">
        <v>57</v>
      </c>
      <c r="G74" s="1">
        <v>9</v>
      </c>
      <c r="H74" s="1">
        <v>38.979999999999997</v>
      </c>
      <c r="I74" s="1">
        <v>350.82</v>
      </c>
      <c r="J74" s="1">
        <v>25.56</v>
      </c>
      <c r="K74" s="1">
        <v>100.26</v>
      </c>
      <c r="L74" s="1" t="s">
        <v>19</v>
      </c>
      <c r="M74" s="1" t="s">
        <v>20</v>
      </c>
      <c r="N74" s="1" t="s">
        <v>58</v>
      </c>
    </row>
    <row r="75" spans="1:14" x14ac:dyDescent="0.25">
      <c r="A75" s="1" t="s">
        <v>178</v>
      </c>
      <c r="B75" s="1" t="s">
        <v>1014</v>
      </c>
      <c r="C75" s="1" t="s">
        <v>179</v>
      </c>
      <c r="D75" s="1" t="s">
        <v>86</v>
      </c>
      <c r="E75" s="1" t="s">
        <v>48</v>
      </c>
      <c r="F75" s="1" t="s">
        <v>37</v>
      </c>
      <c r="G75" s="1">
        <v>14</v>
      </c>
      <c r="H75" s="1">
        <v>35.86</v>
      </c>
      <c r="I75" s="1">
        <v>502.04</v>
      </c>
      <c r="J75" s="1">
        <v>40.130000000000003</v>
      </c>
      <c r="K75" s="1">
        <v>181.91</v>
      </c>
      <c r="L75" s="1" t="s">
        <v>38</v>
      </c>
      <c r="M75" s="1" t="s">
        <v>32</v>
      </c>
      <c r="N75" s="1" t="s">
        <v>87</v>
      </c>
    </row>
    <row r="76" spans="1:14" x14ac:dyDescent="0.25">
      <c r="A76" s="1" t="s">
        <v>180</v>
      </c>
      <c r="B76" s="1" t="s">
        <v>1013</v>
      </c>
      <c r="C76" s="1" t="s">
        <v>181</v>
      </c>
      <c r="D76" s="1" t="s">
        <v>77</v>
      </c>
      <c r="E76" s="1" t="s">
        <v>60</v>
      </c>
      <c r="F76" s="1" t="s">
        <v>52</v>
      </c>
      <c r="G76" s="1">
        <v>49</v>
      </c>
      <c r="H76" s="1">
        <v>21.37</v>
      </c>
      <c r="I76" s="1">
        <v>1047.1300000000001</v>
      </c>
      <c r="J76" s="1">
        <v>65.98</v>
      </c>
      <c r="K76" s="1">
        <v>221.65</v>
      </c>
      <c r="L76" s="1" t="s">
        <v>38</v>
      </c>
      <c r="M76" s="1" t="s">
        <v>32</v>
      </c>
      <c r="N76" s="1" t="s">
        <v>58</v>
      </c>
    </row>
    <row r="77" spans="1:14" x14ac:dyDescent="0.25">
      <c r="A77" s="1" t="s">
        <v>182</v>
      </c>
      <c r="B77" s="1" t="s">
        <v>936</v>
      </c>
      <c r="C77" s="1" t="s">
        <v>183</v>
      </c>
      <c r="D77" s="1" t="s">
        <v>47</v>
      </c>
      <c r="E77" s="1" t="s">
        <v>25</v>
      </c>
      <c r="F77" s="1" t="s">
        <v>18</v>
      </c>
      <c r="G77" s="1">
        <v>42</v>
      </c>
      <c r="H77" s="1">
        <v>24.57</v>
      </c>
      <c r="I77" s="1">
        <v>1031.94</v>
      </c>
      <c r="J77" s="1">
        <v>56.45</v>
      </c>
      <c r="K77" s="1">
        <v>219.49</v>
      </c>
      <c r="L77" s="1" t="s">
        <v>26</v>
      </c>
      <c r="M77" s="1" t="s">
        <v>20</v>
      </c>
      <c r="N77" s="1" t="s">
        <v>21</v>
      </c>
    </row>
    <row r="78" spans="1:14" x14ac:dyDescent="0.25">
      <c r="A78" s="1" t="s">
        <v>184</v>
      </c>
      <c r="B78" s="1" t="s">
        <v>1012</v>
      </c>
      <c r="C78" s="1" t="s">
        <v>183</v>
      </c>
      <c r="D78" s="1" t="s">
        <v>69</v>
      </c>
      <c r="E78" s="1" t="s">
        <v>25</v>
      </c>
      <c r="F78" s="1" t="s">
        <v>18</v>
      </c>
      <c r="G78" s="1">
        <v>42</v>
      </c>
      <c r="H78" s="1">
        <v>26.39</v>
      </c>
      <c r="I78" s="1">
        <v>1108.3800000000001</v>
      </c>
      <c r="J78" s="1">
        <v>44.56</v>
      </c>
      <c r="K78" s="1">
        <v>307.82</v>
      </c>
      <c r="L78" s="1" t="s">
        <v>26</v>
      </c>
      <c r="M78" s="1" t="s">
        <v>20</v>
      </c>
      <c r="N78" s="1" t="s">
        <v>58</v>
      </c>
    </row>
    <row r="79" spans="1:14" x14ac:dyDescent="0.25">
      <c r="A79" s="1" t="s">
        <v>185</v>
      </c>
      <c r="B79" s="1" t="s">
        <v>895</v>
      </c>
      <c r="C79" s="1" t="s">
        <v>181</v>
      </c>
      <c r="D79" s="1" t="s">
        <v>42</v>
      </c>
      <c r="E79" s="1" t="s">
        <v>48</v>
      </c>
      <c r="F79" s="1" t="s">
        <v>37</v>
      </c>
      <c r="G79" s="1">
        <v>50</v>
      </c>
      <c r="H79" s="1">
        <v>29.73</v>
      </c>
      <c r="I79" s="1">
        <v>1486.5</v>
      </c>
      <c r="J79" s="1">
        <v>96.77</v>
      </c>
      <c r="K79" s="1">
        <v>389.73</v>
      </c>
      <c r="L79" s="1" t="s">
        <v>38</v>
      </c>
      <c r="M79" s="1" t="s">
        <v>20</v>
      </c>
      <c r="N79" s="1" t="s">
        <v>21</v>
      </c>
    </row>
    <row r="80" spans="1:14" x14ac:dyDescent="0.25">
      <c r="A80" s="1" t="s">
        <v>186</v>
      </c>
      <c r="B80" s="1" t="s">
        <v>1011</v>
      </c>
      <c r="C80" s="1" t="s">
        <v>179</v>
      </c>
      <c r="D80" s="1" t="s">
        <v>55</v>
      </c>
      <c r="E80" s="1" t="s">
        <v>60</v>
      </c>
      <c r="F80" s="1" t="s">
        <v>52</v>
      </c>
      <c r="G80" s="1">
        <v>39</v>
      </c>
      <c r="H80" s="1">
        <v>20.56</v>
      </c>
      <c r="I80" s="1">
        <v>801.84</v>
      </c>
      <c r="J80" s="1">
        <v>43.55</v>
      </c>
      <c r="K80" s="1">
        <v>153.79</v>
      </c>
      <c r="L80" s="1" t="s">
        <v>19</v>
      </c>
      <c r="M80" s="1" t="s">
        <v>20</v>
      </c>
      <c r="N80" s="1" t="s">
        <v>58</v>
      </c>
    </row>
    <row r="81" spans="1:14" x14ac:dyDescent="0.25">
      <c r="A81" s="1" t="s">
        <v>187</v>
      </c>
      <c r="B81" s="1" t="s">
        <v>1010</v>
      </c>
      <c r="C81" s="1" t="s">
        <v>23</v>
      </c>
      <c r="D81" s="1" t="s">
        <v>55</v>
      </c>
      <c r="E81" s="1" t="s">
        <v>60</v>
      </c>
      <c r="F81" s="1" t="s">
        <v>52</v>
      </c>
      <c r="G81" s="1">
        <v>48</v>
      </c>
      <c r="H81" s="1">
        <v>24.36</v>
      </c>
      <c r="I81" s="1">
        <v>1169.28</v>
      </c>
      <c r="J81" s="1">
        <v>81.599999999999994</v>
      </c>
      <c r="K81" s="1">
        <v>343.68</v>
      </c>
      <c r="L81" s="1" t="s">
        <v>38</v>
      </c>
      <c r="M81" s="1" t="s">
        <v>32</v>
      </c>
      <c r="N81" s="1" t="s">
        <v>58</v>
      </c>
    </row>
    <row r="82" spans="1:14" x14ac:dyDescent="0.25">
      <c r="A82" s="1" t="s">
        <v>188</v>
      </c>
      <c r="B82" s="1" t="s">
        <v>760</v>
      </c>
      <c r="C82" s="1" t="s">
        <v>189</v>
      </c>
      <c r="D82" s="1" t="s">
        <v>151</v>
      </c>
      <c r="E82" s="1" t="s">
        <v>51</v>
      </c>
      <c r="F82" s="1" t="s">
        <v>52</v>
      </c>
      <c r="G82" s="1">
        <v>40</v>
      </c>
      <c r="H82" s="1">
        <v>27.95</v>
      </c>
      <c r="I82" s="1">
        <v>1118</v>
      </c>
      <c r="J82" s="1">
        <v>37.590000000000003</v>
      </c>
      <c r="K82" s="1">
        <v>180.41</v>
      </c>
      <c r="L82" s="1" t="s">
        <v>38</v>
      </c>
      <c r="M82" s="1" t="s">
        <v>32</v>
      </c>
      <c r="N82" s="1" t="s">
        <v>28</v>
      </c>
    </row>
    <row r="83" spans="1:14" x14ac:dyDescent="0.25">
      <c r="A83" s="1" t="s">
        <v>190</v>
      </c>
      <c r="B83" s="1" t="s">
        <v>769</v>
      </c>
      <c r="C83" s="1" t="s">
        <v>119</v>
      </c>
      <c r="D83" s="1" t="s">
        <v>177</v>
      </c>
      <c r="E83" s="1" t="s">
        <v>83</v>
      </c>
      <c r="F83" s="1" t="s">
        <v>52</v>
      </c>
      <c r="G83" s="1">
        <v>21</v>
      </c>
      <c r="H83" s="1">
        <v>40.19</v>
      </c>
      <c r="I83" s="1">
        <v>843.99</v>
      </c>
      <c r="J83" s="1">
        <v>32.4</v>
      </c>
      <c r="K83" s="1">
        <v>223.59</v>
      </c>
      <c r="L83" s="1" t="s">
        <v>26</v>
      </c>
      <c r="M83" s="1" t="s">
        <v>27</v>
      </c>
      <c r="N83" s="1" t="s">
        <v>58</v>
      </c>
    </row>
    <row r="84" spans="1:14" x14ac:dyDescent="0.25">
      <c r="A84" s="1" t="s">
        <v>191</v>
      </c>
      <c r="B84" s="1" t="s">
        <v>1009</v>
      </c>
      <c r="C84" s="1" t="s">
        <v>89</v>
      </c>
      <c r="D84" s="1" t="s">
        <v>69</v>
      </c>
      <c r="E84" s="1" t="s">
        <v>63</v>
      </c>
      <c r="F84" s="1" t="s">
        <v>37</v>
      </c>
      <c r="G84" s="1">
        <v>26</v>
      </c>
      <c r="H84" s="1">
        <v>16.670000000000002</v>
      </c>
      <c r="I84" s="1">
        <v>433.42</v>
      </c>
      <c r="J84" s="1">
        <v>32.79</v>
      </c>
      <c r="K84" s="1">
        <v>69.13</v>
      </c>
      <c r="L84" s="1" t="s">
        <v>38</v>
      </c>
      <c r="M84" s="1" t="s">
        <v>27</v>
      </c>
      <c r="N84" s="1" t="s">
        <v>58</v>
      </c>
    </row>
    <row r="85" spans="1:14" x14ac:dyDescent="0.25">
      <c r="A85" s="1" t="s">
        <v>192</v>
      </c>
      <c r="B85" s="1" t="s">
        <v>789</v>
      </c>
      <c r="C85" s="1" t="s">
        <v>193</v>
      </c>
      <c r="D85" s="1" t="s">
        <v>35</v>
      </c>
      <c r="E85" s="1" t="s">
        <v>36</v>
      </c>
      <c r="F85" s="1" t="s">
        <v>37</v>
      </c>
      <c r="G85" s="1">
        <v>28</v>
      </c>
      <c r="H85" s="1">
        <v>39.85</v>
      </c>
      <c r="I85" s="1">
        <v>1115.8</v>
      </c>
      <c r="J85" s="1">
        <v>43.87</v>
      </c>
      <c r="K85" s="1">
        <v>175.93</v>
      </c>
      <c r="L85" s="1" t="s">
        <v>38</v>
      </c>
      <c r="M85" s="1" t="s">
        <v>20</v>
      </c>
      <c r="N85" s="1" t="s">
        <v>39</v>
      </c>
    </row>
    <row r="86" spans="1:14" x14ac:dyDescent="0.25">
      <c r="A86" s="1" t="s">
        <v>194</v>
      </c>
      <c r="B86" s="1" t="s">
        <v>947</v>
      </c>
      <c r="C86" s="1" t="s">
        <v>193</v>
      </c>
      <c r="D86" s="1" t="s">
        <v>47</v>
      </c>
      <c r="E86" s="1" t="s">
        <v>63</v>
      </c>
      <c r="F86" s="1" t="s">
        <v>37</v>
      </c>
      <c r="G86" s="1">
        <v>47</v>
      </c>
      <c r="H86" s="1">
        <v>15.97</v>
      </c>
      <c r="I86" s="1">
        <v>750.59</v>
      </c>
      <c r="J86" s="1">
        <v>48.55</v>
      </c>
      <c r="K86" s="1">
        <v>102.79</v>
      </c>
      <c r="L86" s="1" t="s">
        <v>38</v>
      </c>
      <c r="M86" s="1" t="s">
        <v>32</v>
      </c>
      <c r="N86" s="1" t="s">
        <v>21</v>
      </c>
    </row>
    <row r="87" spans="1:14" x14ac:dyDescent="0.25">
      <c r="A87" s="1" t="s">
        <v>195</v>
      </c>
      <c r="B87" s="1" t="s">
        <v>973</v>
      </c>
      <c r="C87" s="1" t="s">
        <v>135</v>
      </c>
      <c r="D87" s="1" t="s">
        <v>55</v>
      </c>
      <c r="E87" s="1" t="s">
        <v>43</v>
      </c>
      <c r="F87" s="1" t="s">
        <v>44</v>
      </c>
      <c r="G87" s="1">
        <v>28</v>
      </c>
      <c r="H87" s="1">
        <v>53.6</v>
      </c>
      <c r="I87" s="1">
        <v>1500.8</v>
      </c>
      <c r="J87" s="1">
        <v>68.55</v>
      </c>
      <c r="K87" s="1">
        <v>312.25</v>
      </c>
      <c r="L87" s="1" t="s">
        <v>26</v>
      </c>
      <c r="M87" s="1" t="s">
        <v>27</v>
      </c>
      <c r="N87" s="1" t="s">
        <v>58</v>
      </c>
    </row>
    <row r="88" spans="1:14" x14ac:dyDescent="0.25">
      <c r="A88" s="1" t="s">
        <v>196</v>
      </c>
      <c r="B88" s="1" t="s">
        <v>896</v>
      </c>
      <c r="C88" s="1" t="s">
        <v>108</v>
      </c>
      <c r="D88" s="1" t="s">
        <v>177</v>
      </c>
      <c r="E88" s="1" t="s">
        <v>83</v>
      </c>
      <c r="F88" s="1" t="s">
        <v>52</v>
      </c>
      <c r="G88" s="1">
        <v>37</v>
      </c>
      <c r="H88" s="1">
        <v>40.049999999999997</v>
      </c>
      <c r="I88" s="1">
        <v>1481.85</v>
      </c>
      <c r="J88" s="1">
        <v>45.6</v>
      </c>
      <c r="K88" s="1">
        <v>400.25</v>
      </c>
      <c r="L88" s="1" t="s">
        <v>19</v>
      </c>
      <c r="M88" s="1" t="s">
        <v>32</v>
      </c>
      <c r="N88" s="1" t="s">
        <v>58</v>
      </c>
    </row>
    <row r="89" spans="1:14" x14ac:dyDescent="0.25">
      <c r="A89" s="1" t="s">
        <v>197</v>
      </c>
      <c r="B89" s="1" t="s">
        <v>939</v>
      </c>
      <c r="C89" s="1" t="s">
        <v>139</v>
      </c>
      <c r="D89" s="1" t="s">
        <v>31</v>
      </c>
      <c r="E89" s="1" t="s">
        <v>17</v>
      </c>
      <c r="F89" s="1" t="s">
        <v>18</v>
      </c>
      <c r="G89" s="1">
        <v>45</v>
      </c>
      <c r="H89" s="1">
        <v>43.74</v>
      </c>
      <c r="I89" s="1">
        <v>1968.3</v>
      </c>
      <c r="J89" s="1">
        <v>80.55</v>
      </c>
      <c r="K89" s="1">
        <v>312.75</v>
      </c>
      <c r="L89" s="1" t="s">
        <v>26</v>
      </c>
      <c r="M89" s="1" t="s">
        <v>32</v>
      </c>
      <c r="N89" s="1" t="s">
        <v>28</v>
      </c>
    </row>
    <row r="90" spans="1:14" x14ac:dyDescent="0.25">
      <c r="A90" s="1" t="s">
        <v>198</v>
      </c>
      <c r="B90" s="1" t="s">
        <v>874</v>
      </c>
      <c r="C90" s="1" t="s">
        <v>199</v>
      </c>
      <c r="D90" s="1" t="s">
        <v>24</v>
      </c>
      <c r="E90" s="1" t="s">
        <v>60</v>
      </c>
      <c r="F90" s="1" t="s">
        <v>52</v>
      </c>
      <c r="G90" s="1">
        <v>9</v>
      </c>
      <c r="H90" s="1">
        <v>24.63</v>
      </c>
      <c r="I90" s="1">
        <v>221.67</v>
      </c>
      <c r="J90" s="1">
        <v>13.53</v>
      </c>
      <c r="K90" s="1">
        <v>68.64</v>
      </c>
      <c r="L90" s="1" t="s">
        <v>26</v>
      </c>
      <c r="M90" s="1" t="s">
        <v>32</v>
      </c>
      <c r="N90" s="1" t="s">
        <v>28</v>
      </c>
    </row>
    <row r="91" spans="1:14" x14ac:dyDescent="0.25">
      <c r="A91" s="1" t="s">
        <v>200</v>
      </c>
      <c r="B91" s="1" t="s">
        <v>779</v>
      </c>
      <c r="C91" s="1" t="s">
        <v>41</v>
      </c>
      <c r="D91" s="1" t="s">
        <v>86</v>
      </c>
      <c r="E91" s="1" t="s">
        <v>60</v>
      </c>
      <c r="F91" s="1" t="s">
        <v>52</v>
      </c>
      <c r="G91" s="1">
        <v>6</v>
      </c>
      <c r="H91" s="1">
        <v>21.79</v>
      </c>
      <c r="I91" s="1">
        <v>130.74</v>
      </c>
      <c r="J91" s="1">
        <v>7.75</v>
      </c>
      <c r="K91" s="1">
        <v>29.99</v>
      </c>
      <c r="L91" s="1" t="s">
        <v>26</v>
      </c>
      <c r="M91" s="1" t="s">
        <v>32</v>
      </c>
      <c r="N91" s="1" t="s">
        <v>87</v>
      </c>
    </row>
    <row r="92" spans="1:14" x14ac:dyDescent="0.25">
      <c r="A92" s="1" t="s">
        <v>201</v>
      </c>
      <c r="B92" s="1" t="s">
        <v>1008</v>
      </c>
      <c r="C92" s="1" t="s">
        <v>202</v>
      </c>
      <c r="D92" s="1" t="s">
        <v>106</v>
      </c>
      <c r="E92" s="1" t="s">
        <v>17</v>
      </c>
      <c r="F92" s="1" t="s">
        <v>18</v>
      </c>
      <c r="G92" s="1">
        <v>23</v>
      </c>
      <c r="H92" s="1">
        <v>58.43</v>
      </c>
      <c r="I92" s="1">
        <v>1343.89</v>
      </c>
      <c r="J92" s="1">
        <v>38.729999999999997</v>
      </c>
      <c r="K92" s="1">
        <v>500.16</v>
      </c>
      <c r="L92" s="1" t="s">
        <v>26</v>
      </c>
      <c r="M92" s="1" t="s">
        <v>20</v>
      </c>
      <c r="N92" s="1" t="s">
        <v>28</v>
      </c>
    </row>
    <row r="93" spans="1:14" x14ac:dyDescent="0.25">
      <c r="A93" s="1" t="s">
        <v>203</v>
      </c>
      <c r="B93" s="1" t="s">
        <v>1002</v>
      </c>
      <c r="C93" s="1" t="s">
        <v>204</v>
      </c>
      <c r="D93" s="1" t="s">
        <v>69</v>
      </c>
      <c r="E93" s="1" t="s">
        <v>43</v>
      </c>
      <c r="F93" s="1" t="s">
        <v>44</v>
      </c>
      <c r="G93" s="1">
        <v>19</v>
      </c>
      <c r="H93" s="1">
        <v>67.06</v>
      </c>
      <c r="I93" s="1">
        <v>1274.1400000000001</v>
      </c>
      <c r="J93" s="1">
        <v>85.73</v>
      </c>
      <c r="K93" s="1">
        <v>428.41</v>
      </c>
      <c r="L93" s="1" t="s">
        <v>19</v>
      </c>
      <c r="M93" s="1" t="s">
        <v>27</v>
      </c>
      <c r="N93" s="1" t="s">
        <v>58</v>
      </c>
    </row>
    <row r="94" spans="1:14" x14ac:dyDescent="0.25">
      <c r="A94" s="1" t="s">
        <v>205</v>
      </c>
      <c r="B94" s="1" t="s">
        <v>995</v>
      </c>
      <c r="C94" s="1" t="s">
        <v>199</v>
      </c>
      <c r="D94" s="1" t="s">
        <v>31</v>
      </c>
      <c r="E94" s="1" t="s">
        <v>25</v>
      </c>
      <c r="F94" s="1" t="s">
        <v>18</v>
      </c>
      <c r="G94" s="1">
        <v>4</v>
      </c>
      <c r="H94" s="1">
        <v>25.13</v>
      </c>
      <c r="I94" s="1">
        <v>100.52</v>
      </c>
      <c r="J94" s="1">
        <v>5.6</v>
      </c>
      <c r="K94" s="1">
        <v>22.92</v>
      </c>
      <c r="L94" s="1" t="s">
        <v>26</v>
      </c>
      <c r="M94" s="1" t="s">
        <v>32</v>
      </c>
      <c r="N94" s="1" t="s">
        <v>28</v>
      </c>
    </row>
    <row r="95" spans="1:14" x14ac:dyDescent="0.25">
      <c r="A95" s="1" t="s">
        <v>206</v>
      </c>
      <c r="B95" s="1" t="s">
        <v>965</v>
      </c>
      <c r="C95" s="1" t="s">
        <v>207</v>
      </c>
      <c r="D95" s="1" t="s">
        <v>31</v>
      </c>
      <c r="E95" s="1" t="s">
        <v>60</v>
      </c>
      <c r="F95" s="1" t="s">
        <v>52</v>
      </c>
      <c r="G95" s="1">
        <v>26</v>
      </c>
      <c r="H95" s="1">
        <v>19.34</v>
      </c>
      <c r="I95" s="1">
        <v>502.84</v>
      </c>
      <c r="J95" s="1">
        <v>26.51</v>
      </c>
      <c r="K95" s="1">
        <v>73.33</v>
      </c>
      <c r="L95" s="1" t="s">
        <v>26</v>
      </c>
      <c r="M95" s="1" t="s">
        <v>20</v>
      </c>
      <c r="N95" s="1" t="s">
        <v>28</v>
      </c>
    </row>
    <row r="96" spans="1:14" x14ac:dyDescent="0.25">
      <c r="A96" s="1" t="s">
        <v>208</v>
      </c>
      <c r="B96" s="1" t="s">
        <v>977</v>
      </c>
      <c r="C96" s="1" t="s">
        <v>209</v>
      </c>
      <c r="D96" s="1" t="s">
        <v>86</v>
      </c>
      <c r="E96" s="1" t="s">
        <v>48</v>
      </c>
      <c r="F96" s="1" t="s">
        <v>37</v>
      </c>
      <c r="G96" s="1">
        <v>26</v>
      </c>
      <c r="H96" s="1">
        <v>35.81</v>
      </c>
      <c r="I96" s="1">
        <v>931.06</v>
      </c>
      <c r="J96" s="1">
        <v>61.06</v>
      </c>
      <c r="K96" s="1">
        <v>350</v>
      </c>
      <c r="L96" s="1" t="s">
        <v>19</v>
      </c>
      <c r="M96" s="1" t="s">
        <v>20</v>
      </c>
      <c r="N96" s="1" t="s">
        <v>87</v>
      </c>
    </row>
    <row r="97" spans="1:14" x14ac:dyDescent="0.25">
      <c r="A97" s="1" t="s">
        <v>210</v>
      </c>
      <c r="B97" s="1" t="s">
        <v>1007</v>
      </c>
      <c r="C97" s="1" t="s">
        <v>211</v>
      </c>
      <c r="D97" s="1" t="s">
        <v>69</v>
      </c>
      <c r="E97" s="1" t="s">
        <v>51</v>
      </c>
      <c r="F97" s="1" t="s">
        <v>52</v>
      </c>
      <c r="G97" s="1">
        <v>42</v>
      </c>
      <c r="H97" s="1">
        <v>39.950000000000003</v>
      </c>
      <c r="I97" s="1">
        <v>1677.9</v>
      </c>
      <c r="J97" s="1">
        <v>93.95</v>
      </c>
      <c r="K97" s="1">
        <v>638.95000000000005</v>
      </c>
      <c r="L97" s="1" t="s">
        <v>26</v>
      </c>
      <c r="M97" s="1" t="s">
        <v>27</v>
      </c>
      <c r="N97" s="1" t="s">
        <v>58</v>
      </c>
    </row>
    <row r="98" spans="1:14" x14ac:dyDescent="0.25">
      <c r="A98" s="1" t="s">
        <v>212</v>
      </c>
      <c r="B98" s="1" t="s">
        <v>1006</v>
      </c>
      <c r="C98" s="1" t="s">
        <v>89</v>
      </c>
      <c r="D98" s="1" t="s">
        <v>74</v>
      </c>
      <c r="E98" s="1" t="s">
        <v>17</v>
      </c>
      <c r="F98" s="1" t="s">
        <v>18</v>
      </c>
      <c r="G98" s="1">
        <v>38</v>
      </c>
      <c r="H98" s="1">
        <v>49.98</v>
      </c>
      <c r="I98" s="1">
        <v>1899.24</v>
      </c>
      <c r="J98" s="1">
        <v>112.91</v>
      </c>
      <c r="K98" s="1">
        <v>456.33</v>
      </c>
      <c r="L98" s="1" t="s">
        <v>38</v>
      </c>
      <c r="M98" s="1" t="s">
        <v>32</v>
      </c>
      <c r="N98" s="1" t="s">
        <v>58</v>
      </c>
    </row>
    <row r="99" spans="1:14" x14ac:dyDescent="0.25">
      <c r="A99" s="1" t="s">
        <v>213</v>
      </c>
      <c r="B99" s="1" t="s">
        <v>1005</v>
      </c>
      <c r="C99" s="1" t="s">
        <v>119</v>
      </c>
      <c r="D99" s="1" t="s">
        <v>77</v>
      </c>
      <c r="E99" s="1" t="s">
        <v>83</v>
      </c>
      <c r="F99" s="1" t="s">
        <v>52</v>
      </c>
      <c r="G99" s="1">
        <v>1</v>
      </c>
      <c r="H99" s="1">
        <v>45.84</v>
      </c>
      <c r="I99" s="1">
        <v>45.84</v>
      </c>
      <c r="J99" s="1">
        <v>1.26</v>
      </c>
      <c r="K99" s="1">
        <v>16.579999999999998</v>
      </c>
      <c r="L99" s="1" t="s">
        <v>38</v>
      </c>
      <c r="M99" s="1" t="s">
        <v>20</v>
      </c>
      <c r="N99" s="1" t="s">
        <v>58</v>
      </c>
    </row>
    <row r="100" spans="1:14" x14ac:dyDescent="0.25">
      <c r="A100" s="1" t="s">
        <v>214</v>
      </c>
      <c r="B100" s="1" t="s">
        <v>815</v>
      </c>
      <c r="C100" s="1" t="s">
        <v>189</v>
      </c>
      <c r="D100" s="1" t="s">
        <v>129</v>
      </c>
      <c r="E100" s="1" t="s">
        <v>25</v>
      </c>
      <c r="F100" s="1" t="s">
        <v>18</v>
      </c>
      <c r="G100" s="1">
        <v>38</v>
      </c>
      <c r="H100" s="1">
        <v>26.34</v>
      </c>
      <c r="I100" s="1">
        <v>1000.92</v>
      </c>
      <c r="J100" s="1">
        <v>47.88</v>
      </c>
      <c r="K100" s="1">
        <v>269.04000000000002</v>
      </c>
      <c r="L100" s="1" t="s">
        <v>19</v>
      </c>
      <c r="M100" s="1" t="s">
        <v>27</v>
      </c>
      <c r="N100" s="1" t="s">
        <v>130</v>
      </c>
    </row>
    <row r="101" spans="1:14" x14ac:dyDescent="0.25">
      <c r="A101" s="1" t="s">
        <v>215</v>
      </c>
      <c r="B101" s="1" t="s">
        <v>1004</v>
      </c>
      <c r="C101" s="1" t="s">
        <v>168</v>
      </c>
      <c r="D101" s="1" t="s">
        <v>106</v>
      </c>
      <c r="E101" s="1" t="s">
        <v>56</v>
      </c>
      <c r="F101" s="1" t="s">
        <v>57</v>
      </c>
      <c r="G101" s="1">
        <v>30</v>
      </c>
      <c r="H101" s="1">
        <v>36.43</v>
      </c>
      <c r="I101" s="1">
        <v>1092.9000000000001</v>
      </c>
      <c r="J101" s="1">
        <v>61.97</v>
      </c>
      <c r="K101" s="1">
        <v>280.93</v>
      </c>
      <c r="L101" s="1" t="s">
        <v>38</v>
      </c>
      <c r="M101" s="1" t="s">
        <v>27</v>
      </c>
      <c r="N101" s="1" t="s">
        <v>28</v>
      </c>
    </row>
    <row r="102" spans="1:14" x14ac:dyDescent="0.25">
      <c r="A102" s="1" t="s">
        <v>216</v>
      </c>
      <c r="B102" s="1" t="s">
        <v>1003</v>
      </c>
      <c r="C102" s="1" t="s">
        <v>193</v>
      </c>
      <c r="D102" s="1" t="s">
        <v>31</v>
      </c>
      <c r="E102" s="1" t="s">
        <v>63</v>
      </c>
      <c r="F102" s="1" t="s">
        <v>37</v>
      </c>
      <c r="G102" s="1">
        <v>9</v>
      </c>
      <c r="H102" s="1">
        <v>22.27</v>
      </c>
      <c r="I102" s="1">
        <v>200.43</v>
      </c>
      <c r="J102" s="1">
        <v>13.21</v>
      </c>
      <c r="K102" s="1">
        <v>72.47</v>
      </c>
      <c r="L102" s="1" t="s">
        <v>26</v>
      </c>
      <c r="M102" s="1" t="s">
        <v>27</v>
      </c>
      <c r="N102" s="1" t="s">
        <v>28</v>
      </c>
    </row>
    <row r="103" spans="1:14" x14ac:dyDescent="0.25">
      <c r="A103" s="1" t="s">
        <v>217</v>
      </c>
      <c r="B103" s="1" t="s">
        <v>1002</v>
      </c>
      <c r="C103" s="1" t="s">
        <v>100</v>
      </c>
      <c r="D103" s="1" t="s">
        <v>129</v>
      </c>
      <c r="E103" s="1" t="s">
        <v>60</v>
      </c>
      <c r="F103" s="1" t="s">
        <v>52</v>
      </c>
      <c r="G103" s="1">
        <v>26</v>
      </c>
      <c r="H103" s="1">
        <v>27.65</v>
      </c>
      <c r="I103" s="1">
        <v>718.9</v>
      </c>
      <c r="J103" s="1">
        <v>46.25</v>
      </c>
      <c r="K103" s="1">
        <v>269.64999999999998</v>
      </c>
      <c r="L103" s="1" t="s">
        <v>26</v>
      </c>
      <c r="M103" s="1" t="s">
        <v>32</v>
      </c>
      <c r="N103" s="1" t="s">
        <v>130</v>
      </c>
    </row>
    <row r="104" spans="1:14" x14ac:dyDescent="0.25">
      <c r="A104" s="1" t="s">
        <v>218</v>
      </c>
      <c r="B104" s="1" t="s">
        <v>972</v>
      </c>
      <c r="C104" s="1" t="s">
        <v>189</v>
      </c>
      <c r="D104" s="1" t="s">
        <v>24</v>
      </c>
      <c r="E104" s="1" t="s">
        <v>60</v>
      </c>
      <c r="F104" s="1" t="s">
        <v>52</v>
      </c>
      <c r="G104" s="1">
        <v>23</v>
      </c>
      <c r="H104" s="1">
        <v>22.45</v>
      </c>
      <c r="I104" s="1">
        <v>516.35</v>
      </c>
      <c r="J104" s="1">
        <v>15.68</v>
      </c>
      <c r="K104" s="1">
        <v>144.16999999999999</v>
      </c>
      <c r="L104" s="1" t="s">
        <v>38</v>
      </c>
      <c r="M104" s="1" t="s">
        <v>32</v>
      </c>
      <c r="N104" s="1" t="s">
        <v>28</v>
      </c>
    </row>
    <row r="105" spans="1:14" x14ac:dyDescent="0.25">
      <c r="A105" s="1" t="s">
        <v>219</v>
      </c>
      <c r="B105" s="1" t="s">
        <v>908</v>
      </c>
      <c r="C105" s="1" t="s">
        <v>123</v>
      </c>
      <c r="D105" s="1" t="s">
        <v>24</v>
      </c>
      <c r="E105" s="1" t="s">
        <v>60</v>
      </c>
      <c r="F105" s="1" t="s">
        <v>52</v>
      </c>
      <c r="G105" s="1">
        <v>30</v>
      </c>
      <c r="H105" s="1">
        <v>21.93</v>
      </c>
      <c r="I105" s="1">
        <v>657.9</v>
      </c>
      <c r="J105" s="1">
        <v>24.66</v>
      </c>
      <c r="K105" s="1">
        <v>168.24</v>
      </c>
      <c r="L105" s="1" t="s">
        <v>26</v>
      </c>
      <c r="M105" s="1" t="s">
        <v>20</v>
      </c>
      <c r="N105" s="1" t="s">
        <v>28</v>
      </c>
    </row>
    <row r="106" spans="1:14" x14ac:dyDescent="0.25">
      <c r="A106" s="1" t="s">
        <v>220</v>
      </c>
      <c r="B106" s="1" t="s">
        <v>795</v>
      </c>
      <c r="C106" s="1" t="s">
        <v>221</v>
      </c>
      <c r="D106" s="1" t="s">
        <v>69</v>
      </c>
      <c r="E106" s="1" t="s">
        <v>63</v>
      </c>
      <c r="F106" s="1" t="s">
        <v>37</v>
      </c>
      <c r="G106" s="1">
        <v>43</v>
      </c>
      <c r="H106" s="1">
        <v>21.92</v>
      </c>
      <c r="I106" s="1">
        <v>942.56</v>
      </c>
      <c r="J106" s="1">
        <v>51.15</v>
      </c>
      <c r="K106" s="1">
        <v>343.16</v>
      </c>
      <c r="L106" s="1" t="s">
        <v>19</v>
      </c>
      <c r="M106" s="1" t="s">
        <v>32</v>
      </c>
      <c r="N106" s="1" t="s">
        <v>58</v>
      </c>
    </row>
    <row r="107" spans="1:14" x14ac:dyDescent="0.25">
      <c r="A107" s="1" t="s">
        <v>222</v>
      </c>
      <c r="B107" s="1" t="s">
        <v>770</v>
      </c>
      <c r="C107" s="1" t="s">
        <v>62</v>
      </c>
      <c r="D107" s="1" t="s">
        <v>35</v>
      </c>
      <c r="E107" s="1" t="s">
        <v>43</v>
      </c>
      <c r="F107" s="1" t="s">
        <v>44</v>
      </c>
      <c r="G107" s="1">
        <v>3</v>
      </c>
      <c r="H107" s="1">
        <v>56.21</v>
      </c>
      <c r="I107" s="1">
        <v>168.63</v>
      </c>
      <c r="J107" s="1">
        <v>7.56</v>
      </c>
      <c r="K107" s="1">
        <v>41.07</v>
      </c>
      <c r="L107" s="1" t="s">
        <v>38</v>
      </c>
      <c r="M107" s="1" t="s">
        <v>20</v>
      </c>
      <c r="N107" s="1" t="s">
        <v>39</v>
      </c>
    </row>
    <row r="108" spans="1:14" x14ac:dyDescent="0.25">
      <c r="A108" s="1" t="s">
        <v>223</v>
      </c>
      <c r="B108" s="1" t="s">
        <v>1001</v>
      </c>
      <c r="C108" s="1" t="s">
        <v>15</v>
      </c>
      <c r="D108" s="1" t="s">
        <v>31</v>
      </c>
      <c r="E108" s="1" t="s">
        <v>63</v>
      </c>
      <c r="F108" s="1" t="s">
        <v>37</v>
      </c>
      <c r="G108" s="1">
        <v>33</v>
      </c>
      <c r="H108" s="1">
        <v>15.44</v>
      </c>
      <c r="I108" s="1">
        <v>509.52</v>
      </c>
      <c r="J108" s="1">
        <v>19.7</v>
      </c>
      <c r="K108" s="1">
        <v>69.069999999999993</v>
      </c>
      <c r="L108" s="1" t="s">
        <v>19</v>
      </c>
      <c r="M108" s="1" t="s">
        <v>32</v>
      </c>
      <c r="N108" s="1" t="s">
        <v>28</v>
      </c>
    </row>
    <row r="109" spans="1:14" x14ac:dyDescent="0.25">
      <c r="A109" s="1" t="s">
        <v>224</v>
      </c>
      <c r="B109" s="1" t="s">
        <v>1000</v>
      </c>
      <c r="C109" s="1" t="s">
        <v>93</v>
      </c>
      <c r="D109" s="1" t="s">
        <v>86</v>
      </c>
      <c r="E109" s="1" t="s">
        <v>60</v>
      </c>
      <c r="F109" s="1" t="s">
        <v>52</v>
      </c>
      <c r="G109" s="1">
        <v>50</v>
      </c>
      <c r="H109" s="1">
        <v>23.02</v>
      </c>
      <c r="I109" s="1">
        <v>1151</v>
      </c>
      <c r="J109" s="1">
        <v>69.3</v>
      </c>
      <c r="K109" s="1">
        <v>306.7</v>
      </c>
      <c r="L109" s="1" t="s">
        <v>26</v>
      </c>
      <c r="M109" s="1" t="s">
        <v>27</v>
      </c>
      <c r="N109" s="1" t="s">
        <v>87</v>
      </c>
    </row>
    <row r="110" spans="1:14" x14ac:dyDescent="0.25">
      <c r="A110" s="1" t="s">
        <v>225</v>
      </c>
      <c r="B110" s="1" t="s">
        <v>749</v>
      </c>
      <c r="C110" s="1" t="s">
        <v>226</v>
      </c>
      <c r="D110" s="1" t="s">
        <v>35</v>
      </c>
      <c r="E110" s="1" t="s">
        <v>63</v>
      </c>
      <c r="F110" s="1" t="s">
        <v>37</v>
      </c>
      <c r="G110" s="1">
        <v>8</v>
      </c>
      <c r="H110" s="1">
        <v>17.010000000000002</v>
      </c>
      <c r="I110" s="1">
        <v>136.08000000000001</v>
      </c>
      <c r="J110" s="1">
        <v>8.84</v>
      </c>
      <c r="K110" s="1">
        <v>25.24</v>
      </c>
      <c r="L110" s="1" t="s">
        <v>19</v>
      </c>
      <c r="M110" s="1" t="s">
        <v>32</v>
      </c>
      <c r="N110" s="1" t="s">
        <v>39</v>
      </c>
    </row>
    <row r="111" spans="1:14" x14ac:dyDescent="0.25">
      <c r="A111" s="1" t="s">
        <v>227</v>
      </c>
      <c r="B111" s="1" t="s">
        <v>999</v>
      </c>
      <c r="C111" s="1" t="s">
        <v>189</v>
      </c>
      <c r="D111" s="1" t="s">
        <v>106</v>
      </c>
      <c r="E111" s="1" t="s">
        <v>25</v>
      </c>
      <c r="F111" s="1" t="s">
        <v>18</v>
      </c>
      <c r="G111" s="1">
        <v>16</v>
      </c>
      <c r="H111" s="1">
        <v>26.47</v>
      </c>
      <c r="I111" s="1">
        <v>423.52</v>
      </c>
      <c r="J111" s="1">
        <v>15.87</v>
      </c>
      <c r="K111" s="1">
        <v>119.65</v>
      </c>
      <c r="L111" s="1" t="s">
        <v>26</v>
      </c>
      <c r="M111" s="1" t="s">
        <v>20</v>
      </c>
      <c r="N111" s="1" t="s">
        <v>28</v>
      </c>
    </row>
    <row r="112" spans="1:14" x14ac:dyDescent="0.25">
      <c r="A112" s="1" t="s">
        <v>228</v>
      </c>
      <c r="B112" s="1" t="s">
        <v>998</v>
      </c>
      <c r="C112" s="1" t="s">
        <v>170</v>
      </c>
      <c r="D112" s="1" t="s">
        <v>35</v>
      </c>
      <c r="E112" s="1" t="s">
        <v>36</v>
      </c>
      <c r="F112" s="1" t="s">
        <v>37</v>
      </c>
      <c r="G112" s="1">
        <v>32</v>
      </c>
      <c r="H112" s="1">
        <v>43.18</v>
      </c>
      <c r="I112" s="1">
        <v>1381.76</v>
      </c>
      <c r="J112" s="1">
        <v>88.54</v>
      </c>
      <c r="K112" s="1">
        <v>269.22000000000003</v>
      </c>
      <c r="L112" s="1" t="s">
        <v>26</v>
      </c>
      <c r="M112" s="1" t="s">
        <v>32</v>
      </c>
      <c r="N112" s="1" t="s">
        <v>39</v>
      </c>
    </row>
    <row r="113" spans="1:14" x14ac:dyDescent="0.25">
      <c r="A113" s="1" t="s">
        <v>229</v>
      </c>
      <c r="B113" s="1" t="s">
        <v>906</v>
      </c>
      <c r="C113" s="1" t="s">
        <v>110</v>
      </c>
      <c r="D113" s="1" t="s">
        <v>129</v>
      </c>
      <c r="E113" s="1" t="s">
        <v>60</v>
      </c>
      <c r="F113" s="1" t="s">
        <v>52</v>
      </c>
      <c r="G113" s="1">
        <v>29</v>
      </c>
      <c r="H113" s="1">
        <v>18.850000000000001</v>
      </c>
      <c r="I113" s="1">
        <v>546.65</v>
      </c>
      <c r="J113" s="1">
        <v>13.22</v>
      </c>
      <c r="K113" s="1">
        <v>83.93</v>
      </c>
      <c r="L113" s="1" t="s">
        <v>19</v>
      </c>
      <c r="M113" s="1" t="s">
        <v>32</v>
      </c>
      <c r="N113" s="1" t="s">
        <v>130</v>
      </c>
    </row>
    <row r="114" spans="1:14" x14ac:dyDescent="0.25">
      <c r="A114" s="1" t="s">
        <v>230</v>
      </c>
      <c r="B114" s="1" t="s">
        <v>997</v>
      </c>
      <c r="C114" s="1" t="s">
        <v>231</v>
      </c>
      <c r="D114" s="1" t="s">
        <v>106</v>
      </c>
      <c r="E114" s="1" t="s">
        <v>43</v>
      </c>
      <c r="F114" s="1" t="s">
        <v>44</v>
      </c>
      <c r="G114" s="1">
        <v>16</v>
      </c>
      <c r="H114" s="1">
        <v>64.400000000000006</v>
      </c>
      <c r="I114" s="1">
        <v>1030.4000000000001</v>
      </c>
      <c r="J114" s="1">
        <v>61.72</v>
      </c>
      <c r="K114" s="1">
        <v>328.68</v>
      </c>
      <c r="L114" s="1" t="s">
        <v>26</v>
      </c>
      <c r="M114" s="1" t="s">
        <v>27</v>
      </c>
      <c r="N114" s="1" t="s">
        <v>28</v>
      </c>
    </row>
    <row r="115" spans="1:14" x14ac:dyDescent="0.25">
      <c r="A115" s="1" t="s">
        <v>232</v>
      </c>
      <c r="B115" s="1" t="s">
        <v>996</v>
      </c>
      <c r="C115" s="1" t="s">
        <v>233</v>
      </c>
      <c r="D115" s="1" t="s">
        <v>69</v>
      </c>
      <c r="E115" s="1" t="s">
        <v>60</v>
      </c>
      <c r="F115" s="1" t="s">
        <v>52</v>
      </c>
      <c r="G115" s="1">
        <v>15</v>
      </c>
      <c r="H115" s="1">
        <v>19.53</v>
      </c>
      <c r="I115" s="1">
        <v>292.95</v>
      </c>
      <c r="J115" s="1">
        <v>7.15</v>
      </c>
      <c r="K115" s="1">
        <v>53.3</v>
      </c>
      <c r="L115" s="1" t="s">
        <v>38</v>
      </c>
      <c r="M115" s="1" t="s">
        <v>27</v>
      </c>
      <c r="N115" s="1" t="s">
        <v>58</v>
      </c>
    </row>
    <row r="116" spans="1:14" x14ac:dyDescent="0.25">
      <c r="A116" s="1" t="s">
        <v>234</v>
      </c>
      <c r="B116" s="1" t="s">
        <v>995</v>
      </c>
      <c r="C116" s="1" t="s">
        <v>113</v>
      </c>
      <c r="D116" s="1" t="s">
        <v>151</v>
      </c>
      <c r="E116" s="1" t="s">
        <v>48</v>
      </c>
      <c r="F116" s="1" t="s">
        <v>37</v>
      </c>
      <c r="G116" s="1">
        <v>36</v>
      </c>
      <c r="H116" s="1">
        <v>26.05</v>
      </c>
      <c r="I116" s="1">
        <v>937.8</v>
      </c>
      <c r="J116" s="1">
        <v>32.799999999999997</v>
      </c>
      <c r="K116" s="1">
        <v>185</v>
      </c>
      <c r="L116" s="1" t="s">
        <v>19</v>
      </c>
      <c r="M116" s="1" t="s">
        <v>32</v>
      </c>
      <c r="N116" s="1" t="s">
        <v>28</v>
      </c>
    </row>
    <row r="117" spans="1:14" x14ac:dyDescent="0.25">
      <c r="A117" s="1" t="s">
        <v>235</v>
      </c>
      <c r="B117" s="1" t="s">
        <v>994</v>
      </c>
      <c r="C117" s="1" t="s">
        <v>54</v>
      </c>
      <c r="D117" s="1" t="s">
        <v>86</v>
      </c>
      <c r="E117" s="1" t="s">
        <v>36</v>
      </c>
      <c r="F117" s="1" t="s">
        <v>37</v>
      </c>
      <c r="G117" s="1">
        <v>26</v>
      </c>
      <c r="H117" s="1">
        <v>47.52</v>
      </c>
      <c r="I117" s="1">
        <v>1235.52</v>
      </c>
      <c r="J117" s="1">
        <v>31.41</v>
      </c>
      <c r="K117" s="1">
        <v>372.11</v>
      </c>
      <c r="L117" s="1" t="s">
        <v>26</v>
      </c>
      <c r="M117" s="1" t="s">
        <v>20</v>
      </c>
      <c r="N117" s="1" t="s">
        <v>87</v>
      </c>
    </row>
    <row r="118" spans="1:14" x14ac:dyDescent="0.25">
      <c r="A118" s="1" t="s">
        <v>236</v>
      </c>
      <c r="B118" s="1" t="s">
        <v>846</v>
      </c>
      <c r="C118" s="1" t="s">
        <v>211</v>
      </c>
      <c r="D118" s="1" t="s">
        <v>106</v>
      </c>
      <c r="E118" s="1" t="s">
        <v>25</v>
      </c>
      <c r="F118" s="1" t="s">
        <v>18</v>
      </c>
      <c r="G118" s="1">
        <v>38</v>
      </c>
      <c r="H118" s="1">
        <v>26.38</v>
      </c>
      <c r="I118" s="1">
        <v>1002.44</v>
      </c>
      <c r="J118" s="1">
        <v>33.049999999999997</v>
      </c>
      <c r="K118" s="1">
        <v>285.39</v>
      </c>
      <c r="L118" s="1" t="s">
        <v>26</v>
      </c>
      <c r="M118" s="1" t="s">
        <v>20</v>
      </c>
      <c r="N118" s="1" t="s">
        <v>28</v>
      </c>
    </row>
    <row r="119" spans="1:14" x14ac:dyDescent="0.25">
      <c r="A119" s="1" t="s">
        <v>237</v>
      </c>
      <c r="B119" s="1" t="s">
        <v>965</v>
      </c>
      <c r="C119" s="1" t="s">
        <v>139</v>
      </c>
      <c r="D119" s="1" t="s">
        <v>77</v>
      </c>
      <c r="E119" s="1" t="s">
        <v>63</v>
      </c>
      <c r="F119" s="1" t="s">
        <v>37</v>
      </c>
      <c r="G119" s="1">
        <v>7</v>
      </c>
      <c r="H119" s="1">
        <v>17.66</v>
      </c>
      <c r="I119" s="1">
        <v>123.62</v>
      </c>
      <c r="J119" s="1">
        <v>6.95</v>
      </c>
      <c r="K119" s="1">
        <v>27.42</v>
      </c>
      <c r="L119" s="1" t="s">
        <v>19</v>
      </c>
      <c r="M119" s="1" t="s">
        <v>20</v>
      </c>
      <c r="N119" s="1" t="s">
        <v>58</v>
      </c>
    </row>
    <row r="120" spans="1:14" x14ac:dyDescent="0.25">
      <c r="A120" s="1" t="s">
        <v>238</v>
      </c>
      <c r="B120" s="1" t="s">
        <v>947</v>
      </c>
      <c r="C120" s="1" t="s">
        <v>142</v>
      </c>
      <c r="D120" s="1" t="s">
        <v>129</v>
      </c>
      <c r="E120" s="1" t="s">
        <v>17</v>
      </c>
      <c r="F120" s="1" t="s">
        <v>18</v>
      </c>
      <c r="G120" s="1">
        <v>26</v>
      </c>
      <c r="H120" s="1">
        <v>51.5</v>
      </c>
      <c r="I120" s="1">
        <v>1339</v>
      </c>
      <c r="J120" s="1">
        <v>92.09</v>
      </c>
      <c r="K120" s="1">
        <v>336.91</v>
      </c>
      <c r="L120" s="1" t="s">
        <v>26</v>
      </c>
      <c r="M120" s="1" t="s">
        <v>27</v>
      </c>
      <c r="N120" s="1" t="s">
        <v>130</v>
      </c>
    </row>
    <row r="121" spans="1:14" x14ac:dyDescent="0.25">
      <c r="A121" s="1" t="s">
        <v>239</v>
      </c>
      <c r="B121" s="1" t="s">
        <v>993</v>
      </c>
      <c r="C121" s="1" t="s">
        <v>240</v>
      </c>
      <c r="D121" s="1" t="s">
        <v>16</v>
      </c>
      <c r="E121" s="1" t="s">
        <v>60</v>
      </c>
      <c r="F121" s="1" t="s">
        <v>52</v>
      </c>
      <c r="G121" s="1">
        <v>27</v>
      </c>
      <c r="H121" s="1">
        <v>25</v>
      </c>
      <c r="I121" s="1">
        <v>675</v>
      </c>
      <c r="J121" s="1">
        <v>15.49</v>
      </c>
      <c r="K121" s="1">
        <v>241.01</v>
      </c>
      <c r="L121" s="1" t="s">
        <v>26</v>
      </c>
      <c r="M121" s="1" t="s">
        <v>27</v>
      </c>
      <c r="N121" s="1" t="s">
        <v>21</v>
      </c>
    </row>
    <row r="122" spans="1:14" x14ac:dyDescent="0.25">
      <c r="A122" s="1" t="s">
        <v>241</v>
      </c>
      <c r="B122" s="1" t="s">
        <v>992</v>
      </c>
      <c r="C122" s="1" t="s">
        <v>46</v>
      </c>
      <c r="D122" s="1" t="s">
        <v>86</v>
      </c>
      <c r="E122" s="1" t="s">
        <v>63</v>
      </c>
      <c r="F122" s="1" t="s">
        <v>37</v>
      </c>
      <c r="G122" s="1">
        <v>4</v>
      </c>
      <c r="H122" s="1">
        <v>19</v>
      </c>
      <c r="I122" s="1">
        <v>76</v>
      </c>
      <c r="J122" s="1">
        <v>3.78</v>
      </c>
      <c r="K122" s="1">
        <v>21.22</v>
      </c>
      <c r="L122" s="1" t="s">
        <v>26</v>
      </c>
      <c r="M122" s="1" t="s">
        <v>32</v>
      </c>
      <c r="N122" s="1" t="s">
        <v>87</v>
      </c>
    </row>
    <row r="123" spans="1:14" x14ac:dyDescent="0.25">
      <c r="A123" s="1" t="s">
        <v>242</v>
      </c>
      <c r="B123" s="1" t="s">
        <v>991</v>
      </c>
      <c r="C123" s="1" t="s">
        <v>193</v>
      </c>
      <c r="D123" s="1" t="s">
        <v>42</v>
      </c>
      <c r="E123" s="1" t="s">
        <v>60</v>
      </c>
      <c r="F123" s="1" t="s">
        <v>52</v>
      </c>
      <c r="G123" s="1">
        <v>24</v>
      </c>
      <c r="H123" s="1">
        <v>26.63</v>
      </c>
      <c r="I123" s="1">
        <v>639.12</v>
      </c>
      <c r="J123" s="1">
        <v>31.92</v>
      </c>
      <c r="K123" s="1">
        <v>235.2</v>
      </c>
      <c r="L123" s="1" t="s">
        <v>38</v>
      </c>
      <c r="M123" s="1" t="s">
        <v>32</v>
      </c>
      <c r="N123" s="1" t="s">
        <v>21</v>
      </c>
    </row>
    <row r="124" spans="1:14" x14ac:dyDescent="0.25">
      <c r="A124" s="1" t="s">
        <v>243</v>
      </c>
      <c r="B124" s="1" t="s">
        <v>794</v>
      </c>
      <c r="C124" s="1" t="s">
        <v>81</v>
      </c>
      <c r="D124" s="1" t="s">
        <v>69</v>
      </c>
      <c r="E124" s="1" t="s">
        <v>56</v>
      </c>
      <c r="F124" s="1" t="s">
        <v>57</v>
      </c>
      <c r="G124" s="1">
        <v>26</v>
      </c>
      <c r="H124" s="1">
        <v>43.14</v>
      </c>
      <c r="I124" s="1">
        <v>1121.6400000000001</v>
      </c>
      <c r="J124" s="1">
        <v>48.08</v>
      </c>
      <c r="K124" s="1">
        <v>423.56</v>
      </c>
      <c r="L124" s="1" t="s">
        <v>19</v>
      </c>
      <c r="M124" s="1" t="s">
        <v>27</v>
      </c>
      <c r="N124" s="1" t="s">
        <v>58</v>
      </c>
    </row>
    <row r="125" spans="1:14" x14ac:dyDescent="0.25">
      <c r="A125" s="1" t="s">
        <v>244</v>
      </c>
      <c r="B125" s="1" t="s">
        <v>912</v>
      </c>
      <c r="C125" s="1" t="s">
        <v>199</v>
      </c>
      <c r="D125" s="1" t="s">
        <v>42</v>
      </c>
      <c r="E125" s="1" t="s">
        <v>56</v>
      </c>
      <c r="F125" s="1" t="s">
        <v>57</v>
      </c>
      <c r="G125" s="1">
        <v>39</v>
      </c>
      <c r="H125" s="1">
        <v>30.01</v>
      </c>
      <c r="I125" s="1">
        <v>1170.3900000000001</v>
      </c>
      <c r="J125" s="1">
        <v>60.43</v>
      </c>
      <c r="K125" s="1">
        <v>134.96</v>
      </c>
      <c r="L125" s="1" t="s">
        <v>26</v>
      </c>
      <c r="M125" s="1" t="s">
        <v>20</v>
      </c>
      <c r="N125" s="1" t="s">
        <v>21</v>
      </c>
    </row>
    <row r="126" spans="1:14" x14ac:dyDescent="0.25">
      <c r="A126" s="1" t="s">
        <v>245</v>
      </c>
      <c r="B126" s="1" t="s">
        <v>985</v>
      </c>
      <c r="C126" s="1" t="s">
        <v>246</v>
      </c>
      <c r="D126" s="1" t="s">
        <v>151</v>
      </c>
      <c r="E126" s="1" t="s">
        <v>51</v>
      </c>
      <c r="F126" s="1" t="s">
        <v>52</v>
      </c>
      <c r="G126" s="1">
        <v>5</v>
      </c>
      <c r="H126" s="1">
        <v>31.31</v>
      </c>
      <c r="I126" s="1">
        <v>156.55000000000001</v>
      </c>
      <c r="J126" s="1">
        <v>4.04</v>
      </c>
      <c r="K126" s="1">
        <v>40.01</v>
      </c>
      <c r="L126" s="1" t="s">
        <v>38</v>
      </c>
      <c r="M126" s="1" t="s">
        <v>32</v>
      </c>
      <c r="N126" s="1" t="s">
        <v>28</v>
      </c>
    </row>
    <row r="127" spans="1:14" x14ac:dyDescent="0.25">
      <c r="A127" s="1" t="s">
        <v>247</v>
      </c>
      <c r="B127" s="1" t="s">
        <v>888</v>
      </c>
      <c r="C127" s="1" t="s">
        <v>183</v>
      </c>
      <c r="D127" s="1" t="s">
        <v>16</v>
      </c>
      <c r="E127" s="1" t="s">
        <v>83</v>
      </c>
      <c r="F127" s="1" t="s">
        <v>52</v>
      </c>
      <c r="G127" s="1">
        <v>42</v>
      </c>
      <c r="H127" s="1">
        <v>36.950000000000003</v>
      </c>
      <c r="I127" s="1">
        <v>1551.9</v>
      </c>
      <c r="J127" s="1">
        <v>74.260000000000005</v>
      </c>
      <c r="K127" s="1">
        <v>301.64</v>
      </c>
      <c r="L127" s="1" t="s">
        <v>26</v>
      </c>
      <c r="M127" s="1" t="s">
        <v>27</v>
      </c>
      <c r="N127" s="1" t="s">
        <v>21</v>
      </c>
    </row>
    <row r="128" spans="1:14" x14ac:dyDescent="0.25">
      <c r="A128" s="1" t="s">
        <v>248</v>
      </c>
      <c r="B128" s="1" t="s">
        <v>901</v>
      </c>
      <c r="C128" s="1" t="s">
        <v>249</v>
      </c>
      <c r="D128" s="1" t="s">
        <v>69</v>
      </c>
      <c r="E128" s="1" t="s">
        <v>43</v>
      </c>
      <c r="F128" s="1" t="s">
        <v>44</v>
      </c>
      <c r="G128" s="1">
        <v>36</v>
      </c>
      <c r="H128" s="1">
        <v>57.37</v>
      </c>
      <c r="I128" s="1">
        <v>2065.3200000000002</v>
      </c>
      <c r="J128" s="1">
        <v>94.34</v>
      </c>
      <c r="K128" s="1">
        <v>530.98</v>
      </c>
      <c r="L128" s="1" t="s">
        <v>38</v>
      </c>
      <c r="M128" s="1" t="s">
        <v>20</v>
      </c>
      <c r="N128" s="1" t="s">
        <v>58</v>
      </c>
    </row>
    <row r="129" spans="1:14" x14ac:dyDescent="0.25">
      <c r="A129" s="1" t="s">
        <v>250</v>
      </c>
      <c r="B129" s="1" t="s">
        <v>938</v>
      </c>
      <c r="C129" s="1" t="s">
        <v>34</v>
      </c>
      <c r="D129" s="1" t="s">
        <v>74</v>
      </c>
      <c r="E129" s="1" t="s">
        <v>83</v>
      </c>
      <c r="F129" s="1" t="s">
        <v>52</v>
      </c>
      <c r="G129" s="1">
        <v>13</v>
      </c>
      <c r="H129" s="1">
        <v>40.18</v>
      </c>
      <c r="I129" s="1">
        <v>522.34</v>
      </c>
      <c r="J129" s="1">
        <v>37.369999999999997</v>
      </c>
      <c r="K129" s="1">
        <v>120.97</v>
      </c>
      <c r="L129" s="1" t="s">
        <v>26</v>
      </c>
      <c r="M129" s="1" t="s">
        <v>32</v>
      </c>
      <c r="N129" s="1" t="s">
        <v>58</v>
      </c>
    </row>
    <row r="130" spans="1:14" x14ac:dyDescent="0.25">
      <c r="A130" s="1" t="s">
        <v>251</v>
      </c>
      <c r="B130" s="1" t="s">
        <v>948</v>
      </c>
      <c r="C130" s="1" t="s">
        <v>207</v>
      </c>
      <c r="D130" s="1" t="s">
        <v>77</v>
      </c>
      <c r="E130" s="1" t="s">
        <v>36</v>
      </c>
      <c r="F130" s="1" t="s">
        <v>37</v>
      </c>
      <c r="G130" s="1">
        <v>37</v>
      </c>
      <c r="H130" s="1">
        <v>39.299999999999997</v>
      </c>
      <c r="I130" s="1">
        <v>1454.1</v>
      </c>
      <c r="J130" s="1">
        <v>67.08</v>
      </c>
      <c r="K130" s="1">
        <v>203.02</v>
      </c>
      <c r="L130" s="1" t="s">
        <v>38</v>
      </c>
      <c r="M130" s="1" t="s">
        <v>20</v>
      </c>
      <c r="N130" s="1" t="s">
        <v>58</v>
      </c>
    </row>
    <row r="131" spans="1:14" x14ac:dyDescent="0.25">
      <c r="A131" s="1" t="s">
        <v>252</v>
      </c>
      <c r="B131" s="1" t="s">
        <v>990</v>
      </c>
      <c r="C131" s="1" t="s">
        <v>193</v>
      </c>
      <c r="D131" s="1" t="s">
        <v>42</v>
      </c>
      <c r="E131" s="1" t="s">
        <v>36</v>
      </c>
      <c r="F131" s="1" t="s">
        <v>37</v>
      </c>
      <c r="G131" s="1">
        <v>17</v>
      </c>
      <c r="H131" s="1">
        <v>43.28</v>
      </c>
      <c r="I131" s="1">
        <v>735.76</v>
      </c>
      <c r="J131" s="1">
        <v>50.96</v>
      </c>
      <c r="K131" s="1">
        <v>140.80000000000001</v>
      </c>
      <c r="L131" s="1" t="s">
        <v>26</v>
      </c>
      <c r="M131" s="1" t="s">
        <v>27</v>
      </c>
      <c r="N131" s="1" t="s">
        <v>21</v>
      </c>
    </row>
    <row r="132" spans="1:14" x14ac:dyDescent="0.25">
      <c r="A132" s="1" t="s">
        <v>253</v>
      </c>
      <c r="B132" s="1" t="s">
        <v>955</v>
      </c>
      <c r="C132" s="1" t="s">
        <v>15</v>
      </c>
      <c r="D132" s="1" t="s">
        <v>74</v>
      </c>
      <c r="E132" s="1" t="s">
        <v>17</v>
      </c>
      <c r="F132" s="1" t="s">
        <v>18</v>
      </c>
      <c r="G132" s="1">
        <v>22</v>
      </c>
      <c r="H132" s="1">
        <v>62.79</v>
      </c>
      <c r="I132" s="1">
        <v>1381.38</v>
      </c>
      <c r="J132" s="1">
        <v>75.84</v>
      </c>
      <c r="K132" s="1">
        <v>535.54</v>
      </c>
      <c r="L132" s="1" t="s">
        <v>38</v>
      </c>
      <c r="M132" s="1" t="s">
        <v>32</v>
      </c>
      <c r="N132" s="1" t="s">
        <v>58</v>
      </c>
    </row>
    <row r="133" spans="1:14" x14ac:dyDescent="0.25">
      <c r="A133" s="1" t="s">
        <v>254</v>
      </c>
      <c r="B133" s="1" t="s">
        <v>759</v>
      </c>
      <c r="C133" s="1" t="s">
        <v>156</v>
      </c>
      <c r="D133" s="1" t="s">
        <v>151</v>
      </c>
      <c r="E133" s="1" t="s">
        <v>43</v>
      </c>
      <c r="F133" s="1" t="s">
        <v>44</v>
      </c>
      <c r="G133" s="1">
        <v>23</v>
      </c>
      <c r="H133" s="1">
        <v>56.76</v>
      </c>
      <c r="I133" s="1">
        <v>1305.48</v>
      </c>
      <c r="J133" s="1">
        <v>62.93</v>
      </c>
      <c r="K133" s="1">
        <v>322.55</v>
      </c>
      <c r="L133" s="1" t="s">
        <v>38</v>
      </c>
      <c r="M133" s="1" t="s">
        <v>32</v>
      </c>
      <c r="N133" s="1" t="s">
        <v>28</v>
      </c>
    </row>
    <row r="134" spans="1:14" x14ac:dyDescent="0.25">
      <c r="A134" s="1" t="s">
        <v>255</v>
      </c>
      <c r="B134" s="1" t="s">
        <v>867</v>
      </c>
      <c r="C134" s="1" t="s">
        <v>30</v>
      </c>
      <c r="D134" s="1" t="s">
        <v>24</v>
      </c>
      <c r="E134" s="1" t="s">
        <v>43</v>
      </c>
      <c r="F134" s="1" t="s">
        <v>44</v>
      </c>
      <c r="G134" s="1">
        <v>22</v>
      </c>
      <c r="H134" s="1">
        <v>60.13</v>
      </c>
      <c r="I134" s="1">
        <v>1322.86</v>
      </c>
      <c r="J134" s="1">
        <v>54.06</v>
      </c>
      <c r="K134" s="1">
        <v>388.8</v>
      </c>
      <c r="L134" s="1" t="s">
        <v>38</v>
      </c>
      <c r="M134" s="1" t="s">
        <v>27</v>
      </c>
      <c r="N134" s="1" t="s">
        <v>28</v>
      </c>
    </row>
    <row r="135" spans="1:14" x14ac:dyDescent="0.25">
      <c r="A135" s="1" t="s">
        <v>256</v>
      </c>
      <c r="B135" s="1" t="s">
        <v>794</v>
      </c>
      <c r="C135" s="1" t="s">
        <v>257</v>
      </c>
      <c r="D135" s="1" t="s">
        <v>69</v>
      </c>
      <c r="E135" s="1" t="s">
        <v>56</v>
      </c>
      <c r="F135" s="1" t="s">
        <v>57</v>
      </c>
      <c r="G135" s="1">
        <v>21</v>
      </c>
      <c r="H135" s="1">
        <v>40.98</v>
      </c>
      <c r="I135" s="1">
        <v>860.58</v>
      </c>
      <c r="J135" s="1">
        <v>37.01</v>
      </c>
      <c r="K135" s="1">
        <v>298.57</v>
      </c>
      <c r="L135" s="1" t="s">
        <v>19</v>
      </c>
      <c r="M135" s="1" t="s">
        <v>32</v>
      </c>
      <c r="N135" s="1" t="s">
        <v>58</v>
      </c>
    </row>
    <row r="136" spans="1:14" x14ac:dyDescent="0.25">
      <c r="A136" s="1" t="s">
        <v>258</v>
      </c>
      <c r="B136" s="1" t="s">
        <v>735</v>
      </c>
      <c r="C136" s="1" t="s">
        <v>117</v>
      </c>
      <c r="D136" s="1" t="s">
        <v>35</v>
      </c>
      <c r="E136" s="1" t="s">
        <v>43</v>
      </c>
      <c r="F136" s="1" t="s">
        <v>44</v>
      </c>
      <c r="G136" s="1">
        <v>36</v>
      </c>
      <c r="H136" s="1">
        <v>54.6</v>
      </c>
      <c r="I136" s="1">
        <v>1965.6</v>
      </c>
      <c r="J136" s="1">
        <v>150.34</v>
      </c>
      <c r="K136" s="1">
        <v>375.26</v>
      </c>
      <c r="L136" s="1" t="s">
        <v>26</v>
      </c>
      <c r="M136" s="1" t="s">
        <v>20</v>
      </c>
      <c r="N136" s="1" t="s">
        <v>39</v>
      </c>
    </row>
    <row r="137" spans="1:14" x14ac:dyDescent="0.25">
      <c r="A137" s="1" t="s">
        <v>259</v>
      </c>
      <c r="B137" s="1" t="s">
        <v>989</v>
      </c>
      <c r="C137" s="1" t="s">
        <v>226</v>
      </c>
      <c r="D137" s="1" t="s">
        <v>31</v>
      </c>
      <c r="E137" s="1" t="s">
        <v>60</v>
      </c>
      <c r="F137" s="1" t="s">
        <v>52</v>
      </c>
      <c r="G137" s="1">
        <v>1</v>
      </c>
      <c r="H137" s="1">
        <v>27.49</v>
      </c>
      <c r="I137" s="1">
        <v>27.49</v>
      </c>
      <c r="J137" s="1">
        <v>0.63</v>
      </c>
      <c r="K137" s="1">
        <v>11.36</v>
      </c>
      <c r="L137" s="1" t="s">
        <v>26</v>
      </c>
      <c r="M137" s="1" t="s">
        <v>32</v>
      </c>
      <c r="N137" s="1" t="s">
        <v>28</v>
      </c>
    </row>
    <row r="138" spans="1:14" x14ac:dyDescent="0.25">
      <c r="A138" s="1" t="s">
        <v>260</v>
      </c>
      <c r="B138" s="1" t="s">
        <v>805</v>
      </c>
      <c r="C138" s="1" t="s">
        <v>261</v>
      </c>
      <c r="D138" s="1" t="s">
        <v>69</v>
      </c>
      <c r="E138" s="1" t="s">
        <v>36</v>
      </c>
      <c r="F138" s="1" t="s">
        <v>37</v>
      </c>
      <c r="G138" s="1">
        <v>50</v>
      </c>
      <c r="H138" s="1">
        <v>41.11</v>
      </c>
      <c r="I138" s="1">
        <v>2055.5</v>
      </c>
      <c r="J138" s="1">
        <v>95.61</v>
      </c>
      <c r="K138" s="1">
        <v>359.89</v>
      </c>
      <c r="L138" s="1" t="s">
        <v>38</v>
      </c>
      <c r="M138" s="1" t="s">
        <v>27</v>
      </c>
      <c r="N138" s="1" t="s">
        <v>58</v>
      </c>
    </row>
    <row r="139" spans="1:14" x14ac:dyDescent="0.25">
      <c r="A139" s="1" t="s">
        <v>262</v>
      </c>
      <c r="B139" s="1" t="s">
        <v>825</v>
      </c>
      <c r="C139" s="1" t="s">
        <v>119</v>
      </c>
      <c r="D139" s="1" t="s">
        <v>55</v>
      </c>
      <c r="E139" s="1" t="s">
        <v>60</v>
      </c>
      <c r="F139" s="1" t="s">
        <v>52</v>
      </c>
      <c r="G139" s="1">
        <v>18</v>
      </c>
      <c r="H139" s="1">
        <v>25.54</v>
      </c>
      <c r="I139" s="1">
        <v>459.72</v>
      </c>
      <c r="J139" s="1">
        <v>27.02</v>
      </c>
      <c r="K139" s="1">
        <v>153.69999999999999</v>
      </c>
      <c r="L139" s="1" t="s">
        <v>26</v>
      </c>
      <c r="M139" s="1" t="s">
        <v>20</v>
      </c>
      <c r="N139" s="1" t="s">
        <v>58</v>
      </c>
    </row>
    <row r="140" spans="1:14" x14ac:dyDescent="0.25">
      <c r="A140" s="1" t="s">
        <v>263</v>
      </c>
      <c r="B140" s="1" t="s">
        <v>845</v>
      </c>
      <c r="C140" s="1" t="s">
        <v>231</v>
      </c>
      <c r="D140" s="1" t="s">
        <v>77</v>
      </c>
      <c r="E140" s="1" t="s">
        <v>83</v>
      </c>
      <c r="F140" s="1" t="s">
        <v>52</v>
      </c>
      <c r="G140" s="1">
        <v>4</v>
      </c>
      <c r="H140" s="1">
        <v>47.52</v>
      </c>
      <c r="I140" s="1">
        <v>190.08</v>
      </c>
      <c r="J140" s="1">
        <v>10.23</v>
      </c>
      <c r="K140" s="1">
        <v>67.849999999999994</v>
      </c>
      <c r="L140" s="1" t="s">
        <v>19</v>
      </c>
      <c r="M140" s="1" t="s">
        <v>20</v>
      </c>
      <c r="N140" s="1" t="s">
        <v>58</v>
      </c>
    </row>
    <row r="141" spans="1:14" x14ac:dyDescent="0.25">
      <c r="A141" s="1" t="s">
        <v>264</v>
      </c>
      <c r="B141" s="1" t="s">
        <v>892</v>
      </c>
      <c r="C141" s="1" t="s">
        <v>170</v>
      </c>
      <c r="D141" s="1" t="s">
        <v>31</v>
      </c>
      <c r="E141" s="1" t="s">
        <v>56</v>
      </c>
      <c r="F141" s="1" t="s">
        <v>57</v>
      </c>
      <c r="G141" s="1">
        <v>29</v>
      </c>
      <c r="H141" s="1">
        <v>30.48</v>
      </c>
      <c r="I141" s="1">
        <v>883.92</v>
      </c>
      <c r="J141" s="1">
        <v>33.15</v>
      </c>
      <c r="K141" s="1">
        <v>125.77</v>
      </c>
      <c r="L141" s="1" t="s">
        <v>38</v>
      </c>
      <c r="M141" s="1" t="s">
        <v>20</v>
      </c>
      <c r="N141" s="1" t="s">
        <v>28</v>
      </c>
    </row>
    <row r="142" spans="1:14" x14ac:dyDescent="0.25">
      <c r="A142" s="1" t="s">
        <v>265</v>
      </c>
      <c r="B142" s="1" t="s">
        <v>988</v>
      </c>
      <c r="C142" s="1" t="s">
        <v>168</v>
      </c>
      <c r="D142" s="1" t="s">
        <v>86</v>
      </c>
      <c r="E142" s="1" t="s">
        <v>43</v>
      </c>
      <c r="F142" s="1" t="s">
        <v>44</v>
      </c>
      <c r="G142" s="1">
        <v>27</v>
      </c>
      <c r="H142" s="1">
        <v>50.39</v>
      </c>
      <c r="I142" s="1">
        <v>1360.53</v>
      </c>
      <c r="J142" s="1">
        <v>106.4</v>
      </c>
      <c r="K142" s="1">
        <v>174.13</v>
      </c>
      <c r="L142" s="1" t="s">
        <v>26</v>
      </c>
      <c r="M142" s="1" t="s">
        <v>27</v>
      </c>
      <c r="N142" s="1" t="s">
        <v>87</v>
      </c>
    </row>
    <row r="143" spans="1:14" x14ac:dyDescent="0.25">
      <c r="A143" s="1" t="s">
        <v>266</v>
      </c>
      <c r="B143" s="1" t="s">
        <v>987</v>
      </c>
      <c r="C143" s="1" t="s">
        <v>145</v>
      </c>
      <c r="D143" s="1" t="s">
        <v>151</v>
      </c>
      <c r="E143" s="1" t="s">
        <v>56</v>
      </c>
      <c r="F143" s="1" t="s">
        <v>57</v>
      </c>
      <c r="G143" s="1">
        <v>34</v>
      </c>
      <c r="H143" s="1">
        <v>37.68</v>
      </c>
      <c r="I143" s="1">
        <v>1281.1199999999999</v>
      </c>
      <c r="J143" s="1">
        <v>54.86</v>
      </c>
      <c r="K143" s="1">
        <v>376.26</v>
      </c>
      <c r="L143" s="1" t="s">
        <v>38</v>
      </c>
      <c r="M143" s="1" t="s">
        <v>20</v>
      </c>
      <c r="N143" s="1" t="s">
        <v>28</v>
      </c>
    </row>
    <row r="144" spans="1:14" x14ac:dyDescent="0.25">
      <c r="A144" s="1" t="s">
        <v>267</v>
      </c>
      <c r="B144" s="1" t="s">
        <v>986</v>
      </c>
      <c r="C144" s="1" t="s">
        <v>268</v>
      </c>
      <c r="D144" s="1" t="s">
        <v>77</v>
      </c>
      <c r="E144" s="1" t="s">
        <v>56</v>
      </c>
      <c r="F144" s="1" t="s">
        <v>57</v>
      </c>
      <c r="G144" s="1">
        <v>3</v>
      </c>
      <c r="H144" s="1">
        <v>39.32</v>
      </c>
      <c r="I144" s="1">
        <v>117.96</v>
      </c>
      <c r="J144" s="1">
        <v>6.97</v>
      </c>
      <c r="K144" s="1">
        <v>35.99</v>
      </c>
      <c r="L144" s="1" t="s">
        <v>26</v>
      </c>
      <c r="M144" s="1" t="s">
        <v>27</v>
      </c>
      <c r="N144" s="1" t="s">
        <v>58</v>
      </c>
    </row>
    <row r="145" spans="1:14" x14ac:dyDescent="0.25">
      <c r="A145" s="1" t="s">
        <v>269</v>
      </c>
      <c r="B145" s="1" t="s">
        <v>985</v>
      </c>
      <c r="C145" s="1" t="s">
        <v>233</v>
      </c>
      <c r="D145" s="1" t="s">
        <v>42</v>
      </c>
      <c r="E145" s="1" t="s">
        <v>63</v>
      </c>
      <c r="F145" s="1" t="s">
        <v>37</v>
      </c>
      <c r="G145" s="1">
        <v>24</v>
      </c>
      <c r="H145" s="1">
        <v>18</v>
      </c>
      <c r="I145" s="1">
        <v>432</v>
      </c>
      <c r="J145" s="1">
        <v>22.68</v>
      </c>
      <c r="K145" s="1">
        <v>103.32</v>
      </c>
      <c r="L145" s="1" t="s">
        <v>19</v>
      </c>
      <c r="M145" s="1" t="s">
        <v>32</v>
      </c>
      <c r="N145" s="1" t="s">
        <v>21</v>
      </c>
    </row>
    <row r="146" spans="1:14" x14ac:dyDescent="0.25">
      <c r="A146" s="1" t="s">
        <v>270</v>
      </c>
      <c r="B146" s="1" t="s">
        <v>984</v>
      </c>
      <c r="C146" s="1" t="s">
        <v>100</v>
      </c>
      <c r="D146" s="1" t="s">
        <v>24</v>
      </c>
      <c r="E146" s="1" t="s">
        <v>51</v>
      </c>
      <c r="F146" s="1" t="s">
        <v>52</v>
      </c>
      <c r="G146" s="1">
        <v>5</v>
      </c>
      <c r="H146" s="1">
        <v>36.43</v>
      </c>
      <c r="I146" s="1">
        <v>182.15</v>
      </c>
      <c r="J146" s="1">
        <v>7.82</v>
      </c>
      <c r="K146" s="1">
        <v>61.83</v>
      </c>
      <c r="L146" s="1" t="s">
        <v>19</v>
      </c>
      <c r="M146" s="1" t="s">
        <v>32</v>
      </c>
      <c r="N146" s="1" t="s">
        <v>28</v>
      </c>
    </row>
    <row r="147" spans="1:14" x14ac:dyDescent="0.25">
      <c r="A147" s="1" t="s">
        <v>271</v>
      </c>
      <c r="B147" s="1" t="s">
        <v>830</v>
      </c>
      <c r="C147" s="1" t="s">
        <v>105</v>
      </c>
      <c r="D147" s="1" t="s">
        <v>55</v>
      </c>
      <c r="E147" s="1" t="s">
        <v>51</v>
      </c>
      <c r="F147" s="1" t="s">
        <v>52</v>
      </c>
      <c r="G147" s="1">
        <v>27</v>
      </c>
      <c r="H147" s="1">
        <v>38.39</v>
      </c>
      <c r="I147" s="1">
        <v>1036.53</v>
      </c>
      <c r="J147" s="1">
        <v>28.6</v>
      </c>
      <c r="K147" s="1">
        <v>400.43</v>
      </c>
      <c r="L147" s="1" t="s">
        <v>26</v>
      </c>
      <c r="M147" s="1" t="s">
        <v>20</v>
      </c>
      <c r="N147" s="1" t="s">
        <v>58</v>
      </c>
    </row>
    <row r="148" spans="1:14" x14ac:dyDescent="0.25">
      <c r="A148" s="1" t="s">
        <v>272</v>
      </c>
      <c r="B148" s="1" t="s">
        <v>905</v>
      </c>
      <c r="C148" s="1" t="s">
        <v>137</v>
      </c>
      <c r="D148" s="1" t="s">
        <v>35</v>
      </c>
      <c r="E148" s="1" t="s">
        <v>83</v>
      </c>
      <c r="F148" s="1" t="s">
        <v>52</v>
      </c>
      <c r="G148" s="1">
        <v>10</v>
      </c>
      <c r="H148" s="1">
        <v>47.5</v>
      </c>
      <c r="I148" s="1">
        <v>475</v>
      </c>
      <c r="J148" s="1">
        <v>15.95</v>
      </c>
      <c r="K148" s="1">
        <v>179.05</v>
      </c>
      <c r="L148" s="1" t="s">
        <v>19</v>
      </c>
      <c r="M148" s="1" t="s">
        <v>20</v>
      </c>
      <c r="N148" s="1" t="s">
        <v>39</v>
      </c>
    </row>
    <row r="149" spans="1:14" x14ac:dyDescent="0.25">
      <c r="A149" s="1" t="s">
        <v>273</v>
      </c>
      <c r="B149" s="1" t="s">
        <v>983</v>
      </c>
      <c r="C149" s="1" t="s">
        <v>274</v>
      </c>
      <c r="D149" s="1" t="s">
        <v>74</v>
      </c>
      <c r="E149" s="1" t="s">
        <v>36</v>
      </c>
      <c r="F149" s="1" t="s">
        <v>37</v>
      </c>
      <c r="G149" s="1">
        <v>47</v>
      </c>
      <c r="H149" s="1">
        <v>50.13</v>
      </c>
      <c r="I149" s="1">
        <v>2356.11</v>
      </c>
      <c r="J149" s="1">
        <v>166.22</v>
      </c>
      <c r="K149" s="1">
        <v>685.89</v>
      </c>
      <c r="L149" s="1" t="s">
        <v>19</v>
      </c>
      <c r="M149" s="1" t="s">
        <v>20</v>
      </c>
      <c r="N149" s="1" t="s">
        <v>58</v>
      </c>
    </row>
    <row r="150" spans="1:14" x14ac:dyDescent="0.25">
      <c r="A150" s="1" t="s">
        <v>275</v>
      </c>
      <c r="B150" s="1" t="s">
        <v>982</v>
      </c>
      <c r="C150" s="1" t="s">
        <v>276</v>
      </c>
      <c r="D150" s="1" t="s">
        <v>47</v>
      </c>
      <c r="E150" s="1" t="s">
        <v>83</v>
      </c>
      <c r="F150" s="1" t="s">
        <v>52</v>
      </c>
      <c r="G150" s="1">
        <v>47</v>
      </c>
      <c r="H150" s="1">
        <v>42.25</v>
      </c>
      <c r="I150" s="1">
        <v>1985.75</v>
      </c>
      <c r="J150" s="1">
        <v>116.75</v>
      </c>
      <c r="K150" s="1">
        <v>553</v>
      </c>
      <c r="L150" s="1" t="s">
        <v>26</v>
      </c>
      <c r="M150" s="1" t="s">
        <v>20</v>
      </c>
      <c r="N150" s="1" t="s">
        <v>21</v>
      </c>
    </row>
    <row r="151" spans="1:14" x14ac:dyDescent="0.25">
      <c r="A151" s="1" t="s">
        <v>277</v>
      </c>
      <c r="B151" s="1" t="s">
        <v>981</v>
      </c>
      <c r="C151" s="1" t="s">
        <v>278</v>
      </c>
      <c r="D151" s="1" t="s">
        <v>55</v>
      </c>
      <c r="E151" s="1" t="s">
        <v>56</v>
      </c>
      <c r="F151" s="1" t="s">
        <v>57</v>
      </c>
      <c r="G151" s="1">
        <v>18</v>
      </c>
      <c r="H151" s="1">
        <v>38.26</v>
      </c>
      <c r="I151" s="1">
        <v>688.68</v>
      </c>
      <c r="J151" s="1">
        <v>18.78</v>
      </c>
      <c r="K151" s="1">
        <v>219.9</v>
      </c>
      <c r="L151" s="1" t="s">
        <v>26</v>
      </c>
      <c r="M151" s="1" t="s">
        <v>20</v>
      </c>
      <c r="N151" s="1" t="s">
        <v>58</v>
      </c>
    </row>
    <row r="152" spans="1:14" x14ac:dyDescent="0.25">
      <c r="A152" s="1" t="s">
        <v>279</v>
      </c>
      <c r="B152" s="1" t="s">
        <v>956</v>
      </c>
      <c r="C152" s="1" t="s">
        <v>85</v>
      </c>
      <c r="D152" s="1" t="s">
        <v>69</v>
      </c>
      <c r="E152" s="1" t="s">
        <v>83</v>
      </c>
      <c r="F152" s="1" t="s">
        <v>52</v>
      </c>
      <c r="G152" s="1">
        <v>31</v>
      </c>
      <c r="H152" s="1">
        <v>46.66</v>
      </c>
      <c r="I152" s="1">
        <v>1446.46</v>
      </c>
      <c r="J152" s="1">
        <v>109.24</v>
      </c>
      <c r="K152" s="1">
        <v>469.22</v>
      </c>
      <c r="L152" s="1" t="s">
        <v>19</v>
      </c>
      <c r="M152" s="1" t="s">
        <v>32</v>
      </c>
      <c r="N152" s="1" t="s">
        <v>58</v>
      </c>
    </row>
    <row r="153" spans="1:14" x14ac:dyDescent="0.25">
      <c r="A153" s="1" t="s">
        <v>280</v>
      </c>
      <c r="B153" s="1" t="s">
        <v>980</v>
      </c>
      <c r="C153" s="1" t="s">
        <v>281</v>
      </c>
      <c r="D153" s="1" t="s">
        <v>86</v>
      </c>
      <c r="E153" s="1" t="s">
        <v>36</v>
      </c>
      <c r="F153" s="1" t="s">
        <v>37</v>
      </c>
      <c r="G153" s="1">
        <v>41</v>
      </c>
      <c r="H153" s="1">
        <v>52.65</v>
      </c>
      <c r="I153" s="1">
        <v>2158.65</v>
      </c>
      <c r="J153" s="1">
        <v>110.1</v>
      </c>
      <c r="K153" s="1">
        <v>736.55</v>
      </c>
      <c r="L153" s="1" t="s">
        <v>26</v>
      </c>
      <c r="M153" s="1" t="s">
        <v>32</v>
      </c>
      <c r="N153" s="1" t="s">
        <v>87</v>
      </c>
    </row>
    <row r="154" spans="1:14" x14ac:dyDescent="0.25">
      <c r="A154" s="1" t="s">
        <v>282</v>
      </c>
      <c r="B154" s="1" t="s">
        <v>889</v>
      </c>
      <c r="C154" s="1" t="s">
        <v>115</v>
      </c>
      <c r="D154" s="1" t="s">
        <v>77</v>
      </c>
      <c r="E154" s="1" t="s">
        <v>25</v>
      </c>
      <c r="F154" s="1" t="s">
        <v>18</v>
      </c>
      <c r="G154" s="1">
        <v>28</v>
      </c>
      <c r="H154" s="1">
        <v>22.66</v>
      </c>
      <c r="I154" s="1">
        <v>634.48</v>
      </c>
      <c r="J154" s="1">
        <v>15.55</v>
      </c>
      <c r="K154" s="1">
        <v>114.93</v>
      </c>
      <c r="L154" s="1" t="s">
        <v>38</v>
      </c>
      <c r="M154" s="1" t="s">
        <v>20</v>
      </c>
      <c r="N154" s="1" t="s">
        <v>58</v>
      </c>
    </row>
    <row r="155" spans="1:14" x14ac:dyDescent="0.25">
      <c r="A155" s="1" t="s">
        <v>283</v>
      </c>
      <c r="B155" s="1" t="s">
        <v>979</v>
      </c>
      <c r="C155" s="1" t="s">
        <v>268</v>
      </c>
      <c r="D155" s="1" t="s">
        <v>47</v>
      </c>
      <c r="E155" s="1" t="s">
        <v>60</v>
      </c>
      <c r="F155" s="1" t="s">
        <v>52</v>
      </c>
      <c r="G155" s="1">
        <v>48</v>
      </c>
      <c r="H155" s="1">
        <v>25.07</v>
      </c>
      <c r="I155" s="1">
        <v>1203.3599999999999</v>
      </c>
      <c r="J155" s="1">
        <v>29.93</v>
      </c>
      <c r="K155" s="1">
        <v>429.43</v>
      </c>
      <c r="L155" s="1" t="s">
        <v>26</v>
      </c>
      <c r="M155" s="1" t="s">
        <v>27</v>
      </c>
      <c r="N155" s="1" t="s">
        <v>21</v>
      </c>
    </row>
    <row r="156" spans="1:14" x14ac:dyDescent="0.25">
      <c r="A156" s="1" t="s">
        <v>284</v>
      </c>
      <c r="B156" s="1" t="s">
        <v>978</v>
      </c>
      <c r="C156" s="1" t="s">
        <v>34</v>
      </c>
      <c r="D156" s="1" t="s">
        <v>35</v>
      </c>
      <c r="E156" s="1" t="s">
        <v>25</v>
      </c>
      <c r="F156" s="1" t="s">
        <v>18</v>
      </c>
      <c r="G156" s="1">
        <v>31</v>
      </c>
      <c r="H156" s="1">
        <v>30.53</v>
      </c>
      <c r="I156" s="1">
        <v>946.43</v>
      </c>
      <c r="J156" s="1">
        <v>72.150000000000006</v>
      </c>
      <c r="K156" s="1">
        <v>316.27999999999997</v>
      </c>
      <c r="L156" s="1" t="s">
        <v>38</v>
      </c>
      <c r="M156" s="1" t="s">
        <v>27</v>
      </c>
      <c r="N156" s="1" t="s">
        <v>39</v>
      </c>
    </row>
    <row r="157" spans="1:14" x14ac:dyDescent="0.25">
      <c r="A157" s="1" t="s">
        <v>285</v>
      </c>
      <c r="B157" s="1" t="s">
        <v>968</v>
      </c>
      <c r="C157" s="1" t="s">
        <v>286</v>
      </c>
      <c r="D157" s="1" t="s">
        <v>86</v>
      </c>
      <c r="E157" s="1" t="s">
        <v>51</v>
      </c>
      <c r="F157" s="1" t="s">
        <v>52</v>
      </c>
      <c r="G157" s="1">
        <v>33</v>
      </c>
      <c r="H157" s="1">
        <v>31</v>
      </c>
      <c r="I157" s="1">
        <v>1023</v>
      </c>
      <c r="J157" s="1">
        <v>63.94</v>
      </c>
      <c r="K157" s="1">
        <v>216.56</v>
      </c>
      <c r="L157" s="1" t="s">
        <v>26</v>
      </c>
      <c r="M157" s="1" t="s">
        <v>20</v>
      </c>
      <c r="N157" s="1" t="s">
        <v>87</v>
      </c>
    </row>
    <row r="158" spans="1:14" x14ac:dyDescent="0.25">
      <c r="A158" s="1" t="s">
        <v>287</v>
      </c>
      <c r="B158" s="1" t="s">
        <v>767</v>
      </c>
      <c r="C158" s="1" t="s">
        <v>119</v>
      </c>
      <c r="D158" s="1" t="s">
        <v>24</v>
      </c>
      <c r="E158" s="1" t="s">
        <v>60</v>
      </c>
      <c r="F158" s="1" t="s">
        <v>52</v>
      </c>
      <c r="G158" s="1">
        <v>32</v>
      </c>
      <c r="H158" s="1">
        <v>20.86</v>
      </c>
      <c r="I158" s="1">
        <v>667.52</v>
      </c>
      <c r="J158" s="1">
        <v>21.62</v>
      </c>
      <c r="K158" s="1">
        <v>149.9</v>
      </c>
      <c r="L158" s="1" t="s">
        <v>38</v>
      </c>
      <c r="M158" s="1" t="s">
        <v>32</v>
      </c>
      <c r="N158" s="1" t="s">
        <v>28</v>
      </c>
    </row>
    <row r="159" spans="1:14" x14ac:dyDescent="0.25">
      <c r="A159" s="1" t="s">
        <v>288</v>
      </c>
      <c r="B159" s="1" t="s">
        <v>977</v>
      </c>
      <c r="C159" s="1" t="s">
        <v>139</v>
      </c>
      <c r="D159" s="1" t="s">
        <v>151</v>
      </c>
      <c r="E159" s="1" t="s">
        <v>48</v>
      </c>
      <c r="F159" s="1" t="s">
        <v>37</v>
      </c>
      <c r="G159" s="1">
        <v>18</v>
      </c>
      <c r="H159" s="1">
        <v>24.61</v>
      </c>
      <c r="I159" s="1">
        <v>442.98</v>
      </c>
      <c r="J159" s="1">
        <v>26.99</v>
      </c>
      <c r="K159" s="1">
        <v>55.99</v>
      </c>
      <c r="L159" s="1" t="s">
        <v>38</v>
      </c>
      <c r="M159" s="1" t="s">
        <v>20</v>
      </c>
      <c r="N159" s="1" t="s">
        <v>28</v>
      </c>
    </row>
    <row r="160" spans="1:14" x14ac:dyDescent="0.25">
      <c r="A160" s="1" t="s">
        <v>289</v>
      </c>
      <c r="B160" s="1" t="s">
        <v>976</v>
      </c>
      <c r="C160" s="1" t="s">
        <v>95</v>
      </c>
      <c r="D160" s="1" t="s">
        <v>69</v>
      </c>
      <c r="E160" s="1" t="s">
        <v>43</v>
      </c>
      <c r="F160" s="1" t="s">
        <v>44</v>
      </c>
      <c r="G160" s="1">
        <v>18</v>
      </c>
      <c r="H160" s="1">
        <v>64.83</v>
      </c>
      <c r="I160" s="1">
        <v>1166.94</v>
      </c>
      <c r="J160" s="1">
        <v>34.28</v>
      </c>
      <c r="K160" s="1">
        <v>412.66</v>
      </c>
      <c r="L160" s="1" t="s">
        <v>38</v>
      </c>
      <c r="M160" s="1" t="s">
        <v>20</v>
      </c>
      <c r="N160" s="1" t="s">
        <v>58</v>
      </c>
    </row>
    <row r="161" spans="1:14" x14ac:dyDescent="0.25">
      <c r="A161" s="1" t="s">
        <v>290</v>
      </c>
      <c r="B161" s="1" t="s">
        <v>804</v>
      </c>
      <c r="C161" s="1" t="s">
        <v>291</v>
      </c>
      <c r="D161" s="1" t="s">
        <v>47</v>
      </c>
      <c r="E161" s="1" t="s">
        <v>48</v>
      </c>
      <c r="F161" s="1" t="s">
        <v>37</v>
      </c>
      <c r="G161" s="1">
        <v>49</v>
      </c>
      <c r="H161" s="1">
        <v>29.52</v>
      </c>
      <c r="I161" s="1">
        <v>1446.48</v>
      </c>
      <c r="J161" s="1">
        <v>104.7</v>
      </c>
      <c r="K161" s="1">
        <v>361.78</v>
      </c>
      <c r="L161" s="1" t="s">
        <v>38</v>
      </c>
      <c r="M161" s="1" t="s">
        <v>32</v>
      </c>
      <c r="N161" s="1" t="s">
        <v>21</v>
      </c>
    </row>
    <row r="162" spans="1:14" x14ac:dyDescent="0.25">
      <c r="A162" s="1" t="s">
        <v>292</v>
      </c>
      <c r="B162" s="1" t="s">
        <v>887</v>
      </c>
      <c r="C162" s="1" t="s">
        <v>293</v>
      </c>
      <c r="D162" s="1" t="s">
        <v>86</v>
      </c>
      <c r="E162" s="1" t="s">
        <v>48</v>
      </c>
      <c r="F162" s="1" t="s">
        <v>37</v>
      </c>
      <c r="G162" s="1">
        <v>10</v>
      </c>
      <c r="H162" s="1">
        <v>26.73</v>
      </c>
      <c r="I162" s="1">
        <v>267.3</v>
      </c>
      <c r="J162" s="1">
        <v>10.210000000000001</v>
      </c>
      <c r="K162" s="1">
        <v>57.09</v>
      </c>
      <c r="L162" s="1" t="s">
        <v>38</v>
      </c>
      <c r="M162" s="1" t="s">
        <v>32</v>
      </c>
      <c r="N162" s="1" t="s">
        <v>87</v>
      </c>
    </row>
    <row r="163" spans="1:14" x14ac:dyDescent="0.25">
      <c r="A163" s="1" t="s">
        <v>294</v>
      </c>
      <c r="B163" s="1" t="s">
        <v>851</v>
      </c>
      <c r="C163" s="1" t="s">
        <v>62</v>
      </c>
      <c r="D163" s="1" t="s">
        <v>24</v>
      </c>
      <c r="E163" s="1" t="s">
        <v>36</v>
      </c>
      <c r="F163" s="1" t="s">
        <v>37</v>
      </c>
      <c r="G163" s="1">
        <v>10</v>
      </c>
      <c r="H163" s="1">
        <v>54.45</v>
      </c>
      <c r="I163" s="1">
        <v>544.5</v>
      </c>
      <c r="J163" s="1">
        <v>16.59</v>
      </c>
      <c r="K163" s="1">
        <v>207.91</v>
      </c>
      <c r="L163" s="1" t="s">
        <v>19</v>
      </c>
      <c r="M163" s="1" t="s">
        <v>20</v>
      </c>
      <c r="N163" s="1" t="s">
        <v>28</v>
      </c>
    </row>
    <row r="164" spans="1:14" x14ac:dyDescent="0.25">
      <c r="A164" s="1" t="s">
        <v>295</v>
      </c>
      <c r="B164" s="1" t="s">
        <v>975</v>
      </c>
      <c r="C164" s="1" t="s">
        <v>62</v>
      </c>
      <c r="D164" s="1" t="s">
        <v>177</v>
      </c>
      <c r="E164" s="1" t="s">
        <v>25</v>
      </c>
      <c r="F164" s="1" t="s">
        <v>18</v>
      </c>
      <c r="G164" s="1">
        <v>46</v>
      </c>
      <c r="H164" s="1">
        <v>30.06</v>
      </c>
      <c r="I164" s="1">
        <v>1382.76</v>
      </c>
      <c r="J164" s="1">
        <v>77.17</v>
      </c>
      <c r="K164" s="1">
        <v>477.59</v>
      </c>
      <c r="L164" s="1" t="s">
        <v>26</v>
      </c>
      <c r="M164" s="1" t="s">
        <v>27</v>
      </c>
      <c r="N164" s="1" t="s">
        <v>58</v>
      </c>
    </row>
    <row r="165" spans="1:14" x14ac:dyDescent="0.25">
      <c r="A165" s="1" t="s">
        <v>296</v>
      </c>
      <c r="B165" s="1" t="s">
        <v>802</v>
      </c>
      <c r="C165" s="1" t="s">
        <v>297</v>
      </c>
      <c r="D165" s="1" t="s">
        <v>47</v>
      </c>
      <c r="E165" s="1" t="s">
        <v>60</v>
      </c>
      <c r="F165" s="1" t="s">
        <v>52</v>
      </c>
      <c r="G165" s="1">
        <v>25</v>
      </c>
      <c r="H165" s="1">
        <v>21.52</v>
      </c>
      <c r="I165" s="1">
        <v>538</v>
      </c>
      <c r="J165" s="1">
        <v>26.73</v>
      </c>
      <c r="K165" s="1">
        <v>123.77</v>
      </c>
      <c r="L165" s="1" t="s">
        <v>26</v>
      </c>
      <c r="M165" s="1" t="s">
        <v>20</v>
      </c>
      <c r="N165" s="1" t="s">
        <v>21</v>
      </c>
    </row>
    <row r="166" spans="1:14" x14ac:dyDescent="0.25">
      <c r="A166" s="1" t="s">
        <v>298</v>
      </c>
      <c r="B166" s="1" t="s">
        <v>974</v>
      </c>
      <c r="C166" s="1" t="s">
        <v>211</v>
      </c>
      <c r="D166" s="1" t="s">
        <v>177</v>
      </c>
      <c r="E166" s="1" t="s">
        <v>25</v>
      </c>
      <c r="F166" s="1" t="s">
        <v>18</v>
      </c>
      <c r="G166" s="1">
        <v>5</v>
      </c>
      <c r="H166" s="1">
        <v>26.25</v>
      </c>
      <c r="I166" s="1">
        <v>131.25</v>
      </c>
      <c r="J166" s="1">
        <v>3.35</v>
      </c>
      <c r="K166" s="1">
        <v>37.9</v>
      </c>
      <c r="L166" s="1" t="s">
        <v>26</v>
      </c>
      <c r="M166" s="1" t="s">
        <v>27</v>
      </c>
      <c r="N166" s="1" t="s">
        <v>58</v>
      </c>
    </row>
    <row r="167" spans="1:14" x14ac:dyDescent="0.25">
      <c r="A167" s="1" t="s">
        <v>299</v>
      </c>
      <c r="B167" s="1" t="s">
        <v>944</v>
      </c>
      <c r="C167" s="1" t="s">
        <v>300</v>
      </c>
      <c r="D167" s="1" t="s">
        <v>24</v>
      </c>
      <c r="E167" s="1" t="s">
        <v>56</v>
      </c>
      <c r="F167" s="1" t="s">
        <v>57</v>
      </c>
      <c r="G167" s="1">
        <v>10</v>
      </c>
      <c r="H167" s="1">
        <v>31.48</v>
      </c>
      <c r="I167" s="1">
        <v>314.8</v>
      </c>
      <c r="J167" s="1">
        <v>10.23</v>
      </c>
      <c r="K167" s="1">
        <v>54.57</v>
      </c>
      <c r="L167" s="1" t="s">
        <v>38</v>
      </c>
      <c r="M167" s="1" t="s">
        <v>32</v>
      </c>
      <c r="N167" s="1" t="s">
        <v>28</v>
      </c>
    </row>
    <row r="168" spans="1:14" x14ac:dyDescent="0.25">
      <c r="A168" s="1" t="s">
        <v>301</v>
      </c>
      <c r="B168" s="1" t="s">
        <v>836</v>
      </c>
      <c r="C168" s="1" t="s">
        <v>110</v>
      </c>
      <c r="D168" s="1" t="s">
        <v>35</v>
      </c>
      <c r="E168" s="1" t="s">
        <v>48</v>
      </c>
      <c r="F168" s="1" t="s">
        <v>37</v>
      </c>
      <c r="G168" s="1">
        <v>21</v>
      </c>
      <c r="H168" s="1">
        <v>30.91</v>
      </c>
      <c r="I168" s="1">
        <v>649.11</v>
      </c>
      <c r="J168" s="1">
        <v>38.42</v>
      </c>
      <c r="K168" s="1">
        <v>190.69</v>
      </c>
      <c r="L168" s="1" t="s">
        <v>26</v>
      </c>
      <c r="M168" s="1" t="s">
        <v>32</v>
      </c>
      <c r="N168" s="1" t="s">
        <v>39</v>
      </c>
    </row>
    <row r="169" spans="1:14" x14ac:dyDescent="0.25">
      <c r="A169" s="1" t="s">
        <v>302</v>
      </c>
      <c r="B169" s="1" t="s">
        <v>935</v>
      </c>
      <c r="C169" s="1" t="s">
        <v>303</v>
      </c>
      <c r="D169" s="1" t="s">
        <v>69</v>
      </c>
      <c r="E169" s="1" t="s">
        <v>63</v>
      </c>
      <c r="F169" s="1" t="s">
        <v>37</v>
      </c>
      <c r="G169" s="1">
        <v>29</v>
      </c>
      <c r="H169" s="1">
        <v>18.47</v>
      </c>
      <c r="I169" s="1">
        <v>535.63</v>
      </c>
      <c r="J169" s="1">
        <v>13.21</v>
      </c>
      <c r="K169" s="1">
        <v>152.66999999999999</v>
      </c>
      <c r="L169" s="1" t="s">
        <v>19</v>
      </c>
      <c r="M169" s="1" t="s">
        <v>20</v>
      </c>
      <c r="N169" s="1" t="s">
        <v>58</v>
      </c>
    </row>
    <row r="170" spans="1:14" x14ac:dyDescent="0.25">
      <c r="A170" s="1" t="s">
        <v>304</v>
      </c>
      <c r="B170" s="1" t="s">
        <v>934</v>
      </c>
      <c r="C170" s="1" t="s">
        <v>115</v>
      </c>
      <c r="D170" s="1" t="s">
        <v>47</v>
      </c>
      <c r="E170" s="1" t="s">
        <v>17</v>
      </c>
      <c r="F170" s="1" t="s">
        <v>18</v>
      </c>
      <c r="G170" s="1">
        <v>36</v>
      </c>
      <c r="H170" s="1">
        <v>44.79</v>
      </c>
      <c r="I170" s="1">
        <v>1612.44</v>
      </c>
      <c r="J170" s="1">
        <v>68.599999999999994</v>
      </c>
      <c r="K170" s="1">
        <v>283.83999999999997</v>
      </c>
      <c r="L170" s="1" t="s">
        <v>38</v>
      </c>
      <c r="M170" s="1" t="s">
        <v>27</v>
      </c>
      <c r="N170" s="1" t="s">
        <v>21</v>
      </c>
    </row>
    <row r="171" spans="1:14" x14ac:dyDescent="0.25">
      <c r="A171" s="1" t="s">
        <v>305</v>
      </c>
      <c r="B171" s="1" t="s">
        <v>761</v>
      </c>
      <c r="C171" s="1" t="s">
        <v>306</v>
      </c>
      <c r="D171" s="1" t="s">
        <v>35</v>
      </c>
      <c r="E171" s="1" t="s">
        <v>60</v>
      </c>
      <c r="F171" s="1" t="s">
        <v>52</v>
      </c>
      <c r="G171" s="1">
        <v>3</v>
      </c>
      <c r="H171" s="1">
        <v>18.86</v>
      </c>
      <c r="I171" s="1">
        <v>56.58</v>
      </c>
      <c r="J171" s="1">
        <v>2.61</v>
      </c>
      <c r="K171" s="1">
        <v>7.47</v>
      </c>
      <c r="L171" s="1" t="s">
        <v>26</v>
      </c>
      <c r="M171" s="1" t="s">
        <v>32</v>
      </c>
      <c r="N171" s="1" t="s">
        <v>39</v>
      </c>
    </row>
    <row r="172" spans="1:14" x14ac:dyDescent="0.25">
      <c r="A172" s="1" t="s">
        <v>307</v>
      </c>
      <c r="B172" s="1" t="s">
        <v>973</v>
      </c>
      <c r="C172" s="1" t="s">
        <v>50</v>
      </c>
      <c r="D172" s="1" t="s">
        <v>55</v>
      </c>
      <c r="E172" s="1" t="s">
        <v>83</v>
      </c>
      <c r="F172" s="1" t="s">
        <v>52</v>
      </c>
      <c r="G172" s="1">
        <v>10</v>
      </c>
      <c r="H172" s="1">
        <v>45.86</v>
      </c>
      <c r="I172" s="1">
        <v>458.6</v>
      </c>
      <c r="J172" s="1">
        <v>14.4</v>
      </c>
      <c r="K172" s="1">
        <v>164.2</v>
      </c>
      <c r="L172" s="1" t="s">
        <v>38</v>
      </c>
      <c r="M172" s="1" t="s">
        <v>20</v>
      </c>
      <c r="N172" s="1" t="s">
        <v>58</v>
      </c>
    </row>
    <row r="173" spans="1:14" x14ac:dyDescent="0.25">
      <c r="A173" s="1" t="s">
        <v>308</v>
      </c>
      <c r="B173" s="1" t="s">
        <v>814</v>
      </c>
      <c r="C173" s="1" t="s">
        <v>306</v>
      </c>
      <c r="D173" s="1" t="s">
        <v>31</v>
      </c>
      <c r="E173" s="1" t="s">
        <v>25</v>
      </c>
      <c r="F173" s="1" t="s">
        <v>18</v>
      </c>
      <c r="G173" s="1">
        <v>1</v>
      </c>
      <c r="H173" s="1">
        <v>24.64</v>
      </c>
      <c r="I173" s="1">
        <v>24.64</v>
      </c>
      <c r="J173" s="1">
        <v>0.65</v>
      </c>
      <c r="K173" s="1">
        <v>5.99</v>
      </c>
      <c r="L173" s="1" t="s">
        <v>38</v>
      </c>
      <c r="M173" s="1" t="s">
        <v>27</v>
      </c>
      <c r="N173" s="1" t="s">
        <v>28</v>
      </c>
    </row>
    <row r="174" spans="1:14" x14ac:dyDescent="0.25">
      <c r="A174" s="1" t="s">
        <v>309</v>
      </c>
      <c r="B174" s="1" t="s">
        <v>972</v>
      </c>
      <c r="C174" s="1" t="s">
        <v>154</v>
      </c>
      <c r="D174" s="1" t="s">
        <v>31</v>
      </c>
      <c r="E174" s="1" t="s">
        <v>60</v>
      </c>
      <c r="F174" s="1" t="s">
        <v>52</v>
      </c>
      <c r="G174" s="1">
        <v>49</v>
      </c>
      <c r="H174" s="1">
        <v>22.8</v>
      </c>
      <c r="I174" s="1">
        <v>1117.2</v>
      </c>
      <c r="J174" s="1">
        <v>51.06</v>
      </c>
      <c r="K174" s="1">
        <v>306.64</v>
      </c>
      <c r="L174" s="1" t="s">
        <v>19</v>
      </c>
      <c r="M174" s="1" t="s">
        <v>27</v>
      </c>
      <c r="N174" s="1" t="s">
        <v>28</v>
      </c>
    </row>
    <row r="175" spans="1:14" x14ac:dyDescent="0.25">
      <c r="A175" s="1" t="s">
        <v>310</v>
      </c>
      <c r="B175" s="1" t="s">
        <v>971</v>
      </c>
      <c r="C175" s="1" t="s">
        <v>193</v>
      </c>
      <c r="D175" s="1" t="s">
        <v>47</v>
      </c>
      <c r="E175" s="1" t="s">
        <v>17</v>
      </c>
      <c r="F175" s="1" t="s">
        <v>18</v>
      </c>
      <c r="G175" s="1">
        <v>32</v>
      </c>
      <c r="H175" s="1">
        <v>44.5</v>
      </c>
      <c r="I175" s="1">
        <v>1424</v>
      </c>
      <c r="J175" s="1">
        <v>43.92</v>
      </c>
      <c r="K175" s="1">
        <v>260.08</v>
      </c>
      <c r="L175" s="1" t="s">
        <v>38</v>
      </c>
      <c r="M175" s="1" t="s">
        <v>27</v>
      </c>
      <c r="N175" s="1" t="s">
        <v>21</v>
      </c>
    </row>
    <row r="176" spans="1:14" x14ac:dyDescent="0.25">
      <c r="A176" s="1" t="s">
        <v>311</v>
      </c>
      <c r="B176" s="1" t="s">
        <v>959</v>
      </c>
      <c r="C176" s="1" t="s">
        <v>209</v>
      </c>
      <c r="D176" s="1" t="s">
        <v>35</v>
      </c>
      <c r="E176" s="1" t="s">
        <v>17</v>
      </c>
      <c r="F176" s="1" t="s">
        <v>18</v>
      </c>
      <c r="G176" s="1">
        <v>43</v>
      </c>
      <c r="H176" s="1">
        <v>55.74</v>
      </c>
      <c r="I176" s="1">
        <v>2396.8200000000002</v>
      </c>
      <c r="J176" s="1">
        <v>63.85</v>
      </c>
      <c r="K176" s="1">
        <v>827.97</v>
      </c>
      <c r="L176" s="1" t="s">
        <v>26</v>
      </c>
      <c r="M176" s="1" t="s">
        <v>32</v>
      </c>
      <c r="N176" s="1" t="s">
        <v>39</v>
      </c>
    </row>
    <row r="177" spans="1:14" x14ac:dyDescent="0.25">
      <c r="A177" s="1" t="s">
        <v>312</v>
      </c>
      <c r="B177" s="1" t="s">
        <v>882</v>
      </c>
      <c r="C177" s="1" t="s">
        <v>105</v>
      </c>
      <c r="D177" s="1" t="s">
        <v>69</v>
      </c>
      <c r="E177" s="1" t="s">
        <v>60</v>
      </c>
      <c r="F177" s="1" t="s">
        <v>52</v>
      </c>
      <c r="G177" s="1">
        <v>19</v>
      </c>
      <c r="H177" s="1">
        <v>25.78</v>
      </c>
      <c r="I177" s="1">
        <v>489.82</v>
      </c>
      <c r="J177" s="1">
        <v>28.4</v>
      </c>
      <c r="K177" s="1">
        <v>166.92</v>
      </c>
      <c r="L177" s="1" t="s">
        <v>38</v>
      </c>
      <c r="M177" s="1" t="s">
        <v>27</v>
      </c>
      <c r="N177" s="1" t="s">
        <v>58</v>
      </c>
    </row>
    <row r="178" spans="1:14" x14ac:dyDescent="0.25">
      <c r="A178" s="1" t="s">
        <v>313</v>
      </c>
      <c r="B178" s="1" t="s">
        <v>970</v>
      </c>
      <c r="C178" s="1" t="s">
        <v>246</v>
      </c>
      <c r="D178" s="1" t="s">
        <v>47</v>
      </c>
      <c r="E178" s="1" t="s">
        <v>25</v>
      </c>
      <c r="F178" s="1" t="s">
        <v>18</v>
      </c>
      <c r="G178" s="1">
        <v>43</v>
      </c>
      <c r="H178" s="1">
        <v>30.43</v>
      </c>
      <c r="I178" s="1">
        <v>1308.49</v>
      </c>
      <c r="J178" s="1">
        <v>35.340000000000003</v>
      </c>
      <c r="K178" s="1">
        <v>499.15</v>
      </c>
      <c r="L178" s="1" t="s">
        <v>26</v>
      </c>
      <c r="M178" s="1" t="s">
        <v>27</v>
      </c>
      <c r="N178" s="1" t="s">
        <v>21</v>
      </c>
    </row>
    <row r="179" spans="1:14" x14ac:dyDescent="0.25">
      <c r="A179" s="1" t="s">
        <v>314</v>
      </c>
      <c r="B179" s="1" t="s">
        <v>968</v>
      </c>
      <c r="C179" s="1" t="s">
        <v>315</v>
      </c>
      <c r="D179" s="1" t="s">
        <v>106</v>
      </c>
      <c r="E179" s="1" t="s">
        <v>60</v>
      </c>
      <c r="F179" s="1" t="s">
        <v>52</v>
      </c>
      <c r="G179" s="1">
        <v>17</v>
      </c>
      <c r="H179" s="1">
        <v>18.71</v>
      </c>
      <c r="I179" s="1">
        <v>318.07</v>
      </c>
      <c r="J179" s="1">
        <v>22.03</v>
      </c>
      <c r="K179" s="1">
        <v>32.54</v>
      </c>
      <c r="L179" s="1" t="s">
        <v>38</v>
      </c>
      <c r="M179" s="1" t="s">
        <v>20</v>
      </c>
      <c r="N179" s="1" t="s">
        <v>28</v>
      </c>
    </row>
    <row r="180" spans="1:14" x14ac:dyDescent="0.25">
      <c r="A180" s="1" t="s">
        <v>316</v>
      </c>
      <c r="B180" s="1" t="s">
        <v>749</v>
      </c>
      <c r="C180" s="1" t="s">
        <v>41</v>
      </c>
      <c r="D180" s="1" t="s">
        <v>55</v>
      </c>
      <c r="E180" s="1" t="s">
        <v>60</v>
      </c>
      <c r="F180" s="1" t="s">
        <v>52</v>
      </c>
      <c r="G180" s="1">
        <v>44</v>
      </c>
      <c r="H180" s="1">
        <v>23.87</v>
      </c>
      <c r="I180" s="1">
        <v>1050.28</v>
      </c>
      <c r="J180" s="1">
        <v>33.51</v>
      </c>
      <c r="K180" s="1">
        <v>334.77</v>
      </c>
      <c r="L180" s="1" t="s">
        <v>19</v>
      </c>
      <c r="M180" s="1" t="s">
        <v>27</v>
      </c>
      <c r="N180" s="1" t="s">
        <v>58</v>
      </c>
    </row>
    <row r="181" spans="1:14" x14ac:dyDescent="0.25">
      <c r="A181" s="1" t="s">
        <v>317</v>
      </c>
      <c r="B181" s="1" t="s">
        <v>853</v>
      </c>
      <c r="C181" s="1" t="s">
        <v>121</v>
      </c>
      <c r="D181" s="1" t="s">
        <v>129</v>
      </c>
      <c r="E181" s="1" t="s">
        <v>36</v>
      </c>
      <c r="F181" s="1" t="s">
        <v>37</v>
      </c>
      <c r="G181" s="1">
        <v>12</v>
      </c>
      <c r="H181" s="1">
        <v>42.91</v>
      </c>
      <c r="I181" s="1">
        <v>514.91999999999996</v>
      </c>
      <c r="J181" s="1">
        <v>15.18</v>
      </c>
      <c r="K181" s="1">
        <v>115.74</v>
      </c>
      <c r="L181" s="1" t="s">
        <v>38</v>
      </c>
      <c r="M181" s="1" t="s">
        <v>32</v>
      </c>
      <c r="N181" s="1" t="s">
        <v>130</v>
      </c>
    </row>
    <row r="182" spans="1:14" x14ac:dyDescent="0.25">
      <c r="A182" s="1" t="s">
        <v>318</v>
      </c>
      <c r="B182" s="1" t="s">
        <v>969</v>
      </c>
      <c r="C182" s="1" t="s">
        <v>319</v>
      </c>
      <c r="D182" s="1" t="s">
        <v>177</v>
      </c>
      <c r="E182" s="1" t="s">
        <v>43</v>
      </c>
      <c r="F182" s="1" t="s">
        <v>44</v>
      </c>
      <c r="G182" s="1">
        <v>21</v>
      </c>
      <c r="H182" s="1">
        <v>50.49</v>
      </c>
      <c r="I182" s="1">
        <v>1060.29</v>
      </c>
      <c r="J182" s="1">
        <v>32.340000000000003</v>
      </c>
      <c r="K182" s="1">
        <v>187.95</v>
      </c>
      <c r="L182" s="1" t="s">
        <v>38</v>
      </c>
      <c r="M182" s="1" t="s">
        <v>20</v>
      </c>
      <c r="N182" s="1" t="s">
        <v>58</v>
      </c>
    </row>
    <row r="183" spans="1:14" x14ac:dyDescent="0.25">
      <c r="A183" s="1" t="s">
        <v>320</v>
      </c>
      <c r="B183" s="1" t="s">
        <v>968</v>
      </c>
      <c r="C183" s="1" t="s">
        <v>193</v>
      </c>
      <c r="D183" s="1" t="s">
        <v>31</v>
      </c>
      <c r="E183" s="1" t="s">
        <v>17</v>
      </c>
      <c r="F183" s="1" t="s">
        <v>18</v>
      </c>
      <c r="G183" s="1">
        <v>41</v>
      </c>
      <c r="H183" s="1">
        <v>43.18</v>
      </c>
      <c r="I183" s="1">
        <v>1770.38</v>
      </c>
      <c r="J183" s="1">
        <v>128.4</v>
      </c>
      <c r="K183" s="1">
        <v>206.98</v>
      </c>
      <c r="L183" s="1" t="s">
        <v>26</v>
      </c>
      <c r="M183" s="1" t="s">
        <v>32</v>
      </c>
      <c r="N183" s="1" t="s">
        <v>28</v>
      </c>
    </row>
    <row r="184" spans="1:14" x14ac:dyDescent="0.25">
      <c r="A184" s="1" t="s">
        <v>321</v>
      </c>
      <c r="B184" s="1" t="s">
        <v>967</v>
      </c>
      <c r="C184" s="1" t="s">
        <v>100</v>
      </c>
      <c r="D184" s="1" t="s">
        <v>129</v>
      </c>
      <c r="E184" s="1" t="s">
        <v>63</v>
      </c>
      <c r="F184" s="1" t="s">
        <v>37</v>
      </c>
      <c r="G184" s="1">
        <v>37</v>
      </c>
      <c r="H184" s="1">
        <v>19.8</v>
      </c>
      <c r="I184" s="1">
        <v>732.6</v>
      </c>
      <c r="J184" s="1">
        <v>54.68</v>
      </c>
      <c r="K184" s="1">
        <v>206.17</v>
      </c>
      <c r="L184" s="1" t="s">
        <v>19</v>
      </c>
      <c r="M184" s="1" t="s">
        <v>27</v>
      </c>
      <c r="N184" s="1" t="s">
        <v>130</v>
      </c>
    </row>
    <row r="185" spans="1:14" x14ac:dyDescent="0.25">
      <c r="A185" s="1" t="s">
        <v>322</v>
      </c>
      <c r="B185" s="1" t="s">
        <v>966</v>
      </c>
      <c r="C185" s="1" t="s">
        <v>323</v>
      </c>
      <c r="D185" s="1" t="s">
        <v>47</v>
      </c>
      <c r="E185" s="1" t="s">
        <v>63</v>
      </c>
      <c r="F185" s="1" t="s">
        <v>37</v>
      </c>
      <c r="G185" s="1">
        <v>4</v>
      </c>
      <c r="H185" s="1">
        <v>18.059999999999999</v>
      </c>
      <c r="I185" s="1">
        <v>72.239999999999995</v>
      </c>
      <c r="J185" s="1">
        <v>4.66</v>
      </c>
      <c r="K185" s="1">
        <v>16.579999999999998</v>
      </c>
      <c r="L185" s="1" t="s">
        <v>19</v>
      </c>
      <c r="M185" s="1" t="s">
        <v>20</v>
      </c>
      <c r="N185" s="1" t="s">
        <v>21</v>
      </c>
    </row>
    <row r="186" spans="1:14" x14ac:dyDescent="0.25">
      <c r="A186" s="1" t="s">
        <v>324</v>
      </c>
      <c r="B186" s="1" t="s">
        <v>735</v>
      </c>
      <c r="C186" s="1" t="s">
        <v>246</v>
      </c>
      <c r="D186" s="1" t="s">
        <v>16</v>
      </c>
      <c r="E186" s="1" t="s">
        <v>17</v>
      </c>
      <c r="F186" s="1" t="s">
        <v>18</v>
      </c>
      <c r="G186" s="1">
        <v>40</v>
      </c>
      <c r="H186" s="1">
        <v>55.59</v>
      </c>
      <c r="I186" s="1">
        <v>2223.6</v>
      </c>
      <c r="J186" s="1">
        <v>74.569999999999993</v>
      </c>
      <c r="K186" s="1">
        <v>749.03</v>
      </c>
      <c r="L186" s="1" t="s">
        <v>19</v>
      </c>
      <c r="M186" s="1" t="s">
        <v>20</v>
      </c>
      <c r="N186" s="1" t="s">
        <v>21</v>
      </c>
    </row>
    <row r="187" spans="1:14" x14ac:dyDescent="0.25">
      <c r="A187" s="1" t="s">
        <v>325</v>
      </c>
      <c r="B187" s="1" t="s">
        <v>965</v>
      </c>
      <c r="C187" s="1" t="s">
        <v>15</v>
      </c>
      <c r="D187" s="1" t="s">
        <v>77</v>
      </c>
      <c r="E187" s="1" t="s">
        <v>56</v>
      </c>
      <c r="F187" s="1" t="s">
        <v>57</v>
      </c>
      <c r="G187" s="1">
        <v>5</v>
      </c>
      <c r="H187" s="1">
        <v>31.58</v>
      </c>
      <c r="I187" s="1">
        <v>157.9</v>
      </c>
      <c r="J187" s="1">
        <v>3.73</v>
      </c>
      <c r="K187" s="1">
        <v>29.17</v>
      </c>
      <c r="L187" s="1" t="s">
        <v>19</v>
      </c>
      <c r="M187" s="1" t="s">
        <v>27</v>
      </c>
      <c r="N187" s="1" t="s">
        <v>58</v>
      </c>
    </row>
    <row r="188" spans="1:14" x14ac:dyDescent="0.25">
      <c r="A188" s="1" t="s">
        <v>326</v>
      </c>
      <c r="B188" s="1" t="s">
        <v>766</v>
      </c>
      <c r="C188" s="1" t="s">
        <v>117</v>
      </c>
      <c r="D188" s="1" t="s">
        <v>42</v>
      </c>
      <c r="E188" s="1" t="s">
        <v>25</v>
      </c>
      <c r="F188" s="1" t="s">
        <v>18</v>
      </c>
      <c r="G188" s="1">
        <v>50</v>
      </c>
      <c r="H188" s="1">
        <v>26.67</v>
      </c>
      <c r="I188" s="1">
        <v>1333.5</v>
      </c>
      <c r="J188" s="1">
        <v>80.150000000000006</v>
      </c>
      <c r="K188" s="1">
        <v>353.35</v>
      </c>
      <c r="L188" s="1" t="s">
        <v>38</v>
      </c>
      <c r="M188" s="1" t="s">
        <v>20</v>
      </c>
      <c r="N188" s="1" t="s">
        <v>21</v>
      </c>
    </row>
    <row r="189" spans="1:14" x14ac:dyDescent="0.25">
      <c r="A189" s="1" t="s">
        <v>327</v>
      </c>
      <c r="B189" s="1" t="s">
        <v>964</v>
      </c>
      <c r="C189" s="1" t="s">
        <v>221</v>
      </c>
      <c r="D189" s="1" t="s">
        <v>69</v>
      </c>
      <c r="E189" s="1" t="s">
        <v>60</v>
      </c>
      <c r="F189" s="1" t="s">
        <v>52</v>
      </c>
      <c r="G189" s="1">
        <v>17</v>
      </c>
      <c r="H189" s="1">
        <v>20.68</v>
      </c>
      <c r="I189" s="1">
        <v>351.56</v>
      </c>
      <c r="J189" s="1">
        <v>18.47</v>
      </c>
      <c r="K189" s="1">
        <v>69.59</v>
      </c>
      <c r="L189" s="1" t="s">
        <v>38</v>
      </c>
      <c r="M189" s="1" t="s">
        <v>27</v>
      </c>
      <c r="N189" s="1" t="s">
        <v>58</v>
      </c>
    </row>
    <row r="190" spans="1:14" x14ac:dyDescent="0.25">
      <c r="A190" s="1" t="s">
        <v>328</v>
      </c>
      <c r="B190" s="1" t="s">
        <v>963</v>
      </c>
      <c r="C190" s="1" t="s">
        <v>276</v>
      </c>
      <c r="D190" s="1" t="s">
        <v>86</v>
      </c>
      <c r="E190" s="1" t="s">
        <v>17</v>
      </c>
      <c r="F190" s="1" t="s">
        <v>18</v>
      </c>
      <c r="G190" s="1">
        <v>29</v>
      </c>
      <c r="H190" s="1">
        <v>55.19</v>
      </c>
      <c r="I190" s="1">
        <v>1600.51</v>
      </c>
      <c r="J190" s="1">
        <v>103.06</v>
      </c>
      <c r="K190" s="1">
        <v>482.45</v>
      </c>
      <c r="L190" s="1" t="s">
        <v>19</v>
      </c>
      <c r="M190" s="1" t="s">
        <v>32</v>
      </c>
      <c r="N190" s="1" t="s">
        <v>87</v>
      </c>
    </row>
    <row r="191" spans="1:14" x14ac:dyDescent="0.25">
      <c r="A191" s="1" t="s">
        <v>329</v>
      </c>
      <c r="B191" s="1" t="s">
        <v>962</v>
      </c>
      <c r="C191" s="1" t="s">
        <v>330</v>
      </c>
      <c r="D191" s="1" t="s">
        <v>69</v>
      </c>
      <c r="E191" s="1" t="s">
        <v>17</v>
      </c>
      <c r="F191" s="1" t="s">
        <v>18</v>
      </c>
      <c r="G191" s="1">
        <v>34</v>
      </c>
      <c r="H191" s="1">
        <v>61.62</v>
      </c>
      <c r="I191" s="1">
        <v>2095.08</v>
      </c>
      <c r="J191" s="1">
        <v>80.13</v>
      </c>
      <c r="K191" s="1">
        <v>824.95</v>
      </c>
      <c r="L191" s="1" t="s">
        <v>26</v>
      </c>
      <c r="M191" s="1" t="s">
        <v>20</v>
      </c>
      <c r="N191" s="1" t="s">
        <v>58</v>
      </c>
    </row>
    <row r="192" spans="1:14" x14ac:dyDescent="0.25">
      <c r="A192" s="1" t="s">
        <v>331</v>
      </c>
      <c r="B192" s="1" t="s">
        <v>789</v>
      </c>
      <c r="C192" s="1" t="s">
        <v>173</v>
      </c>
      <c r="D192" s="1" t="s">
        <v>47</v>
      </c>
      <c r="E192" s="1" t="s">
        <v>51</v>
      </c>
      <c r="F192" s="1" t="s">
        <v>52</v>
      </c>
      <c r="G192" s="1">
        <v>10</v>
      </c>
      <c r="H192" s="1">
        <v>40.03</v>
      </c>
      <c r="I192" s="1">
        <v>400.3</v>
      </c>
      <c r="J192" s="1">
        <v>25.8</v>
      </c>
      <c r="K192" s="1">
        <v>149.5</v>
      </c>
      <c r="L192" s="1" t="s">
        <v>38</v>
      </c>
      <c r="M192" s="1" t="s">
        <v>20</v>
      </c>
      <c r="N192" s="1" t="s">
        <v>21</v>
      </c>
    </row>
    <row r="193" spans="1:14" x14ac:dyDescent="0.25">
      <c r="A193" s="1" t="s">
        <v>332</v>
      </c>
      <c r="B193" s="1" t="s">
        <v>961</v>
      </c>
      <c r="C193" s="1" t="s">
        <v>81</v>
      </c>
      <c r="D193" s="1" t="s">
        <v>74</v>
      </c>
      <c r="E193" s="1" t="s">
        <v>48</v>
      </c>
      <c r="F193" s="1" t="s">
        <v>37</v>
      </c>
      <c r="G193" s="1">
        <v>23</v>
      </c>
      <c r="H193" s="1">
        <v>31.3</v>
      </c>
      <c r="I193" s="1">
        <v>719.9</v>
      </c>
      <c r="J193" s="1">
        <v>47.88</v>
      </c>
      <c r="K193" s="1">
        <v>212.02</v>
      </c>
      <c r="L193" s="1" t="s">
        <v>26</v>
      </c>
      <c r="M193" s="1" t="s">
        <v>27</v>
      </c>
      <c r="N193" s="1" t="s">
        <v>58</v>
      </c>
    </row>
    <row r="194" spans="1:14" x14ac:dyDescent="0.25">
      <c r="A194" s="1" t="s">
        <v>333</v>
      </c>
      <c r="B194" s="1" t="s">
        <v>930</v>
      </c>
      <c r="C194" s="1" t="s">
        <v>91</v>
      </c>
      <c r="D194" s="1" t="s">
        <v>47</v>
      </c>
      <c r="E194" s="1" t="s">
        <v>17</v>
      </c>
      <c r="F194" s="1" t="s">
        <v>18</v>
      </c>
      <c r="G194" s="1">
        <v>37</v>
      </c>
      <c r="H194" s="1">
        <v>50.39</v>
      </c>
      <c r="I194" s="1">
        <v>1864.43</v>
      </c>
      <c r="J194" s="1">
        <v>60.06</v>
      </c>
      <c r="K194" s="1">
        <v>509.37</v>
      </c>
      <c r="L194" s="1" t="s">
        <v>26</v>
      </c>
      <c r="M194" s="1" t="s">
        <v>27</v>
      </c>
      <c r="N194" s="1" t="s">
        <v>21</v>
      </c>
    </row>
    <row r="195" spans="1:14" x14ac:dyDescent="0.25">
      <c r="A195" s="1" t="s">
        <v>334</v>
      </c>
      <c r="B195" s="1" t="s">
        <v>797</v>
      </c>
      <c r="C195" s="1" t="s">
        <v>278</v>
      </c>
      <c r="D195" s="1" t="s">
        <v>16</v>
      </c>
      <c r="E195" s="1" t="s">
        <v>63</v>
      </c>
      <c r="F195" s="1" t="s">
        <v>37</v>
      </c>
      <c r="G195" s="1">
        <v>38</v>
      </c>
      <c r="H195" s="1">
        <v>16.97</v>
      </c>
      <c r="I195" s="1">
        <v>644.86</v>
      </c>
      <c r="J195" s="1">
        <v>40</v>
      </c>
      <c r="K195" s="1">
        <v>120.36</v>
      </c>
      <c r="L195" s="1" t="s">
        <v>38</v>
      </c>
      <c r="M195" s="1" t="s">
        <v>20</v>
      </c>
      <c r="N195" s="1" t="s">
        <v>21</v>
      </c>
    </row>
    <row r="196" spans="1:14" x14ac:dyDescent="0.25">
      <c r="A196" s="1" t="s">
        <v>335</v>
      </c>
      <c r="B196" s="1" t="s">
        <v>867</v>
      </c>
      <c r="C196" s="1" t="s">
        <v>207</v>
      </c>
      <c r="D196" s="1" t="s">
        <v>86</v>
      </c>
      <c r="E196" s="1" t="s">
        <v>48</v>
      </c>
      <c r="F196" s="1" t="s">
        <v>37</v>
      </c>
      <c r="G196" s="1">
        <v>2</v>
      </c>
      <c r="H196" s="1">
        <v>35.92</v>
      </c>
      <c r="I196" s="1">
        <v>71.84</v>
      </c>
      <c r="J196" s="1">
        <v>2.34</v>
      </c>
      <c r="K196" s="1">
        <v>29.5</v>
      </c>
      <c r="L196" s="1" t="s">
        <v>38</v>
      </c>
      <c r="M196" s="1" t="s">
        <v>27</v>
      </c>
      <c r="N196" s="1" t="s">
        <v>87</v>
      </c>
    </row>
    <row r="197" spans="1:14" x14ac:dyDescent="0.25">
      <c r="A197" s="1" t="s">
        <v>336</v>
      </c>
      <c r="B197" s="1" t="s">
        <v>909</v>
      </c>
      <c r="C197" s="1" t="s">
        <v>62</v>
      </c>
      <c r="D197" s="1" t="s">
        <v>35</v>
      </c>
      <c r="E197" s="1" t="s">
        <v>48</v>
      </c>
      <c r="F197" s="1" t="s">
        <v>37</v>
      </c>
      <c r="G197" s="1">
        <v>48</v>
      </c>
      <c r="H197" s="1">
        <v>31.87</v>
      </c>
      <c r="I197" s="1">
        <v>1529.76</v>
      </c>
      <c r="J197" s="1">
        <v>89.85</v>
      </c>
      <c r="K197" s="1">
        <v>479.91</v>
      </c>
      <c r="L197" s="1" t="s">
        <v>38</v>
      </c>
      <c r="M197" s="1" t="s">
        <v>20</v>
      </c>
      <c r="N197" s="1" t="s">
        <v>39</v>
      </c>
    </row>
    <row r="198" spans="1:14" x14ac:dyDescent="0.25">
      <c r="A198" s="1" t="s">
        <v>337</v>
      </c>
      <c r="B198" s="1" t="s">
        <v>884</v>
      </c>
      <c r="C198" s="1" t="s">
        <v>221</v>
      </c>
      <c r="D198" s="1" t="s">
        <v>129</v>
      </c>
      <c r="E198" s="1" t="s">
        <v>43</v>
      </c>
      <c r="F198" s="1" t="s">
        <v>44</v>
      </c>
      <c r="G198" s="1">
        <v>46</v>
      </c>
      <c r="H198" s="1">
        <v>70</v>
      </c>
      <c r="I198" s="1">
        <v>3220</v>
      </c>
      <c r="J198" s="1">
        <v>160.11000000000001</v>
      </c>
      <c r="K198" s="1">
        <v>1219.8900000000001</v>
      </c>
      <c r="L198" s="1" t="s">
        <v>26</v>
      </c>
      <c r="M198" s="1" t="s">
        <v>27</v>
      </c>
      <c r="N198" s="1" t="s">
        <v>130</v>
      </c>
    </row>
    <row r="199" spans="1:14" x14ac:dyDescent="0.25">
      <c r="A199" s="1" t="s">
        <v>338</v>
      </c>
      <c r="B199" s="1" t="s">
        <v>960</v>
      </c>
      <c r="C199" s="1" t="s">
        <v>303</v>
      </c>
      <c r="D199" s="1" t="s">
        <v>69</v>
      </c>
      <c r="E199" s="1" t="s">
        <v>17</v>
      </c>
      <c r="F199" s="1" t="s">
        <v>18</v>
      </c>
      <c r="G199" s="1">
        <v>45</v>
      </c>
      <c r="H199" s="1">
        <v>57.7</v>
      </c>
      <c r="I199" s="1">
        <v>2596.5</v>
      </c>
      <c r="J199" s="1">
        <v>102.52</v>
      </c>
      <c r="K199" s="1">
        <v>918.98</v>
      </c>
      <c r="L199" s="1" t="s">
        <v>26</v>
      </c>
      <c r="M199" s="1" t="s">
        <v>20</v>
      </c>
      <c r="N199" s="1" t="s">
        <v>58</v>
      </c>
    </row>
    <row r="200" spans="1:14" x14ac:dyDescent="0.25">
      <c r="A200" s="1" t="s">
        <v>339</v>
      </c>
      <c r="B200" s="1" t="s">
        <v>857</v>
      </c>
      <c r="C200" s="1" t="s">
        <v>119</v>
      </c>
      <c r="D200" s="1" t="s">
        <v>77</v>
      </c>
      <c r="E200" s="1" t="s">
        <v>63</v>
      </c>
      <c r="F200" s="1" t="s">
        <v>37</v>
      </c>
      <c r="G200" s="1">
        <v>23</v>
      </c>
      <c r="H200" s="1">
        <v>20.23</v>
      </c>
      <c r="I200" s="1">
        <v>465.29</v>
      </c>
      <c r="J200" s="1">
        <v>17.29</v>
      </c>
      <c r="K200" s="1">
        <v>154.75</v>
      </c>
      <c r="L200" s="1" t="s">
        <v>38</v>
      </c>
      <c r="M200" s="1" t="s">
        <v>20</v>
      </c>
      <c r="N200" s="1" t="s">
        <v>58</v>
      </c>
    </row>
    <row r="201" spans="1:14" x14ac:dyDescent="0.25">
      <c r="A201" s="1" t="s">
        <v>340</v>
      </c>
      <c r="B201" s="1" t="s">
        <v>754</v>
      </c>
      <c r="C201" s="1" t="s">
        <v>121</v>
      </c>
      <c r="D201" s="1" t="s">
        <v>31</v>
      </c>
      <c r="E201" s="1" t="s">
        <v>25</v>
      </c>
      <c r="F201" s="1" t="s">
        <v>18</v>
      </c>
      <c r="G201" s="1">
        <v>10</v>
      </c>
      <c r="H201" s="1">
        <v>22.96</v>
      </c>
      <c r="I201" s="1">
        <v>229.6</v>
      </c>
      <c r="J201" s="1">
        <v>18.260000000000002</v>
      </c>
      <c r="K201" s="1">
        <v>31.34</v>
      </c>
      <c r="L201" s="1" t="s">
        <v>19</v>
      </c>
      <c r="M201" s="1" t="s">
        <v>32</v>
      </c>
      <c r="N201" s="1" t="s">
        <v>28</v>
      </c>
    </row>
    <row r="202" spans="1:14" x14ac:dyDescent="0.25">
      <c r="A202" s="1" t="s">
        <v>341</v>
      </c>
      <c r="B202" s="1" t="s">
        <v>959</v>
      </c>
      <c r="C202" s="1" t="s">
        <v>342</v>
      </c>
      <c r="D202" s="1" t="s">
        <v>35</v>
      </c>
      <c r="E202" s="1" t="s">
        <v>17</v>
      </c>
      <c r="F202" s="1" t="s">
        <v>18</v>
      </c>
      <c r="G202" s="1">
        <v>40</v>
      </c>
      <c r="H202" s="1">
        <v>54.84</v>
      </c>
      <c r="I202" s="1">
        <v>2193.6</v>
      </c>
      <c r="J202" s="1">
        <v>89.26</v>
      </c>
      <c r="K202" s="1">
        <v>704.34</v>
      </c>
      <c r="L202" s="1" t="s">
        <v>26</v>
      </c>
      <c r="M202" s="1" t="s">
        <v>20</v>
      </c>
      <c r="N202" s="1" t="s">
        <v>39</v>
      </c>
    </row>
    <row r="203" spans="1:14" x14ac:dyDescent="0.25">
      <c r="A203" s="1" t="s">
        <v>343</v>
      </c>
      <c r="B203" s="1" t="s">
        <v>958</v>
      </c>
      <c r="C203" s="1" t="s">
        <v>166</v>
      </c>
      <c r="D203" s="1" t="s">
        <v>69</v>
      </c>
      <c r="E203" s="1" t="s">
        <v>56</v>
      </c>
      <c r="F203" s="1" t="s">
        <v>57</v>
      </c>
      <c r="G203" s="1">
        <v>7</v>
      </c>
      <c r="H203" s="1">
        <v>36.43</v>
      </c>
      <c r="I203" s="1">
        <v>255.01</v>
      </c>
      <c r="J203" s="1">
        <v>6.3</v>
      </c>
      <c r="K203" s="1">
        <v>73.709999999999994</v>
      </c>
      <c r="L203" s="1" t="s">
        <v>19</v>
      </c>
      <c r="M203" s="1" t="s">
        <v>27</v>
      </c>
      <c r="N203" s="1" t="s">
        <v>58</v>
      </c>
    </row>
    <row r="204" spans="1:14" x14ac:dyDescent="0.25">
      <c r="A204" s="1" t="s">
        <v>344</v>
      </c>
      <c r="B204" s="1" t="s">
        <v>957</v>
      </c>
      <c r="C204" s="1" t="s">
        <v>207</v>
      </c>
      <c r="D204" s="1" t="s">
        <v>47</v>
      </c>
      <c r="E204" s="1" t="s">
        <v>63</v>
      </c>
      <c r="F204" s="1" t="s">
        <v>37</v>
      </c>
      <c r="G204" s="1">
        <v>39</v>
      </c>
      <c r="H204" s="1">
        <v>19.48</v>
      </c>
      <c r="I204" s="1">
        <v>759.72</v>
      </c>
      <c r="J204" s="1">
        <v>40.090000000000003</v>
      </c>
      <c r="K204" s="1">
        <v>222.38</v>
      </c>
      <c r="L204" s="1" t="s">
        <v>38</v>
      </c>
      <c r="M204" s="1" t="s">
        <v>27</v>
      </c>
      <c r="N204" s="1" t="s">
        <v>21</v>
      </c>
    </row>
    <row r="205" spans="1:14" x14ac:dyDescent="0.25">
      <c r="A205" s="1" t="s">
        <v>345</v>
      </c>
      <c r="B205" s="1" t="s">
        <v>956</v>
      </c>
      <c r="C205" s="1" t="s">
        <v>268</v>
      </c>
      <c r="D205" s="1" t="s">
        <v>86</v>
      </c>
      <c r="E205" s="1" t="s">
        <v>51</v>
      </c>
      <c r="F205" s="1" t="s">
        <v>52</v>
      </c>
      <c r="G205" s="1">
        <v>35</v>
      </c>
      <c r="H205" s="1">
        <v>38.83</v>
      </c>
      <c r="I205" s="1">
        <v>1359.05</v>
      </c>
      <c r="J205" s="1">
        <v>93.92</v>
      </c>
      <c r="K205" s="1">
        <v>477.63</v>
      </c>
      <c r="L205" s="1" t="s">
        <v>38</v>
      </c>
      <c r="M205" s="1" t="s">
        <v>27</v>
      </c>
      <c r="N205" s="1" t="s">
        <v>87</v>
      </c>
    </row>
    <row r="206" spans="1:14" x14ac:dyDescent="0.25">
      <c r="A206" s="1" t="s">
        <v>346</v>
      </c>
      <c r="B206" s="1" t="s">
        <v>955</v>
      </c>
      <c r="C206" s="1" t="s">
        <v>145</v>
      </c>
      <c r="D206" s="1" t="s">
        <v>55</v>
      </c>
      <c r="E206" s="1" t="s">
        <v>48</v>
      </c>
      <c r="F206" s="1" t="s">
        <v>37</v>
      </c>
      <c r="G206" s="1">
        <v>39</v>
      </c>
      <c r="H206" s="1">
        <v>32.76</v>
      </c>
      <c r="I206" s="1">
        <v>1277.6400000000001</v>
      </c>
      <c r="J206" s="1">
        <v>35.81</v>
      </c>
      <c r="K206" s="1">
        <v>461.83</v>
      </c>
      <c r="L206" s="1" t="s">
        <v>26</v>
      </c>
      <c r="M206" s="1" t="s">
        <v>32</v>
      </c>
      <c r="N206" s="1" t="s">
        <v>58</v>
      </c>
    </row>
    <row r="207" spans="1:14" x14ac:dyDescent="0.25">
      <c r="A207" s="1" t="s">
        <v>347</v>
      </c>
      <c r="B207" s="1" t="s">
        <v>838</v>
      </c>
      <c r="C207" s="1" t="s">
        <v>189</v>
      </c>
      <c r="D207" s="1" t="s">
        <v>16</v>
      </c>
      <c r="E207" s="1" t="s">
        <v>36</v>
      </c>
      <c r="F207" s="1" t="s">
        <v>37</v>
      </c>
      <c r="G207" s="1">
        <v>8</v>
      </c>
      <c r="H207" s="1">
        <v>39.869999999999997</v>
      </c>
      <c r="I207" s="1">
        <v>318.95999999999998</v>
      </c>
      <c r="J207" s="1">
        <v>15.95</v>
      </c>
      <c r="K207" s="1">
        <v>47.01</v>
      </c>
      <c r="L207" s="1" t="s">
        <v>38</v>
      </c>
      <c r="M207" s="1" t="s">
        <v>32</v>
      </c>
      <c r="N207" s="1" t="s">
        <v>21</v>
      </c>
    </row>
    <row r="208" spans="1:14" x14ac:dyDescent="0.25">
      <c r="A208" s="1" t="s">
        <v>348</v>
      </c>
      <c r="B208" s="1" t="s">
        <v>741</v>
      </c>
      <c r="C208" s="1" t="s">
        <v>261</v>
      </c>
      <c r="D208" s="1" t="s">
        <v>74</v>
      </c>
      <c r="E208" s="1" t="s">
        <v>43</v>
      </c>
      <c r="F208" s="1" t="s">
        <v>44</v>
      </c>
      <c r="G208" s="1">
        <v>10</v>
      </c>
      <c r="H208" s="1">
        <v>63.1</v>
      </c>
      <c r="I208" s="1">
        <v>631</v>
      </c>
      <c r="J208" s="1">
        <v>26.93</v>
      </c>
      <c r="K208" s="1">
        <v>204.07</v>
      </c>
      <c r="L208" s="1" t="s">
        <v>26</v>
      </c>
      <c r="M208" s="1" t="s">
        <v>27</v>
      </c>
      <c r="N208" s="1" t="s">
        <v>58</v>
      </c>
    </row>
    <row r="209" spans="1:14" x14ac:dyDescent="0.25">
      <c r="A209" s="1" t="s">
        <v>349</v>
      </c>
      <c r="B209" s="1" t="s">
        <v>954</v>
      </c>
      <c r="C209" s="1" t="s">
        <v>100</v>
      </c>
      <c r="D209" s="1" t="s">
        <v>151</v>
      </c>
      <c r="E209" s="1" t="s">
        <v>36</v>
      </c>
      <c r="F209" s="1" t="s">
        <v>37</v>
      </c>
      <c r="G209" s="1">
        <v>3</v>
      </c>
      <c r="H209" s="1">
        <v>55.1</v>
      </c>
      <c r="I209" s="1">
        <v>165.3</v>
      </c>
      <c r="J209" s="1">
        <v>9.17</v>
      </c>
      <c r="K209" s="1">
        <v>60.13</v>
      </c>
      <c r="L209" s="1" t="s">
        <v>19</v>
      </c>
      <c r="M209" s="1" t="s">
        <v>20</v>
      </c>
      <c r="N209" s="1" t="s">
        <v>28</v>
      </c>
    </row>
    <row r="210" spans="1:14" x14ac:dyDescent="0.25">
      <c r="A210" s="1" t="s">
        <v>350</v>
      </c>
      <c r="B210" s="1" t="s">
        <v>953</v>
      </c>
      <c r="C210" s="1" t="s">
        <v>71</v>
      </c>
      <c r="D210" s="1" t="s">
        <v>177</v>
      </c>
      <c r="E210" s="1" t="s">
        <v>60</v>
      </c>
      <c r="F210" s="1" t="s">
        <v>52</v>
      </c>
      <c r="G210" s="1">
        <v>26</v>
      </c>
      <c r="H210" s="1">
        <v>19.809999999999999</v>
      </c>
      <c r="I210" s="1">
        <v>515.05999999999995</v>
      </c>
      <c r="J210" s="1">
        <v>10.3</v>
      </c>
      <c r="K210" s="1">
        <v>101.76</v>
      </c>
      <c r="L210" s="1" t="s">
        <v>38</v>
      </c>
      <c r="M210" s="1" t="s">
        <v>27</v>
      </c>
      <c r="N210" s="1" t="s">
        <v>58</v>
      </c>
    </row>
    <row r="211" spans="1:14" x14ac:dyDescent="0.25">
      <c r="A211" s="1" t="s">
        <v>351</v>
      </c>
      <c r="B211" s="1" t="s">
        <v>952</v>
      </c>
      <c r="C211" s="1" t="s">
        <v>108</v>
      </c>
      <c r="D211" s="1" t="s">
        <v>74</v>
      </c>
      <c r="E211" s="1" t="s">
        <v>43</v>
      </c>
      <c r="F211" s="1" t="s">
        <v>44</v>
      </c>
      <c r="G211" s="1">
        <v>17</v>
      </c>
      <c r="H211" s="1">
        <v>53.34</v>
      </c>
      <c r="I211" s="1">
        <v>906.78</v>
      </c>
      <c r="J211" s="1">
        <v>30.6</v>
      </c>
      <c r="K211" s="1">
        <v>196.18</v>
      </c>
      <c r="L211" s="1" t="s">
        <v>19</v>
      </c>
      <c r="M211" s="1" t="s">
        <v>27</v>
      </c>
      <c r="N211" s="1" t="s">
        <v>58</v>
      </c>
    </row>
    <row r="212" spans="1:14" x14ac:dyDescent="0.25">
      <c r="A212" s="1" t="s">
        <v>352</v>
      </c>
      <c r="B212" s="1" t="s">
        <v>951</v>
      </c>
      <c r="C212" s="1" t="s">
        <v>93</v>
      </c>
      <c r="D212" s="1" t="s">
        <v>55</v>
      </c>
      <c r="E212" s="1" t="s">
        <v>48</v>
      </c>
      <c r="F212" s="1" t="s">
        <v>37</v>
      </c>
      <c r="G212" s="1">
        <v>17</v>
      </c>
      <c r="H212" s="1">
        <v>28.23</v>
      </c>
      <c r="I212" s="1">
        <v>479.91</v>
      </c>
      <c r="J212" s="1">
        <v>31.88</v>
      </c>
      <c r="K212" s="1">
        <v>108.03</v>
      </c>
      <c r="L212" s="1" t="s">
        <v>26</v>
      </c>
      <c r="M212" s="1" t="s">
        <v>20</v>
      </c>
      <c r="N212" s="1" t="s">
        <v>58</v>
      </c>
    </row>
    <row r="213" spans="1:14" x14ac:dyDescent="0.25">
      <c r="A213" s="1" t="s">
        <v>353</v>
      </c>
      <c r="B213" s="1" t="s">
        <v>950</v>
      </c>
      <c r="C213" s="1" t="s">
        <v>354</v>
      </c>
      <c r="D213" s="1" t="s">
        <v>151</v>
      </c>
      <c r="E213" s="1" t="s">
        <v>25</v>
      </c>
      <c r="F213" s="1" t="s">
        <v>18</v>
      </c>
      <c r="G213" s="1">
        <v>42</v>
      </c>
      <c r="H213" s="1">
        <v>25.26</v>
      </c>
      <c r="I213" s="1">
        <v>1060.92</v>
      </c>
      <c r="J213" s="1">
        <v>77.05</v>
      </c>
      <c r="K213" s="1">
        <v>227.87</v>
      </c>
      <c r="L213" s="1" t="s">
        <v>19</v>
      </c>
      <c r="M213" s="1" t="s">
        <v>32</v>
      </c>
      <c r="N213" s="1" t="s">
        <v>28</v>
      </c>
    </row>
    <row r="214" spans="1:14" x14ac:dyDescent="0.25">
      <c r="A214" s="1" t="s">
        <v>355</v>
      </c>
      <c r="B214" s="1" t="s">
        <v>776</v>
      </c>
      <c r="C214" s="1" t="s">
        <v>149</v>
      </c>
      <c r="D214" s="1" t="s">
        <v>177</v>
      </c>
      <c r="E214" s="1" t="s">
        <v>25</v>
      </c>
      <c r="F214" s="1" t="s">
        <v>18</v>
      </c>
      <c r="G214" s="1">
        <v>2</v>
      </c>
      <c r="H214" s="1">
        <v>27.27</v>
      </c>
      <c r="I214" s="1">
        <v>54.54</v>
      </c>
      <c r="J214" s="1">
        <v>1.45</v>
      </c>
      <c r="K214" s="1">
        <v>17.09</v>
      </c>
      <c r="L214" s="1" t="s">
        <v>19</v>
      </c>
      <c r="M214" s="1" t="s">
        <v>32</v>
      </c>
      <c r="N214" s="1" t="s">
        <v>58</v>
      </c>
    </row>
    <row r="215" spans="1:14" x14ac:dyDescent="0.25">
      <c r="A215" s="1" t="s">
        <v>356</v>
      </c>
      <c r="B215" s="1" t="s">
        <v>949</v>
      </c>
      <c r="C215" s="1" t="s">
        <v>231</v>
      </c>
      <c r="D215" s="1" t="s">
        <v>74</v>
      </c>
      <c r="E215" s="1" t="s">
        <v>83</v>
      </c>
      <c r="F215" s="1" t="s">
        <v>52</v>
      </c>
      <c r="G215" s="1">
        <v>48</v>
      </c>
      <c r="H215" s="1">
        <v>44.95</v>
      </c>
      <c r="I215" s="1">
        <v>2157.6</v>
      </c>
      <c r="J215" s="1">
        <v>148.41</v>
      </c>
      <c r="K215" s="1">
        <v>665.19</v>
      </c>
      <c r="L215" s="1" t="s">
        <v>19</v>
      </c>
      <c r="M215" s="1" t="s">
        <v>20</v>
      </c>
      <c r="N215" s="1" t="s">
        <v>58</v>
      </c>
    </row>
    <row r="216" spans="1:14" x14ac:dyDescent="0.25">
      <c r="A216" s="1" t="s">
        <v>357</v>
      </c>
      <c r="B216" s="1" t="s">
        <v>948</v>
      </c>
      <c r="C216" s="1" t="s">
        <v>354</v>
      </c>
      <c r="D216" s="1" t="s">
        <v>69</v>
      </c>
      <c r="E216" s="1" t="s">
        <v>48</v>
      </c>
      <c r="F216" s="1" t="s">
        <v>37</v>
      </c>
      <c r="G216" s="1">
        <v>23</v>
      </c>
      <c r="H216" s="1">
        <v>28.6</v>
      </c>
      <c r="I216" s="1">
        <v>657.8</v>
      </c>
      <c r="J216" s="1">
        <v>13.36</v>
      </c>
      <c r="K216" s="1">
        <v>184.44</v>
      </c>
      <c r="L216" s="1" t="s">
        <v>19</v>
      </c>
      <c r="M216" s="1" t="s">
        <v>32</v>
      </c>
      <c r="N216" s="1" t="s">
        <v>58</v>
      </c>
    </row>
    <row r="217" spans="1:14" x14ac:dyDescent="0.25">
      <c r="A217" s="1" t="s">
        <v>358</v>
      </c>
      <c r="B217" s="1" t="s">
        <v>947</v>
      </c>
      <c r="C217" s="1" t="s">
        <v>108</v>
      </c>
      <c r="D217" s="1" t="s">
        <v>106</v>
      </c>
      <c r="E217" s="1" t="s">
        <v>60</v>
      </c>
      <c r="F217" s="1" t="s">
        <v>52</v>
      </c>
      <c r="G217" s="1">
        <v>18</v>
      </c>
      <c r="H217" s="1">
        <v>26.1</v>
      </c>
      <c r="I217" s="1">
        <v>469.8</v>
      </c>
      <c r="J217" s="1">
        <v>19.52</v>
      </c>
      <c r="K217" s="1">
        <v>171.28</v>
      </c>
      <c r="L217" s="1" t="s">
        <v>38</v>
      </c>
      <c r="M217" s="1" t="s">
        <v>20</v>
      </c>
      <c r="N217" s="1" t="s">
        <v>28</v>
      </c>
    </row>
    <row r="218" spans="1:14" x14ac:dyDescent="0.25">
      <c r="A218" s="1" t="s">
        <v>359</v>
      </c>
      <c r="B218" s="1" t="s">
        <v>886</v>
      </c>
      <c r="C218" s="1" t="s">
        <v>360</v>
      </c>
      <c r="D218" s="1" t="s">
        <v>47</v>
      </c>
      <c r="E218" s="1" t="s">
        <v>83</v>
      </c>
      <c r="F218" s="1" t="s">
        <v>52</v>
      </c>
      <c r="G218" s="1">
        <v>21</v>
      </c>
      <c r="H218" s="1">
        <v>37.450000000000003</v>
      </c>
      <c r="I218" s="1">
        <v>786.45</v>
      </c>
      <c r="J218" s="1">
        <v>62.4</v>
      </c>
      <c r="K218" s="1">
        <v>136.05000000000001</v>
      </c>
      <c r="L218" s="1" t="s">
        <v>19</v>
      </c>
      <c r="M218" s="1" t="s">
        <v>32</v>
      </c>
      <c r="N218" s="1" t="s">
        <v>21</v>
      </c>
    </row>
    <row r="219" spans="1:14" x14ac:dyDescent="0.25">
      <c r="A219" s="1" t="s">
        <v>361</v>
      </c>
      <c r="B219" s="1" t="s">
        <v>946</v>
      </c>
      <c r="C219" s="1" t="s">
        <v>323</v>
      </c>
      <c r="D219" s="1" t="s">
        <v>69</v>
      </c>
      <c r="E219" s="1" t="s">
        <v>48</v>
      </c>
      <c r="F219" s="1" t="s">
        <v>37</v>
      </c>
      <c r="G219" s="1">
        <v>25</v>
      </c>
      <c r="H219" s="1">
        <v>28.54</v>
      </c>
      <c r="I219" s="1">
        <v>713.5</v>
      </c>
      <c r="J219" s="1">
        <v>50.38</v>
      </c>
      <c r="K219" s="1">
        <v>163.12</v>
      </c>
      <c r="L219" s="1" t="s">
        <v>19</v>
      </c>
      <c r="M219" s="1" t="s">
        <v>20</v>
      </c>
      <c r="N219" s="1" t="s">
        <v>58</v>
      </c>
    </row>
    <row r="220" spans="1:14" x14ac:dyDescent="0.25">
      <c r="A220" s="1" t="s">
        <v>362</v>
      </c>
      <c r="B220" s="1" t="s">
        <v>769</v>
      </c>
      <c r="C220" s="1" t="s">
        <v>113</v>
      </c>
      <c r="D220" s="1" t="s">
        <v>16</v>
      </c>
      <c r="E220" s="1" t="s">
        <v>56</v>
      </c>
      <c r="F220" s="1" t="s">
        <v>57</v>
      </c>
      <c r="G220" s="1">
        <v>11</v>
      </c>
      <c r="H220" s="1">
        <v>38.07</v>
      </c>
      <c r="I220" s="1">
        <v>418.77</v>
      </c>
      <c r="J220" s="1">
        <v>29.02</v>
      </c>
      <c r="K220" s="1">
        <v>114.75</v>
      </c>
      <c r="L220" s="1" t="s">
        <v>26</v>
      </c>
      <c r="M220" s="1" t="s">
        <v>20</v>
      </c>
      <c r="N220" s="1" t="s">
        <v>21</v>
      </c>
    </row>
    <row r="221" spans="1:14" x14ac:dyDescent="0.25">
      <c r="A221" s="1" t="s">
        <v>363</v>
      </c>
      <c r="B221" s="1" t="s">
        <v>945</v>
      </c>
      <c r="C221" s="1" t="s">
        <v>364</v>
      </c>
      <c r="D221" s="1" t="s">
        <v>42</v>
      </c>
      <c r="E221" s="1" t="s">
        <v>60</v>
      </c>
      <c r="F221" s="1" t="s">
        <v>52</v>
      </c>
      <c r="G221" s="1">
        <v>18</v>
      </c>
      <c r="H221" s="1">
        <v>19.32</v>
      </c>
      <c r="I221" s="1">
        <v>347.76</v>
      </c>
      <c r="J221" s="1">
        <v>21.34</v>
      </c>
      <c r="K221" s="1">
        <v>47.42</v>
      </c>
      <c r="L221" s="1" t="s">
        <v>26</v>
      </c>
      <c r="M221" s="1" t="s">
        <v>20</v>
      </c>
      <c r="N221" s="1" t="s">
        <v>21</v>
      </c>
    </row>
    <row r="222" spans="1:14" x14ac:dyDescent="0.25">
      <c r="A222" s="1" t="s">
        <v>365</v>
      </c>
      <c r="B222" s="1" t="s">
        <v>944</v>
      </c>
      <c r="C222" s="1" t="s">
        <v>65</v>
      </c>
      <c r="D222" s="1" t="s">
        <v>24</v>
      </c>
      <c r="E222" s="1" t="s">
        <v>83</v>
      </c>
      <c r="F222" s="1" t="s">
        <v>52</v>
      </c>
      <c r="G222" s="1">
        <v>42</v>
      </c>
      <c r="H222" s="1">
        <v>50.02</v>
      </c>
      <c r="I222" s="1">
        <v>2100.84</v>
      </c>
      <c r="J222" s="1">
        <v>89.65</v>
      </c>
      <c r="K222" s="1">
        <v>835.19</v>
      </c>
      <c r="L222" s="1" t="s">
        <v>26</v>
      </c>
      <c r="M222" s="1" t="s">
        <v>27</v>
      </c>
      <c r="N222" s="1" t="s">
        <v>28</v>
      </c>
    </row>
    <row r="223" spans="1:14" x14ac:dyDescent="0.25">
      <c r="A223" s="1" t="s">
        <v>366</v>
      </c>
      <c r="B223" s="1" t="s">
        <v>747</v>
      </c>
      <c r="C223" s="1" t="s">
        <v>257</v>
      </c>
      <c r="D223" s="1" t="s">
        <v>129</v>
      </c>
      <c r="E223" s="1" t="s">
        <v>83</v>
      </c>
      <c r="F223" s="1" t="s">
        <v>52</v>
      </c>
      <c r="G223" s="1">
        <v>13</v>
      </c>
      <c r="H223" s="1">
        <v>49.39</v>
      </c>
      <c r="I223" s="1">
        <v>642.07000000000005</v>
      </c>
      <c r="J223" s="1">
        <v>38.32</v>
      </c>
      <c r="K223" s="1">
        <v>239.75</v>
      </c>
      <c r="L223" s="1" t="s">
        <v>26</v>
      </c>
      <c r="M223" s="1" t="s">
        <v>20</v>
      </c>
      <c r="N223" s="1" t="s">
        <v>130</v>
      </c>
    </row>
    <row r="224" spans="1:14" x14ac:dyDescent="0.25">
      <c r="A224" s="1" t="s">
        <v>367</v>
      </c>
      <c r="B224" s="1" t="s">
        <v>943</v>
      </c>
      <c r="C224" s="1" t="s">
        <v>117</v>
      </c>
      <c r="D224" s="1" t="s">
        <v>24</v>
      </c>
      <c r="E224" s="1" t="s">
        <v>25</v>
      </c>
      <c r="F224" s="1" t="s">
        <v>18</v>
      </c>
      <c r="G224" s="1">
        <v>15</v>
      </c>
      <c r="H224" s="1">
        <v>22.86</v>
      </c>
      <c r="I224" s="1">
        <v>342.9</v>
      </c>
      <c r="J224" s="1">
        <v>27.16</v>
      </c>
      <c r="K224" s="1">
        <v>45.74</v>
      </c>
      <c r="L224" s="1" t="s">
        <v>38</v>
      </c>
      <c r="M224" s="1" t="s">
        <v>32</v>
      </c>
      <c r="N224" s="1" t="s">
        <v>28</v>
      </c>
    </row>
    <row r="225" spans="1:14" x14ac:dyDescent="0.25">
      <c r="A225" s="1" t="s">
        <v>368</v>
      </c>
      <c r="B225" s="1" t="s">
        <v>824</v>
      </c>
      <c r="C225" s="1" t="s">
        <v>360</v>
      </c>
      <c r="D225" s="1" t="s">
        <v>177</v>
      </c>
      <c r="E225" s="1" t="s">
        <v>56</v>
      </c>
      <c r="F225" s="1" t="s">
        <v>57</v>
      </c>
      <c r="G225" s="1">
        <v>37</v>
      </c>
      <c r="H225" s="1">
        <v>37.270000000000003</v>
      </c>
      <c r="I225" s="1">
        <v>1378.99</v>
      </c>
      <c r="J225" s="1">
        <v>92.92</v>
      </c>
      <c r="K225" s="1">
        <v>361.07</v>
      </c>
      <c r="L225" s="1" t="s">
        <v>19</v>
      </c>
      <c r="M225" s="1" t="s">
        <v>20</v>
      </c>
      <c r="N225" s="1" t="s">
        <v>58</v>
      </c>
    </row>
    <row r="226" spans="1:14" x14ac:dyDescent="0.25">
      <c r="A226" s="1" t="s">
        <v>369</v>
      </c>
      <c r="B226" s="1" t="s">
        <v>942</v>
      </c>
      <c r="C226" s="1" t="s">
        <v>46</v>
      </c>
      <c r="D226" s="1" t="s">
        <v>106</v>
      </c>
      <c r="E226" s="1" t="s">
        <v>17</v>
      </c>
      <c r="F226" s="1" t="s">
        <v>18</v>
      </c>
      <c r="G226" s="1">
        <v>49</v>
      </c>
      <c r="H226" s="1">
        <v>54.05</v>
      </c>
      <c r="I226" s="1">
        <v>2648.45</v>
      </c>
      <c r="J226" s="1">
        <v>66.8</v>
      </c>
      <c r="K226" s="1">
        <v>866.65</v>
      </c>
      <c r="L226" s="1" t="s">
        <v>38</v>
      </c>
      <c r="M226" s="1" t="s">
        <v>20</v>
      </c>
      <c r="N226" s="1" t="s">
        <v>28</v>
      </c>
    </row>
    <row r="227" spans="1:14" x14ac:dyDescent="0.25">
      <c r="A227" s="1" t="s">
        <v>370</v>
      </c>
      <c r="B227" s="1" t="s">
        <v>878</v>
      </c>
      <c r="C227" s="1" t="s">
        <v>371</v>
      </c>
      <c r="D227" s="1" t="s">
        <v>24</v>
      </c>
      <c r="E227" s="1" t="s">
        <v>63</v>
      </c>
      <c r="F227" s="1" t="s">
        <v>37</v>
      </c>
      <c r="G227" s="1">
        <v>33</v>
      </c>
      <c r="H227" s="1">
        <v>20.059999999999999</v>
      </c>
      <c r="I227" s="1">
        <v>661.98</v>
      </c>
      <c r="J227" s="1">
        <v>50.02</v>
      </c>
      <c r="K227" s="1">
        <v>191.21</v>
      </c>
      <c r="L227" s="1" t="s">
        <v>38</v>
      </c>
      <c r="M227" s="1" t="s">
        <v>27</v>
      </c>
      <c r="N227" s="1" t="s">
        <v>28</v>
      </c>
    </row>
    <row r="228" spans="1:14" x14ac:dyDescent="0.25">
      <c r="A228" s="1" t="s">
        <v>372</v>
      </c>
      <c r="B228" s="1" t="s">
        <v>941</v>
      </c>
      <c r="C228" s="1" t="s">
        <v>207</v>
      </c>
      <c r="D228" s="1" t="s">
        <v>151</v>
      </c>
      <c r="E228" s="1" t="s">
        <v>83</v>
      </c>
      <c r="F228" s="1" t="s">
        <v>52</v>
      </c>
      <c r="G228" s="1">
        <v>49</v>
      </c>
      <c r="H228" s="1">
        <v>35.68</v>
      </c>
      <c r="I228" s="1">
        <v>1748.32</v>
      </c>
      <c r="J228" s="1">
        <v>124.47</v>
      </c>
      <c r="K228" s="1">
        <v>251.85</v>
      </c>
      <c r="L228" s="1" t="s">
        <v>38</v>
      </c>
      <c r="M228" s="1" t="s">
        <v>32</v>
      </c>
      <c r="N228" s="1" t="s">
        <v>28</v>
      </c>
    </row>
    <row r="229" spans="1:14" x14ac:dyDescent="0.25">
      <c r="A229" s="1" t="s">
        <v>373</v>
      </c>
      <c r="B229" s="1" t="s">
        <v>850</v>
      </c>
      <c r="C229" s="1" t="s">
        <v>30</v>
      </c>
      <c r="D229" s="1" t="s">
        <v>177</v>
      </c>
      <c r="E229" s="1" t="s">
        <v>56</v>
      </c>
      <c r="F229" s="1" t="s">
        <v>57</v>
      </c>
      <c r="G229" s="1">
        <v>23</v>
      </c>
      <c r="H229" s="1">
        <v>30.89</v>
      </c>
      <c r="I229" s="1">
        <v>710.47</v>
      </c>
      <c r="J229" s="1">
        <v>18.739999999999998</v>
      </c>
      <c r="K229" s="1">
        <v>116.73</v>
      </c>
      <c r="L229" s="1" t="s">
        <v>26</v>
      </c>
      <c r="M229" s="1" t="s">
        <v>20</v>
      </c>
      <c r="N229" s="1" t="s">
        <v>58</v>
      </c>
    </row>
    <row r="230" spans="1:14" x14ac:dyDescent="0.25">
      <c r="A230" s="1" t="s">
        <v>374</v>
      </c>
      <c r="B230" s="1" t="s">
        <v>940</v>
      </c>
      <c r="C230" s="1" t="s">
        <v>34</v>
      </c>
      <c r="D230" s="1" t="s">
        <v>106</v>
      </c>
      <c r="E230" s="1" t="s">
        <v>17</v>
      </c>
      <c r="F230" s="1" t="s">
        <v>18</v>
      </c>
      <c r="G230" s="1">
        <v>14</v>
      </c>
      <c r="H230" s="1">
        <v>59.6</v>
      </c>
      <c r="I230" s="1">
        <v>834.4</v>
      </c>
      <c r="J230" s="1">
        <v>19.11</v>
      </c>
      <c r="K230" s="1">
        <v>325.29000000000002</v>
      </c>
      <c r="L230" s="1" t="s">
        <v>26</v>
      </c>
      <c r="M230" s="1" t="s">
        <v>27</v>
      </c>
      <c r="N230" s="1" t="s">
        <v>28</v>
      </c>
    </row>
    <row r="231" spans="1:14" x14ac:dyDescent="0.25">
      <c r="A231" s="1" t="s">
        <v>375</v>
      </c>
      <c r="B231" s="1" t="s">
        <v>939</v>
      </c>
      <c r="C231" s="1" t="s">
        <v>303</v>
      </c>
      <c r="D231" s="1" t="s">
        <v>151</v>
      </c>
      <c r="E231" s="1" t="s">
        <v>51</v>
      </c>
      <c r="F231" s="1" t="s">
        <v>52</v>
      </c>
      <c r="G231" s="1">
        <v>3</v>
      </c>
      <c r="H231" s="1">
        <v>28.36</v>
      </c>
      <c r="I231" s="1">
        <v>85.08</v>
      </c>
      <c r="J231" s="1">
        <v>4.46</v>
      </c>
      <c r="K231" s="1">
        <v>13.12</v>
      </c>
      <c r="L231" s="1" t="s">
        <v>19</v>
      </c>
      <c r="M231" s="1" t="s">
        <v>27</v>
      </c>
      <c r="N231" s="1" t="s">
        <v>28</v>
      </c>
    </row>
    <row r="232" spans="1:14" x14ac:dyDescent="0.25">
      <c r="A232" s="1" t="s">
        <v>376</v>
      </c>
      <c r="B232" s="1" t="s">
        <v>938</v>
      </c>
      <c r="C232" s="1" t="s">
        <v>135</v>
      </c>
      <c r="D232" s="1" t="s">
        <v>151</v>
      </c>
      <c r="E232" s="1" t="s">
        <v>63</v>
      </c>
      <c r="F232" s="1" t="s">
        <v>37</v>
      </c>
      <c r="G232" s="1">
        <v>28</v>
      </c>
      <c r="H232" s="1">
        <v>22.13</v>
      </c>
      <c r="I232" s="1">
        <v>619.64</v>
      </c>
      <c r="J232" s="1">
        <v>17.2</v>
      </c>
      <c r="K232" s="1">
        <v>245.44</v>
      </c>
      <c r="L232" s="1" t="s">
        <v>26</v>
      </c>
      <c r="M232" s="1" t="s">
        <v>32</v>
      </c>
      <c r="N232" s="1" t="s">
        <v>28</v>
      </c>
    </row>
    <row r="233" spans="1:14" x14ac:dyDescent="0.25">
      <c r="A233" s="1" t="s">
        <v>377</v>
      </c>
      <c r="B233" s="1" t="s">
        <v>912</v>
      </c>
      <c r="C233" s="1" t="s">
        <v>233</v>
      </c>
      <c r="D233" s="1" t="s">
        <v>16</v>
      </c>
      <c r="E233" s="1" t="s">
        <v>25</v>
      </c>
      <c r="F233" s="1" t="s">
        <v>18</v>
      </c>
      <c r="G233" s="1">
        <v>28</v>
      </c>
      <c r="H233" s="1">
        <v>27.62</v>
      </c>
      <c r="I233" s="1">
        <v>773.36</v>
      </c>
      <c r="J233" s="1">
        <v>29.88</v>
      </c>
      <c r="K233" s="1">
        <v>239.48</v>
      </c>
      <c r="L233" s="1" t="s">
        <v>19</v>
      </c>
      <c r="M233" s="1" t="s">
        <v>20</v>
      </c>
      <c r="N233" s="1" t="s">
        <v>21</v>
      </c>
    </row>
    <row r="234" spans="1:14" x14ac:dyDescent="0.25">
      <c r="A234" s="1" t="s">
        <v>378</v>
      </c>
      <c r="B234" s="1" t="s">
        <v>937</v>
      </c>
      <c r="C234" s="1" t="s">
        <v>121</v>
      </c>
      <c r="D234" s="1" t="s">
        <v>42</v>
      </c>
      <c r="E234" s="1" t="s">
        <v>56</v>
      </c>
      <c r="F234" s="1" t="s">
        <v>57</v>
      </c>
      <c r="G234" s="1">
        <v>40</v>
      </c>
      <c r="H234" s="1">
        <v>34.229999999999997</v>
      </c>
      <c r="I234" s="1">
        <v>1369.2</v>
      </c>
      <c r="J234" s="1">
        <v>78.03</v>
      </c>
      <c r="K234" s="1">
        <v>291.17</v>
      </c>
      <c r="L234" s="1" t="s">
        <v>19</v>
      </c>
      <c r="M234" s="1" t="s">
        <v>20</v>
      </c>
      <c r="N234" s="1" t="s">
        <v>21</v>
      </c>
    </row>
    <row r="235" spans="1:14" x14ac:dyDescent="0.25">
      <c r="A235" s="1" t="s">
        <v>379</v>
      </c>
      <c r="B235" s="1" t="s">
        <v>924</v>
      </c>
      <c r="C235" s="1" t="s">
        <v>179</v>
      </c>
      <c r="D235" s="1" t="s">
        <v>77</v>
      </c>
      <c r="E235" s="1" t="s">
        <v>43</v>
      </c>
      <c r="F235" s="1" t="s">
        <v>44</v>
      </c>
      <c r="G235" s="1">
        <v>9</v>
      </c>
      <c r="H235" s="1">
        <v>52.2</v>
      </c>
      <c r="I235" s="1">
        <v>469.8</v>
      </c>
      <c r="J235" s="1">
        <v>31.5</v>
      </c>
      <c r="K235" s="1">
        <v>78.3</v>
      </c>
      <c r="L235" s="1" t="s">
        <v>38</v>
      </c>
      <c r="M235" s="1" t="s">
        <v>32</v>
      </c>
      <c r="N235" s="1" t="s">
        <v>58</v>
      </c>
    </row>
    <row r="236" spans="1:14" x14ac:dyDescent="0.25">
      <c r="A236" s="1" t="s">
        <v>380</v>
      </c>
      <c r="B236" s="1" t="s">
        <v>936</v>
      </c>
      <c r="C236" s="1" t="s">
        <v>233</v>
      </c>
      <c r="D236" s="1" t="s">
        <v>106</v>
      </c>
      <c r="E236" s="1" t="s">
        <v>56</v>
      </c>
      <c r="F236" s="1" t="s">
        <v>57</v>
      </c>
      <c r="G236" s="1">
        <v>31</v>
      </c>
      <c r="H236" s="1">
        <v>43.54</v>
      </c>
      <c r="I236" s="1">
        <v>1349.74</v>
      </c>
      <c r="J236" s="1">
        <v>99.86</v>
      </c>
      <c r="K236" s="1">
        <v>474.88</v>
      </c>
      <c r="L236" s="1" t="s">
        <v>19</v>
      </c>
      <c r="M236" s="1" t="s">
        <v>27</v>
      </c>
      <c r="N236" s="1" t="s">
        <v>28</v>
      </c>
    </row>
    <row r="237" spans="1:14" x14ac:dyDescent="0.25">
      <c r="A237" s="1" t="s">
        <v>381</v>
      </c>
      <c r="B237" s="1" t="s">
        <v>935</v>
      </c>
      <c r="C237" s="1" t="s">
        <v>115</v>
      </c>
      <c r="D237" s="1" t="s">
        <v>74</v>
      </c>
      <c r="E237" s="1" t="s">
        <v>60</v>
      </c>
      <c r="F237" s="1" t="s">
        <v>52</v>
      </c>
      <c r="G237" s="1">
        <v>31</v>
      </c>
      <c r="H237" s="1">
        <v>18.63</v>
      </c>
      <c r="I237" s="1">
        <v>577.53</v>
      </c>
      <c r="J237" s="1">
        <v>36.65</v>
      </c>
      <c r="K237" s="1">
        <v>60.38</v>
      </c>
      <c r="L237" s="1" t="s">
        <v>38</v>
      </c>
      <c r="M237" s="1" t="s">
        <v>20</v>
      </c>
      <c r="N237" s="1" t="s">
        <v>58</v>
      </c>
    </row>
    <row r="238" spans="1:14" x14ac:dyDescent="0.25">
      <c r="A238" s="1" t="s">
        <v>382</v>
      </c>
      <c r="B238" s="1" t="s">
        <v>925</v>
      </c>
      <c r="C238" s="1" t="s">
        <v>278</v>
      </c>
      <c r="D238" s="1" t="s">
        <v>77</v>
      </c>
      <c r="E238" s="1" t="s">
        <v>48</v>
      </c>
      <c r="F238" s="1" t="s">
        <v>37</v>
      </c>
      <c r="G238" s="1">
        <v>38</v>
      </c>
      <c r="H238" s="1">
        <v>27.28</v>
      </c>
      <c r="I238" s="1">
        <v>1036.6400000000001</v>
      </c>
      <c r="J238" s="1">
        <v>38.770000000000003</v>
      </c>
      <c r="K238" s="1">
        <v>237.87</v>
      </c>
      <c r="L238" s="1" t="s">
        <v>19</v>
      </c>
      <c r="M238" s="1" t="s">
        <v>32</v>
      </c>
      <c r="N238" s="1" t="s">
        <v>58</v>
      </c>
    </row>
    <row r="239" spans="1:14" x14ac:dyDescent="0.25">
      <c r="A239" s="1" t="s">
        <v>383</v>
      </c>
      <c r="B239" s="1" t="s">
        <v>934</v>
      </c>
      <c r="C239" s="1" t="s">
        <v>207</v>
      </c>
      <c r="D239" s="1" t="s">
        <v>35</v>
      </c>
      <c r="E239" s="1" t="s">
        <v>25</v>
      </c>
      <c r="F239" s="1" t="s">
        <v>18</v>
      </c>
      <c r="G239" s="1">
        <v>50</v>
      </c>
      <c r="H239" s="1">
        <v>30.97</v>
      </c>
      <c r="I239" s="1">
        <v>1548.5</v>
      </c>
      <c r="J239" s="1">
        <v>82.09</v>
      </c>
      <c r="K239" s="1">
        <v>566.41</v>
      </c>
      <c r="L239" s="1" t="s">
        <v>26</v>
      </c>
      <c r="M239" s="1" t="s">
        <v>27</v>
      </c>
      <c r="N239" s="1" t="s">
        <v>39</v>
      </c>
    </row>
    <row r="240" spans="1:14" x14ac:dyDescent="0.25">
      <c r="A240" s="1" t="s">
        <v>384</v>
      </c>
      <c r="B240" s="1" t="s">
        <v>802</v>
      </c>
      <c r="C240" s="1" t="s">
        <v>76</v>
      </c>
      <c r="D240" s="1" t="s">
        <v>77</v>
      </c>
      <c r="E240" s="1" t="s">
        <v>43</v>
      </c>
      <c r="F240" s="1" t="s">
        <v>44</v>
      </c>
      <c r="G240" s="1">
        <v>17</v>
      </c>
      <c r="H240" s="1">
        <v>60.91</v>
      </c>
      <c r="I240" s="1">
        <v>1035.47</v>
      </c>
      <c r="J240" s="1">
        <v>54.09</v>
      </c>
      <c r="K240" s="1">
        <v>301.38</v>
      </c>
      <c r="L240" s="1" t="s">
        <v>38</v>
      </c>
      <c r="M240" s="1" t="s">
        <v>20</v>
      </c>
      <c r="N240" s="1" t="s">
        <v>58</v>
      </c>
    </row>
    <row r="241" spans="1:14" x14ac:dyDescent="0.25">
      <c r="A241" s="1" t="s">
        <v>385</v>
      </c>
      <c r="B241" s="1" t="s">
        <v>933</v>
      </c>
      <c r="C241" s="1" t="s">
        <v>274</v>
      </c>
      <c r="D241" s="1" t="s">
        <v>55</v>
      </c>
      <c r="E241" s="1" t="s">
        <v>48</v>
      </c>
      <c r="F241" s="1" t="s">
        <v>37</v>
      </c>
      <c r="G241" s="1">
        <v>25</v>
      </c>
      <c r="H241" s="1">
        <v>31.15</v>
      </c>
      <c r="I241" s="1">
        <v>778.75</v>
      </c>
      <c r="J241" s="1">
        <v>47.45</v>
      </c>
      <c r="K241" s="1">
        <v>231.3</v>
      </c>
      <c r="L241" s="1" t="s">
        <v>19</v>
      </c>
      <c r="M241" s="1" t="s">
        <v>32</v>
      </c>
      <c r="N241" s="1" t="s">
        <v>58</v>
      </c>
    </row>
    <row r="242" spans="1:14" x14ac:dyDescent="0.25">
      <c r="A242" s="1" t="s">
        <v>386</v>
      </c>
      <c r="B242" s="1" t="s">
        <v>932</v>
      </c>
      <c r="C242" s="1" t="s">
        <v>291</v>
      </c>
      <c r="D242" s="1" t="s">
        <v>106</v>
      </c>
      <c r="E242" s="1" t="s">
        <v>25</v>
      </c>
      <c r="F242" s="1" t="s">
        <v>18</v>
      </c>
      <c r="G242" s="1">
        <v>30</v>
      </c>
      <c r="H242" s="1">
        <v>31.12</v>
      </c>
      <c r="I242" s="1">
        <v>933.6</v>
      </c>
      <c r="J242" s="1">
        <v>50.88</v>
      </c>
      <c r="K242" s="1">
        <v>342.72</v>
      </c>
      <c r="L242" s="1" t="s">
        <v>26</v>
      </c>
      <c r="M242" s="1" t="s">
        <v>27</v>
      </c>
      <c r="N242" s="1" t="s">
        <v>28</v>
      </c>
    </row>
    <row r="243" spans="1:14" x14ac:dyDescent="0.25">
      <c r="A243" s="1" t="s">
        <v>387</v>
      </c>
      <c r="B243" s="1" t="s">
        <v>931</v>
      </c>
      <c r="C243" s="1" t="s">
        <v>113</v>
      </c>
      <c r="D243" s="1" t="s">
        <v>47</v>
      </c>
      <c r="E243" s="1" t="s">
        <v>60</v>
      </c>
      <c r="F243" s="1" t="s">
        <v>52</v>
      </c>
      <c r="G243" s="1">
        <v>17</v>
      </c>
      <c r="H243" s="1">
        <v>19.64</v>
      </c>
      <c r="I243" s="1">
        <v>333.88</v>
      </c>
      <c r="J243" s="1">
        <v>22.23</v>
      </c>
      <c r="K243" s="1">
        <v>48.15</v>
      </c>
      <c r="L243" s="1" t="s">
        <v>38</v>
      </c>
      <c r="M243" s="1" t="s">
        <v>32</v>
      </c>
      <c r="N243" s="1" t="s">
        <v>21</v>
      </c>
    </row>
    <row r="244" spans="1:14" x14ac:dyDescent="0.25">
      <c r="A244" s="1" t="s">
        <v>388</v>
      </c>
      <c r="B244" s="1" t="s">
        <v>800</v>
      </c>
      <c r="C244" s="1" t="s">
        <v>389</v>
      </c>
      <c r="D244" s="1" t="s">
        <v>16</v>
      </c>
      <c r="E244" s="1" t="s">
        <v>36</v>
      </c>
      <c r="F244" s="1" t="s">
        <v>37</v>
      </c>
      <c r="G244" s="1">
        <v>37</v>
      </c>
      <c r="H244" s="1">
        <v>57.35</v>
      </c>
      <c r="I244" s="1">
        <v>2121.9499999999998</v>
      </c>
      <c r="J244" s="1">
        <v>147.38999999999999</v>
      </c>
      <c r="K244" s="1">
        <v>790.56</v>
      </c>
      <c r="L244" s="1" t="s">
        <v>19</v>
      </c>
      <c r="M244" s="1" t="s">
        <v>20</v>
      </c>
      <c r="N244" s="1" t="s">
        <v>21</v>
      </c>
    </row>
    <row r="245" spans="1:14" x14ac:dyDescent="0.25">
      <c r="A245" s="1" t="s">
        <v>390</v>
      </c>
      <c r="B245" s="1" t="s">
        <v>873</v>
      </c>
      <c r="C245" s="1" t="s">
        <v>15</v>
      </c>
      <c r="D245" s="1" t="s">
        <v>31</v>
      </c>
      <c r="E245" s="1" t="s">
        <v>17</v>
      </c>
      <c r="F245" s="1" t="s">
        <v>18</v>
      </c>
      <c r="G245" s="1">
        <v>45</v>
      </c>
      <c r="H245" s="1">
        <v>42.6</v>
      </c>
      <c r="I245" s="1">
        <v>1917</v>
      </c>
      <c r="J245" s="1">
        <v>104.27</v>
      </c>
      <c r="K245" s="1">
        <v>237.73</v>
      </c>
      <c r="L245" s="1" t="s">
        <v>26</v>
      </c>
      <c r="M245" s="1" t="s">
        <v>32</v>
      </c>
      <c r="N245" s="1" t="s">
        <v>28</v>
      </c>
    </row>
    <row r="246" spans="1:14" x14ac:dyDescent="0.25">
      <c r="A246" s="1" t="s">
        <v>391</v>
      </c>
      <c r="B246" s="1" t="s">
        <v>822</v>
      </c>
      <c r="C246" s="1" t="s">
        <v>102</v>
      </c>
      <c r="D246" s="1" t="s">
        <v>24</v>
      </c>
      <c r="E246" s="1" t="s">
        <v>48</v>
      </c>
      <c r="F246" s="1" t="s">
        <v>37</v>
      </c>
      <c r="G246" s="1">
        <v>25</v>
      </c>
      <c r="H246" s="1">
        <v>31.82</v>
      </c>
      <c r="I246" s="1">
        <v>795.5</v>
      </c>
      <c r="J246" s="1">
        <v>37.33</v>
      </c>
      <c r="K246" s="1">
        <v>258.17</v>
      </c>
      <c r="L246" s="1" t="s">
        <v>19</v>
      </c>
      <c r="M246" s="1" t="s">
        <v>27</v>
      </c>
      <c r="N246" s="1" t="s">
        <v>28</v>
      </c>
    </row>
    <row r="247" spans="1:14" x14ac:dyDescent="0.25">
      <c r="A247" s="1" t="s">
        <v>392</v>
      </c>
      <c r="B247" s="1" t="s">
        <v>930</v>
      </c>
      <c r="C247" s="1" t="s">
        <v>125</v>
      </c>
      <c r="D247" s="1" t="s">
        <v>177</v>
      </c>
      <c r="E247" s="1" t="s">
        <v>56</v>
      </c>
      <c r="F247" s="1" t="s">
        <v>57</v>
      </c>
      <c r="G247" s="1">
        <v>17</v>
      </c>
      <c r="H247" s="1">
        <v>36.270000000000003</v>
      </c>
      <c r="I247" s="1">
        <v>616.59</v>
      </c>
      <c r="J247" s="1">
        <v>22.76</v>
      </c>
      <c r="K247" s="1">
        <v>168.83</v>
      </c>
      <c r="L247" s="1" t="s">
        <v>38</v>
      </c>
      <c r="M247" s="1" t="s">
        <v>20</v>
      </c>
      <c r="N247" s="1" t="s">
        <v>58</v>
      </c>
    </row>
    <row r="248" spans="1:14" x14ac:dyDescent="0.25">
      <c r="A248" s="1" t="s">
        <v>393</v>
      </c>
      <c r="B248" s="1" t="s">
        <v>929</v>
      </c>
      <c r="C248" s="1" t="s">
        <v>211</v>
      </c>
      <c r="D248" s="1" t="s">
        <v>74</v>
      </c>
      <c r="E248" s="1" t="s">
        <v>25</v>
      </c>
      <c r="F248" s="1" t="s">
        <v>18</v>
      </c>
      <c r="G248" s="1">
        <v>4</v>
      </c>
      <c r="H248" s="1">
        <v>27.01</v>
      </c>
      <c r="I248" s="1">
        <v>108.04</v>
      </c>
      <c r="J248" s="1">
        <v>4.7300000000000004</v>
      </c>
      <c r="K248" s="1">
        <v>31.31</v>
      </c>
      <c r="L248" s="1" t="s">
        <v>38</v>
      </c>
      <c r="M248" s="1" t="s">
        <v>32</v>
      </c>
      <c r="N248" s="1" t="s">
        <v>58</v>
      </c>
    </row>
    <row r="249" spans="1:14" x14ac:dyDescent="0.25">
      <c r="A249" s="1" t="s">
        <v>394</v>
      </c>
      <c r="B249" s="1" t="s">
        <v>928</v>
      </c>
      <c r="C249" s="1" t="s">
        <v>231</v>
      </c>
      <c r="D249" s="1" t="s">
        <v>47</v>
      </c>
      <c r="E249" s="1" t="s">
        <v>17</v>
      </c>
      <c r="F249" s="1" t="s">
        <v>18</v>
      </c>
      <c r="G249" s="1">
        <v>22</v>
      </c>
      <c r="H249" s="1">
        <v>57.6</v>
      </c>
      <c r="I249" s="1">
        <v>1267.2</v>
      </c>
      <c r="J249" s="1">
        <v>35.32</v>
      </c>
      <c r="K249" s="1">
        <v>461.88</v>
      </c>
      <c r="L249" s="1" t="s">
        <v>38</v>
      </c>
      <c r="M249" s="1" t="s">
        <v>20</v>
      </c>
      <c r="N249" s="1" t="s">
        <v>21</v>
      </c>
    </row>
    <row r="250" spans="1:14" x14ac:dyDescent="0.25">
      <c r="A250" s="1" t="s">
        <v>395</v>
      </c>
      <c r="B250" s="1" t="s">
        <v>841</v>
      </c>
      <c r="C250" s="1" t="s">
        <v>261</v>
      </c>
      <c r="D250" s="1" t="s">
        <v>151</v>
      </c>
      <c r="E250" s="1" t="s">
        <v>56</v>
      </c>
      <c r="F250" s="1" t="s">
        <v>57</v>
      </c>
      <c r="G250" s="1">
        <v>24</v>
      </c>
      <c r="H250" s="1">
        <v>43.34</v>
      </c>
      <c r="I250" s="1">
        <v>1040.1600000000001</v>
      </c>
      <c r="J250" s="1">
        <v>41.18</v>
      </c>
      <c r="K250" s="1">
        <v>398.98</v>
      </c>
      <c r="L250" s="1" t="s">
        <v>19</v>
      </c>
      <c r="M250" s="1" t="s">
        <v>32</v>
      </c>
      <c r="N250" s="1" t="s">
        <v>28</v>
      </c>
    </row>
    <row r="251" spans="1:14" x14ac:dyDescent="0.25">
      <c r="A251" s="1" t="s">
        <v>396</v>
      </c>
      <c r="B251" s="1" t="s">
        <v>927</v>
      </c>
      <c r="C251" s="1" t="s">
        <v>166</v>
      </c>
      <c r="D251" s="1" t="s">
        <v>47</v>
      </c>
      <c r="E251" s="1" t="s">
        <v>43</v>
      </c>
      <c r="F251" s="1" t="s">
        <v>44</v>
      </c>
      <c r="G251" s="1">
        <v>37</v>
      </c>
      <c r="H251" s="1">
        <v>71.8</v>
      </c>
      <c r="I251" s="1">
        <v>2656.6</v>
      </c>
      <c r="J251" s="1">
        <v>60.3</v>
      </c>
      <c r="K251" s="1">
        <v>1116.3</v>
      </c>
      <c r="L251" s="1" t="s">
        <v>26</v>
      </c>
      <c r="M251" s="1" t="s">
        <v>20</v>
      </c>
      <c r="N251" s="1" t="s">
        <v>21</v>
      </c>
    </row>
    <row r="252" spans="1:14" x14ac:dyDescent="0.25">
      <c r="A252" s="1" t="s">
        <v>397</v>
      </c>
      <c r="B252" s="1" t="s">
        <v>926</v>
      </c>
      <c r="C252" s="1" t="s">
        <v>389</v>
      </c>
      <c r="D252" s="1" t="s">
        <v>74</v>
      </c>
      <c r="E252" s="1" t="s">
        <v>48</v>
      </c>
      <c r="F252" s="1" t="s">
        <v>37</v>
      </c>
      <c r="G252" s="1">
        <v>24</v>
      </c>
      <c r="H252" s="1">
        <v>29.11</v>
      </c>
      <c r="I252" s="1">
        <v>698.64</v>
      </c>
      <c r="J252" s="1">
        <v>53.99</v>
      </c>
      <c r="K252" s="1">
        <v>164.65</v>
      </c>
      <c r="L252" s="1" t="s">
        <v>38</v>
      </c>
      <c r="M252" s="1" t="s">
        <v>32</v>
      </c>
      <c r="N252" s="1" t="s">
        <v>58</v>
      </c>
    </row>
    <row r="253" spans="1:14" x14ac:dyDescent="0.25">
      <c r="A253" s="1" t="s">
        <v>398</v>
      </c>
      <c r="B253" s="1" t="s">
        <v>821</v>
      </c>
      <c r="C253" s="1" t="s">
        <v>399</v>
      </c>
      <c r="D253" s="1" t="s">
        <v>77</v>
      </c>
      <c r="E253" s="1" t="s">
        <v>51</v>
      </c>
      <c r="F253" s="1" t="s">
        <v>52</v>
      </c>
      <c r="G253" s="1">
        <v>6</v>
      </c>
      <c r="H253" s="1">
        <v>27.91</v>
      </c>
      <c r="I253" s="1">
        <v>167.46</v>
      </c>
      <c r="J253" s="1">
        <v>10.01</v>
      </c>
      <c r="K253" s="1">
        <v>22.45</v>
      </c>
      <c r="L253" s="1" t="s">
        <v>19</v>
      </c>
      <c r="M253" s="1" t="s">
        <v>20</v>
      </c>
      <c r="N253" s="1" t="s">
        <v>58</v>
      </c>
    </row>
    <row r="254" spans="1:14" x14ac:dyDescent="0.25">
      <c r="A254" s="1" t="s">
        <v>400</v>
      </c>
      <c r="B254" s="1" t="s">
        <v>925</v>
      </c>
      <c r="C254" s="1" t="s">
        <v>34</v>
      </c>
      <c r="D254" s="1" t="s">
        <v>55</v>
      </c>
      <c r="E254" s="1" t="s">
        <v>51</v>
      </c>
      <c r="F254" s="1" t="s">
        <v>52</v>
      </c>
      <c r="G254" s="1">
        <v>28</v>
      </c>
      <c r="H254" s="1">
        <v>27.29</v>
      </c>
      <c r="I254" s="1">
        <v>764.12</v>
      </c>
      <c r="J254" s="1">
        <v>25.78</v>
      </c>
      <c r="K254" s="1">
        <v>108.34</v>
      </c>
      <c r="L254" s="1" t="s">
        <v>38</v>
      </c>
      <c r="M254" s="1" t="s">
        <v>20</v>
      </c>
      <c r="N254" s="1" t="s">
        <v>58</v>
      </c>
    </row>
    <row r="255" spans="1:14" x14ac:dyDescent="0.25">
      <c r="A255" s="1" t="s">
        <v>401</v>
      </c>
      <c r="B255" s="1" t="s">
        <v>810</v>
      </c>
      <c r="C255" s="1" t="s">
        <v>319</v>
      </c>
      <c r="D255" s="1" t="s">
        <v>47</v>
      </c>
      <c r="E255" s="1" t="s">
        <v>51</v>
      </c>
      <c r="F255" s="1" t="s">
        <v>52</v>
      </c>
      <c r="G255" s="1">
        <v>47</v>
      </c>
      <c r="H255" s="1">
        <v>35.880000000000003</v>
      </c>
      <c r="I255" s="1">
        <v>1686.36</v>
      </c>
      <c r="J255" s="1">
        <v>70.3</v>
      </c>
      <c r="K255" s="1">
        <v>558.55999999999995</v>
      </c>
      <c r="L255" s="1" t="s">
        <v>19</v>
      </c>
      <c r="M255" s="1" t="s">
        <v>27</v>
      </c>
      <c r="N255" s="1" t="s">
        <v>21</v>
      </c>
    </row>
    <row r="256" spans="1:14" x14ac:dyDescent="0.25">
      <c r="A256" s="1" t="s">
        <v>402</v>
      </c>
      <c r="B256" s="1" t="s">
        <v>822</v>
      </c>
      <c r="C256" s="1" t="s">
        <v>199</v>
      </c>
      <c r="D256" s="1" t="s">
        <v>106</v>
      </c>
      <c r="E256" s="1" t="s">
        <v>60</v>
      </c>
      <c r="F256" s="1" t="s">
        <v>52</v>
      </c>
      <c r="G256" s="1">
        <v>19</v>
      </c>
      <c r="H256" s="1">
        <v>27.47</v>
      </c>
      <c r="I256" s="1">
        <v>521.92999999999995</v>
      </c>
      <c r="J256" s="1">
        <v>31.29</v>
      </c>
      <c r="K256" s="1">
        <v>196.14</v>
      </c>
      <c r="L256" s="1" t="s">
        <v>26</v>
      </c>
      <c r="M256" s="1" t="s">
        <v>32</v>
      </c>
      <c r="N256" s="1" t="s">
        <v>28</v>
      </c>
    </row>
    <row r="257" spans="1:14" x14ac:dyDescent="0.25">
      <c r="A257" s="1" t="s">
        <v>403</v>
      </c>
      <c r="B257" s="1" t="s">
        <v>895</v>
      </c>
      <c r="C257" s="1" t="s">
        <v>135</v>
      </c>
      <c r="D257" s="1" t="s">
        <v>129</v>
      </c>
      <c r="E257" s="1" t="s">
        <v>48</v>
      </c>
      <c r="F257" s="1" t="s">
        <v>37</v>
      </c>
      <c r="G257" s="1">
        <v>13</v>
      </c>
      <c r="H257" s="1">
        <v>29.26</v>
      </c>
      <c r="I257" s="1">
        <v>380.38</v>
      </c>
      <c r="J257" s="1">
        <v>9.4700000000000006</v>
      </c>
      <c r="K257" s="1">
        <v>110.91</v>
      </c>
      <c r="L257" s="1" t="s">
        <v>26</v>
      </c>
      <c r="M257" s="1" t="s">
        <v>32</v>
      </c>
      <c r="N257" s="1" t="s">
        <v>130</v>
      </c>
    </row>
    <row r="258" spans="1:14" x14ac:dyDescent="0.25">
      <c r="A258" s="1" t="s">
        <v>404</v>
      </c>
      <c r="B258" s="1" t="s">
        <v>924</v>
      </c>
      <c r="C258" s="1" t="s">
        <v>306</v>
      </c>
      <c r="D258" s="1" t="s">
        <v>151</v>
      </c>
      <c r="E258" s="1" t="s">
        <v>25</v>
      </c>
      <c r="F258" s="1" t="s">
        <v>18</v>
      </c>
      <c r="G258" s="1">
        <v>4</v>
      </c>
      <c r="H258" s="1">
        <v>26.17</v>
      </c>
      <c r="I258" s="1">
        <v>104.68</v>
      </c>
      <c r="J258" s="1">
        <v>6.33</v>
      </c>
      <c r="K258" s="1">
        <v>26.35</v>
      </c>
      <c r="L258" s="1" t="s">
        <v>19</v>
      </c>
      <c r="M258" s="1" t="s">
        <v>27</v>
      </c>
      <c r="N258" s="1" t="s">
        <v>28</v>
      </c>
    </row>
    <row r="259" spans="1:14" x14ac:dyDescent="0.25">
      <c r="A259" s="1" t="s">
        <v>405</v>
      </c>
      <c r="B259" s="1" t="s">
        <v>923</v>
      </c>
      <c r="C259" s="1" t="s">
        <v>166</v>
      </c>
      <c r="D259" s="1" t="s">
        <v>151</v>
      </c>
      <c r="E259" s="1" t="s">
        <v>51</v>
      </c>
      <c r="F259" s="1" t="s">
        <v>52</v>
      </c>
      <c r="G259" s="1">
        <v>43</v>
      </c>
      <c r="H259" s="1">
        <v>37.32</v>
      </c>
      <c r="I259" s="1">
        <v>1604.76</v>
      </c>
      <c r="J259" s="1">
        <v>61.01</v>
      </c>
      <c r="K259" s="1">
        <v>576.25</v>
      </c>
      <c r="L259" s="1" t="s">
        <v>19</v>
      </c>
      <c r="M259" s="1" t="s">
        <v>27</v>
      </c>
      <c r="N259" s="1" t="s">
        <v>28</v>
      </c>
    </row>
    <row r="260" spans="1:14" x14ac:dyDescent="0.25">
      <c r="A260" s="1" t="s">
        <v>406</v>
      </c>
      <c r="B260" s="1" t="s">
        <v>922</v>
      </c>
      <c r="C260" s="1" t="s">
        <v>293</v>
      </c>
      <c r="D260" s="1" t="s">
        <v>86</v>
      </c>
      <c r="E260" s="1" t="s">
        <v>25</v>
      </c>
      <c r="F260" s="1" t="s">
        <v>18</v>
      </c>
      <c r="G260" s="1">
        <v>27</v>
      </c>
      <c r="H260" s="1">
        <v>23.05</v>
      </c>
      <c r="I260" s="1">
        <v>622.35</v>
      </c>
      <c r="J260" s="1">
        <v>20.440000000000001</v>
      </c>
      <c r="K260" s="1">
        <v>115.91</v>
      </c>
      <c r="L260" s="1" t="s">
        <v>38</v>
      </c>
      <c r="M260" s="1" t="s">
        <v>27</v>
      </c>
      <c r="N260" s="1" t="s">
        <v>87</v>
      </c>
    </row>
    <row r="261" spans="1:14" x14ac:dyDescent="0.25">
      <c r="A261" s="1" t="s">
        <v>407</v>
      </c>
      <c r="B261" s="1" t="s">
        <v>817</v>
      </c>
      <c r="C261" s="1" t="s">
        <v>408</v>
      </c>
      <c r="D261" s="1" t="s">
        <v>77</v>
      </c>
      <c r="E261" s="1" t="s">
        <v>63</v>
      </c>
      <c r="F261" s="1" t="s">
        <v>37</v>
      </c>
      <c r="G261" s="1">
        <v>38</v>
      </c>
      <c r="H261" s="1">
        <v>19.02</v>
      </c>
      <c r="I261" s="1">
        <v>722.76</v>
      </c>
      <c r="J261" s="1">
        <v>14.63</v>
      </c>
      <c r="K261" s="1">
        <v>223.63</v>
      </c>
      <c r="L261" s="1" t="s">
        <v>26</v>
      </c>
      <c r="M261" s="1" t="s">
        <v>27</v>
      </c>
      <c r="N261" s="1" t="s">
        <v>58</v>
      </c>
    </row>
    <row r="262" spans="1:14" x14ac:dyDescent="0.25">
      <c r="A262" s="1" t="s">
        <v>409</v>
      </c>
      <c r="B262" s="1" t="s">
        <v>921</v>
      </c>
      <c r="C262" s="1" t="s">
        <v>410</v>
      </c>
      <c r="D262" s="1" t="s">
        <v>42</v>
      </c>
      <c r="E262" s="1" t="s">
        <v>43</v>
      </c>
      <c r="F262" s="1" t="s">
        <v>44</v>
      </c>
      <c r="G262" s="1">
        <v>10</v>
      </c>
      <c r="H262" s="1">
        <v>70.94</v>
      </c>
      <c r="I262" s="1">
        <v>709.4</v>
      </c>
      <c r="J262" s="1">
        <v>18.64</v>
      </c>
      <c r="K262" s="1">
        <v>290.76</v>
      </c>
      <c r="L262" s="1" t="s">
        <v>26</v>
      </c>
      <c r="M262" s="1" t="s">
        <v>32</v>
      </c>
      <c r="N262" s="1" t="s">
        <v>21</v>
      </c>
    </row>
    <row r="263" spans="1:14" x14ac:dyDescent="0.25">
      <c r="A263" s="1" t="s">
        <v>411</v>
      </c>
      <c r="B263" s="1" t="s">
        <v>920</v>
      </c>
      <c r="C263" s="1" t="s">
        <v>278</v>
      </c>
      <c r="D263" s="1" t="s">
        <v>69</v>
      </c>
      <c r="E263" s="1" t="s">
        <v>56</v>
      </c>
      <c r="F263" s="1" t="s">
        <v>57</v>
      </c>
      <c r="G263" s="1">
        <v>17</v>
      </c>
      <c r="H263" s="1">
        <v>38.28</v>
      </c>
      <c r="I263" s="1">
        <v>650.76</v>
      </c>
      <c r="J263" s="1">
        <v>38.43</v>
      </c>
      <c r="K263" s="1">
        <v>187.33</v>
      </c>
      <c r="L263" s="1" t="s">
        <v>26</v>
      </c>
      <c r="M263" s="1" t="s">
        <v>32</v>
      </c>
      <c r="N263" s="1" t="s">
        <v>58</v>
      </c>
    </row>
    <row r="264" spans="1:14" x14ac:dyDescent="0.25">
      <c r="A264" s="1" t="s">
        <v>412</v>
      </c>
      <c r="B264" s="1" t="s">
        <v>919</v>
      </c>
      <c r="C264" s="1" t="s">
        <v>364</v>
      </c>
      <c r="D264" s="1" t="s">
        <v>16</v>
      </c>
      <c r="E264" s="1" t="s">
        <v>36</v>
      </c>
      <c r="F264" s="1" t="s">
        <v>37</v>
      </c>
      <c r="G264" s="1">
        <v>10</v>
      </c>
      <c r="H264" s="1">
        <v>38.799999999999997</v>
      </c>
      <c r="I264" s="1">
        <v>388</v>
      </c>
      <c r="J264" s="1">
        <v>16.39</v>
      </c>
      <c r="K264" s="1">
        <v>51.61</v>
      </c>
      <c r="L264" s="1" t="s">
        <v>38</v>
      </c>
      <c r="M264" s="1" t="s">
        <v>27</v>
      </c>
      <c r="N264" s="1" t="s">
        <v>21</v>
      </c>
    </row>
    <row r="265" spans="1:14" x14ac:dyDescent="0.25">
      <c r="A265" s="1" t="s">
        <v>413</v>
      </c>
      <c r="B265" s="1" t="s">
        <v>918</v>
      </c>
      <c r="C265" s="1" t="s">
        <v>166</v>
      </c>
      <c r="D265" s="1" t="s">
        <v>55</v>
      </c>
      <c r="E265" s="1" t="s">
        <v>56</v>
      </c>
      <c r="F265" s="1" t="s">
        <v>57</v>
      </c>
      <c r="G265" s="1">
        <v>3</v>
      </c>
      <c r="H265" s="1">
        <v>33.840000000000003</v>
      </c>
      <c r="I265" s="1">
        <v>101.52</v>
      </c>
      <c r="J265" s="1">
        <v>2.3199999999999998</v>
      </c>
      <c r="K265" s="1">
        <v>24.2</v>
      </c>
      <c r="L265" s="1" t="s">
        <v>38</v>
      </c>
      <c r="M265" s="1" t="s">
        <v>32</v>
      </c>
      <c r="N265" s="1" t="s">
        <v>58</v>
      </c>
    </row>
    <row r="266" spans="1:14" x14ac:dyDescent="0.25">
      <c r="A266" s="1" t="s">
        <v>414</v>
      </c>
      <c r="B266" s="1" t="s">
        <v>917</v>
      </c>
      <c r="C266" s="1" t="s">
        <v>199</v>
      </c>
      <c r="D266" s="1" t="s">
        <v>151</v>
      </c>
      <c r="E266" s="1" t="s">
        <v>60</v>
      </c>
      <c r="F266" s="1" t="s">
        <v>52</v>
      </c>
      <c r="G266" s="1">
        <v>20</v>
      </c>
      <c r="H266" s="1">
        <v>21.12</v>
      </c>
      <c r="I266" s="1">
        <v>422.4</v>
      </c>
      <c r="J266" s="1">
        <v>22.08</v>
      </c>
      <c r="K266" s="1">
        <v>90.32</v>
      </c>
      <c r="L266" s="1" t="s">
        <v>26</v>
      </c>
      <c r="M266" s="1" t="s">
        <v>32</v>
      </c>
      <c r="N266" s="1" t="s">
        <v>28</v>
      </c>
    </row>
    <row r="267" spans="1:14" x14ac:dyDescent="0.25">
      <c r="A267" s="1" t="s">
        <v>415</v>
      </c>
      <c r="B267" s="1" t="s">
        <v>916</v>
      </c>
      <c r="C267" s="1" t="s">
        <v>276</v>
      </c>
      <c r="D267" s="1" t="s">
        <v>86</v>
      </c>
      <c r="E267" s="1" t="s">
        <v>17</v>
      </c>
      <c r="F267" s="1" t="s">
        <v>18</v>
      </c>
      <c r="G267" s="1">
        <v>1</v>
      </c>
      <c r="H267" s="1">
        <v>58.15</v>
      </c>
      <c r="I267" s="1">
        <v>58.15</v>
      </c>
      <c r="J267" s="1">
        <v>4.2</v>
      </c>
      <c r="K267" s="1">
        <v>18.95</v>
      </c>
      <c r="L267" s="1" t="s">
        <v>26</v>
      </c>
      <c r="M267" s="1" t="s">
        <v>27</v>
      </c>
      <c r="N267" s="1" t="s">
        <v>87</v>
      </c>
    </row>
    <row r="268" spans="1:14" x14ac:dyDescent="0.25">
      <c r="A268" s="1" t="s">
        <v>416</v>
      </c>
      <c r="B268" s="1" t="s">
        <v>881</v>
      </c>
      <c r="C268" s="1" t="s">
        <v>97</v>
      </c>
      <c r="D268" s="1" t="s">
        <v>35</v>
      </c>
      <c r="E268" s="1" t="s">
        <v>36</v>
      </c>
      <c r="F268" s="1" t="s">
        <v>37</v>
      </c>
      <c r="G268" s="1">
        <v>32</v>
      </c>
      <c r="H268" s="1">
        <v>45.96</v>
      </c>
      <c r="I268" s="1">
        <v>1470.72</v>
      </c>
      <c r="J268" s="1">
        <v>82.77</v>
      </c>
      <c r="K268" s="1">
        <v>363.95</v>
      </c>
      <c r="L268" s="1" t="s">
        <v>19</v>
      </c>
      <c r="M268" s="1" t="s">
        <v>27</v>
      </c>
      <c r="N268" s="1" t="s">
        <v>39</v>
      </c>
    </row>
    <row r="269" spans="1:14" x14ac:dyDescent="0.25">
      <c r="A269" s="1" t="s">
        <v>417</v>
      </c>
      <c r="B269" s="1" t="s">
        <v>915</v>
      </c>
      <c r="C269" s="1" t="s">
        <v>297</v>
      </c>
      <c r="D269" s="1" t="s">
        <v>31</v>
      </c>
      <c r="E269" s="1" t="s">
        <v>63</v>
      </c>
      <c r="F269" s="1" t="s">
        <v>37</v>
      </c>
      <c r="G269" s="1">
        <v>37</v>
      </c>
      <c r="H269" s="1">
        <v>16.82</v>
      </c>
      <c r="I269" s="1">
        <v>622.34</v>
      </c>
      <c r="J269" s="1">
        <v>32.9</v>
      </c>
      <c r="K269" s="1">
        <v>117.69</v>
      </c>
      <c r="L269" s="1" t="s">
        <v>38</v>
      </c>
      <c r="M269" s="1" t="s">
        <v>27</v>
      </c>
      <c r="N269" s="1" t="s">
        <v>28</v>
      </c>
    </row>
    <row r="270" spans="1:14" x14ac:dyDescent="0.25">
      <c r="A270" s="1" t="s">
        <v>418</v>
      </c>
      <c r="B270" s="1" t="s">
        <v>914</v>
      </c>
      <c r="C270" s="1" t="s">
        <v>50</v>
      </c>
      <c r="D270" s="1" t="s">
        <v>31</v>
      </c>
      <c r="E270" s="1" t="s">
        <v>36</v>
      </c>
      <c r="F270" s="1" t="s">
        <v>37</v>
      </c>
      <c r="G270" s="1">
        <v>18</v>
      </c>
      <c r="H270" s="1">
        <v>54.62</v>
      </c>
      <c r="I270" s="1">
        <v>983.16</v>
      </c>
      <c r="J270" s="1">
        <v>22.61</v>
      </c>
      <c r="K270" s="1">
        <v>384.55</v>
      </c>
      <c r="L270" s="1" t="s">
        <v>38</v>
      </c>
      <c r="M270" s="1" t="s">
        <v>27</v>
      </c>
      <c r="N270" s="1" t="s">
        <v>28</v>
      </c>
    </row>
    <row r="271" spans="1:14" x14ac:dyDescent="0.25">
      <c r="A271" s="1" t="s">
        <v>419</v>
      </c>
      <c r="B271" s="1" t="s">
        <v>913</v>
      </c>
      <c r="C271" s="1" t="s">
        <v>105</v>
      </c>
      <c r="D271" s="1" t="s">
        <v>31</v>
      </c>
      <c r="E271" s="1" t="s">
        <v>63</v>
      </c>
      <c r="F271" s="1" t="s">
        <v>37</v>
      </c>
      <c r="G271" s="1">
        <v>30</v>
      </c>
      <c r="H271" s="1">
        <v>22.83</v>
      </c>
      <c r="I271" s="1">
        <v>684.9</v>
      </c>
      <c r="J271" s="1">
        <v>32.31</v>
      </c>
      <c r="K271" s="1">
        <v>270.08999999999997</v>
      </c>
      <c r="L271" s="1" t="s">
        <v>19</v>
      </c>
      <c r="M271" s="1" t="s">
        <v>27</v>
      </c>
      <c r="N271" s="1" t="s">
        <v>28</v>
      </c>
    </row>
    <row r="272" spans="1:14" x14ac:dyDescent="0.25">
      <c r="A272" s="1" t="s">
        <v>420</v>
      </c>
      <c r="B272" s="1" t="s">
        <v>912</v>
      </c>
      <c r="C272" s="1" t="s">
        <v>421</v>
      </c>
      <c r="D272" s="1" t="s">
        <v>106</v>
      </c>
      <c r="E272" s="1" t="s">
        <v>36</v>
      </c>
      <c r="F272" s="1" t="s">
        <v>37</v>
      </c>
      <c r="G272" s="1">
        <v>39</v>
      </c>
      <c r="H272" s="1">
        <v>47.02</v>
      </c>
      <c r="I272" s="1">
        <v>1833.78</v>
      </c>
      <c r="J272" s="1">
        <v>50.01</v>
      </c>
      <c r="K272" s="1">
        <v>535.77</v>
      </c>
      <c r="L272" s="1" t="s">
        <v>38</v>
      </c>
      <c r="M272" s="1" t="s">
        <v>27</v>
      </c>
      <c r="N272" s="1" t="s">
        <v>28</v>
      </c>
    </row>
    <row r="273" spans="1:14" x14ac:dyDescent="0.25">
      <c r="A273" s="1" t="s">
        <v>422</v>
      </c>
      <c r="B273" s="1" t="s">
        <v>911</v>
      </c>
      <c r="C273" s="1" t="s">
        <v>89</v>
      </c>
      <c r="D273" s="1" t="s">
        <v>16</v>
      </c>
      <c r="E273" s="1" t="s">
        <v>83</v>
      </c>
      <c r="F273" s="1" t="s">
        <v>52</v>
      </c>
      <c r="G273" s="1">
        <v>22</v>
      </c>
      <c r="H273" s="1">
        <v>43.32</v>
      </c>
      <c r="I273" s="1">
        <v>953.04</v>
      </c>
      <c r="J273" s="1">
        <v>71.3</v>
      </c>
      <c r="K273" s="1">
        <v>265.74</v>
      </c>
      <c r="L273" s="1" t="s">
        <v>26</v>
      </c>
      <c r="M273" s="1" t="s">
        <v>32</v>
      </c>
      <c r="N273" s="1" t="s">
        <v>21</v>
      </c>
    </row>
    <row r="274" spans="1:14" x14ac:dyDescent="0.25">
      <c r="A274" s="1" t="s">
        <v>423</v>
      </c>
      <c r="B274" s="1" t="s">
        <v>910</v>
      </c>
      <c r="C274" s="1" t="s">
        <v>300</v>
      </c>
      <c r="D274" s="1" t="s">
        <v>77</v>
      </c>
      <c r="E274" s="1" t="s">
        <v>51</v>
      </c>
      <c r="F274" s="1" t="s">
        <v>52</v>
      </c>
      <c r="G274" s="1">
        <v>6</v>
      </c>
      <c r="H274" s="1">
        <v>31.69</v>
      </c>
      <c r="I274" s="1">
        <v>190.14</v>
      </c>
      <c r="J274" s="1">
        <v>12.52</v>
      </c>
      <c r="K274" s="1">
        <v>42.62</v>
      </c>
      <c r="L274" s="1" t="s">
        <v>38</v>
      </c>
      <c r="M274" s="1" t="s">
        <v>27</v>
      </c>
      <c r="N274" s="1" t="s">
        <v>58</v>
      </c>
    </row>
    <row r="275" spans="1:14" x14ac:dyDescent="0.25">
      <c r="A275" s="1" t="s">
        <v>424</v>
      </c>
      <c r="B275" s="1" t="s">
        <v>755</v>
      </c>
      <c r="C275" s="1" t="s">
        <v>199</v>
      </c>
      <c r="D275" s="1" t="s">
        <v>151</v>
      </c>
      <c r="E275" s="1" t="s">
        <v>17</v>
      </c>
      <c r="F275" s="1" t="s">
        <v>18</v>
      </c>
      <c r="G275" s="1">
        <v>19</v>
      </c>
      <c r="H275" s="1">
        <v>53.28</v>
      </c>
      <c r="I275" s="1">
        <v>1012.32</v>
      </c>
      <c r="J275" s="1">
        <v>27.24</v>
      </c>
      <c r="K275" s="1">
        <v>320.08</v>
      </c>
      <c r="L275" s="1" t="s">
        <v>38</v>
      </c>
      <c r="M275" s="1" t="s">
        <v>27</v>
      </c>
      <c r="N275" s="1" t="s">
        <v>28</v>
      </c>
    </row>
    <row r="276" spans="1:14" x14ac:dyDescent="0.25">
      <c r="A276" s="1" t="s">
        <v>425</v>
      </c>
      <c r="B276" s="1" t="s">
        <v>909</v>
      </c>
      <c r="C276" s="1" t="s">
        <v>154</v>
      </c>
      <c r="D276" s="1" t="s">
        <v>16</v>
      </c>
      <c r="E276" s="1" t="s">
        <v>17</v>
      </c>
      <c r="F276" s="1" t="s">
        <v>18</v>
      </c>
      <c r="G276" s="1">
        <v>47</v>
      </c>
      <c r="H276" s="1">
        <v>47.53</v>
      </c>
      <c r="I276" s="1">
        <v>2233.91</v>
      </c>
      <c r="J276" s="1">
        <v>128.91</v>
      </c>
      <c r="K276" s="1">
        <v>460</v>
      </c>
      <c r="L276" s="1" t="s">
        <v>26</v>
      </c>
      <c r="M276" s="1" t="s">
        <v>20</v>
      </c>
      <c r="N276" s="1" t="s">
        <v>21</v>
      </c>
    </row>
    <row r="277" spans="1:14" x14ac:dyDescent="0.25">
      <c r="A277" s="1" t="s">
        <v>426</v>
      </c>
      <c r="B277" s="1" t="s">
        <v>753</v>
      </c>
      <c r="C277" s="1" t="s">
        <v>286</v>
      </c>
      <c r="D277" s="1" t="s">
        <v>69</v>
      </c>
      <c r="E277" s="1" t="s">
        <v>48</v>
      </c>
      <c r="F277" s="1" t="s">
        <v>37</v>
      </c>
      <c r="G277" s="1">
        <v>12</v>
      </c>
      <c r="H277" s="1">
        <v>24.02</v>
      </c>
      <c r="I277" s="1">
        <v>288.24</v>
      </c>
      <c r="J277" s="1">
        <v>9.8000000000000007</v>
      </c>
      <c r="K277" s="1">
        <v>38.44</v>
      </c>
      <c r="L277" s="1" t="s">
        <v>19</v>
      </c>
      <c r="M277" s="1" t="s">
        <v>32</v>
      </c>
      <c r="N277" s="1" t="s">
        <v>58</v>
      </c>
    </row>
    <row r="278" spans="1:14" x14ac:dyDescent="0.25">
      <c r="A278" s="1" t="s">
        <v>427</v>
      </c>
      <c r="B278" s="1" t="s">
        <v>747</v>
      </c>
      <c r="C278" s="1" t="s">
        <v>364</v>
      </c>
      <c r="D278" s="1" t="s">
        <v>69</v>
      </c>
      <c r="E278" s="1" t="s">
        <v>63</v>
      </c>
      <c r="F278" s="1" t="s">
        <v>37</v>
      </c>
      <c r="G278" s="1">
        <v>32</v>
      </c>
      <c r="H278" s="1">
        <v>15.64</v>
      </c>
      <c r="I278" s="1">
        <v>500.48</v>
      </c>
      <c r="J278" s="1">
        <v>24.69</v>
      </c>
      <c r="K278" s="1">
        <v>67.790000000000006</v>
      </c>
      <c r="L278" s="1" t="s">
        <v>38</v>
      </c>
      <c r="M278" s="1" t="s">
        <v>20</v>
      </c>
      <c r="N278" s="1" t="s">
        <v>58</v>
      </c>
    </row>
    <row r="279" spans="1:14" x14ac:dyDescent="0.25">
      <c r="A279" s="1" t="s">
        <v>428</v>
      </c>
      <c r="B279" s="1" t="s">
        <v>882</v>
      </c>
      <c r="C279" s="1" t="s">
        <v>240</v>
      </c>
      <c r="D279" s="1" t="s">
        <v>129</v>
      </c>
      <c r="E279" s="1" t="s">
        <v>36</v>
      </c>
      <c r="F279" s="1" t="s">
        <v>37</v>
      </c>
      <c r="G279" s="1">
        <v>22</v>
      </c>
      <c r="H279" s="1">
        <v>42.54</v>
      </c>
      <c r="I279" s="1">
        <v>935.88</v>
      </c>
      <c r="J279" s="1">
        <v>45.37</v>
      </c>
      <c r="K279" s="1">
        <v>186.51</v>
      </c>
      <c r="L279" s="1" t="s">
        <v>19</v>
      </c>
      <c r="M279" s="1" t="s">
        <v>32</v>
      </c>
      <c r="N279" s="1" t="s">
        <v>130</v>
      </c>
    </row>
    <row r="280" spans="1:14" x14ac:dyDescent="0.25">
      <c r="A280" s="1" t="s">
        <v>429</v>
      </c>
      <c r="B280" s="1" t="s">
        <v>894</v>
      </c>
      <c r="C280" s="1" t="s">
        <v>315</v>
      </c>
      <c r="D280" s="1" t="s">
        <v>177</v>
      </c>
      <c r="E280" s="1" t="s">
        <v>56</v>
      </c>
      <c r="F280" s="1" t="s">
        <v>57</v>
      </c>
      <c r="G280" s="1">
        <v>37</v>
      </c>
      <c r="H280" s="1">
        <v>43.55</v>
      </c>
      <c r="I280" s="1">
        <v>1611.35</v>
      </c>
      <c r="J280" s="1">
        <v>67.78</v>
      </c>
      <c r="K280" s="1">
        <v>618.57000000000005</v>
      </c>
      <c r="L280" s="1" t="s">
        <v>26</v>
      </c>
      <c r="M280" s="1" t="s">
        <v>27</v>
      </c>
      <c r="N280" s="1" t="s">
        <v>58</v>
      </c>
    </row>
    <row r="281" spans="1:14" x14ac:dyDescent="0.25">
      <c r="A281" s="1" t="s">
        <v>430</v>
      </c>
      <c r="B281" s="1" t="s">
        <v>908</v>
      </c>
      <c r="C281" s="1" t="s">
        <v>113</v>
      </c>
      <c r="D281" s="1" t="s">
        <v>35</v>
      </c>
      <c r="E281" s="1" t="s">
        <v>60</v>
      </c>
      <c r="F281" s="1" t="s">
        <v>52</v>
      </c>
      <c r="G281" s="1">
        <v>42</v>
      </c>
      <c r="H281" s="1">
        <v>20.260000000000002</v>
      </c>
      <c r="I281" s="1">
        <v>850.92</v>
      </c>
      <c r="J281" s="1">
        <v>22.43</v>
      </c>
      <c r="K281" s="1">
        <v>177.49</v>
      </c>
      <c r="L281" s="1" t="s">
        <v>38</v>
      </c>
      <c r="M281" s="1" t="s">
        <v>32</v>
      </c>
      <c r="N281" s="1" t="s">
        <v>39</v>
      </c>
    </row>
    <row r="282" spans="1:14" x14ac:dyDescent="0.25">
      <c r="A282" s="1" t="s">
        <v>431</v>
      </c>
      <c r="B282" s="1" t="s">
        <v>907</v>
      </c>
      <c r="C282" s="1" t="s">
        <v>67</v>
      </c>
      <c r="D282" s="1" t="s">
        <v>42</v>
      </c>
      <c r="E282" s="1" t="s">
        <v>25</v>
      </c>
      <c r="F282" s="1" t="s">
        <v>18</v>
      </c>
      <c r="G282" s="1">
        <v>43</v>
      </c>
      <c r="H282" s="1">
        <v>24.08</v>
      </c>
      <c r="I282" s="1">
        <v>1035.44</v>
      </c>
      <c r="J282" s="1">
        <v>35.07</v>
      </c>
      <c r="K282" s="1">
        <v>226.37</v>
      </c>
      <c r="L282" s="1" t="s">
        <v>26</v>
      </c>
      <c r="M282" s="1" t="s">
        <v>32</v>
      </c>
      <c r="N282" s="1" t="s">
        <v>21</v>
      </c>
    </row>
    <row r="283" spans="1:14" x14ac:dyDescent="0.25">
      <c r="A283" s="1" t="s">
        <v>432</v>
      </c>
      <c r="B283" s="1" t="s">
        <v>906</v>
      </c>
      <c r="C283" s="1" t="s">
        <v>297</v>
      </c>
      <c r="D283" s="1" t="s">
        <v>151</v>
      </c>
      <c r="E283" s="1" t="s">
        <v>43</v>
      </c>
      <c r="F283" s="1" t="s">
        <v>44</v>
      </c>
      <c r="G283" s="1">
        <v>14</v>
      </c>
      <c r="H283" s="1">
        <v>69.010000000000005</v>
      </c>
      <c r="I283" s="1">
        <v>966.14</v>
      </c>
      <c r="J283" s="1">
        <v>32.67</v>
      </c>
      <c r="K283" s="1">
        <v>373.47</v>
      </c>
      <c r="L283" s="1" t="s">
        <v>26</v>
      </c>
      <c r="M283" s="1" t="s">
        <v>20</v>
      </c>
      <c r="N283" s="1" t="s">
        <v>28</v>
      </c>
    </row>
    <row r="284" spans="1:14" x14ac:dyDescent="0.25">
      <c r="A284" s="1" t="s">
        <v>433</v>
      </c>
      <c r="B284" s="1" t="s">
        <v>905</v>
      </c>
      <c r="C284" s="1" t="s">
        <v>117</v>
      </c>
      <c r="D284" s="1" t="s">
        <v>129</v>
      </c>
      <c r="E284" s="1" t="s">
        <v>48</v>
      </c>
      <c r="F284" s="1" t="s">
        <v>37</v>
      </c>
      <c r="G284" s="1">
        <v>29</v>
      </c>
      <c r="H284" s="1">
        <v>28.29</v>
      </c>
      <c r="I284" s="1">
        <v>820.41</v>
      </c>
      <c r="J284" s="1">
        <v>63.15</v>
      </c>
      <c r="K284" s="1">
        <v>177.26</v>
      </c>
      <c r="L284" s="1" t="s">
        <v>38</v>
      </c>
      <c r="M284" s="1" t="s">
        <v>32</v>
      </c>
      <c r="N284" s="1" t="s">
        <v>130</v>
      </c>
    </row>
    <row r="285" spans="1:14" x14ac:dyDescent="0.25">
      <c r="A285" s="1" t="s">
        <v>434</v>
      </c>
      <c r="B285" s="1" t="s">
        <v>756</v>
      </c>
      <c r="C285" s="1" t="s">
        <v>221</v>
      </c>
      <c r="D285" s="1" t="s">
        <v>47</v>
      </c>
      <c r="E285" s="1" t="s">
        <v>60</v>
      </c>
      <c r="F285" s="1" t="s">
        <v>52</v>
      </c>
      <c r="G285" s="1">
        <v>29</v>
      </c>
      <c r="H285" s="1">
        <v>26.51</v>
      </c>
      <c r="I285" s="1">
        <v>768.79</v>
      </c>
      <c r="J285" s="1">
        <v>15.66</v>
      </c>
      <c r="K285" s="1">
        <v>303.63</v>
      </c>
      <c r="L285" s="1" t="s">
        <v>26</v>
      </c>
      <c r="M285" s="1" t="s">
        <v>20</v>
      </c>
      <c r="N285" s="1" t="s">
        <v>21</v>
      </c>
    </row>
    <row r="286" spans="1:14" x14ac:dyDescent="0.25">
      <c r="A286" s="1" t="s">
        <v>435</v>
      </c>
      <c r="B286" s="1" t="s">
        <v>862</v>
      </c>
      <c r="C286" s="1" t="s">
        <v>121</v>
      </c>
      <c r="D286" s="1" t="s">
        <v>42</v>
      </c>
      <c r="E286" s="1" t="s">
        <v>17</v>
      </c>
      <c r="F286" s="1" t="s">
        <v>18</v>
      </c>
      <c r="G286" s="1">
        <v>11</v>
      </c>
      <c r="H286" s="1">
        <v>58.07</v>
      </c>
      <c r="I286" s="1">
        <v>638.77</v>
      </c>
      <c r="J286" s="1">
        <v>43.89</v>
      </c>
      <c r="K286" s="1">
        <v>209.88</v>
      </c>
      <c r="L286" s="1" t="s">
        <v>19</v>
      </c>
      <c r="M286" s="1" t="s">
        <v>27</v>
      </c>
      <c r="N286" s="1" t="s">
        <v>21</v>
      </c>
    </row>
    <row r="287" spans="1:14" x14ac:dyDescent="0.25">
      <c r="A287" s="1" t="s">
        <v>436</v>
      </c>
      <c r="B287" s="1" t="s">
        <v>857</v>
      </c>
      <c r="C287" s="1" t="s">
        <v>110</v>
      </c>
      <c r="D287" s="1" t="s">
        <v>24</v>
      </c>
      <c r="E287" s="1" t="s">
        <v>36</v>
      </c>
      <c r="F287" s="1" t="s">
        <v>37</v>
      </c>
      <c r="G287" s="1">
        <v>3</v>
      </c>
      <c r="H287" s="1">
        <v>48.76</v>
      </c>
      <c r="I287" s="1">
        <v>146.28</v>
      </c>
      <c r="J287" s="1">
        <v>10.45</v>
      </c>
      <c r="K287" s="1">
        <v>39.83</v>
      </c>
      <c r="L287" s="1" t="s">
        <v>38</v>
      </c>
      <c r="M287" s="1" t="s">
        <v>27</v>
      </c>
      <c r="N287" s="1" t="s">
        <v>28</v>
      </c>
    </row>
    <row r="288" spans="1:14" x14ac:dyDescent="0.25">
      <c r="A288" s="1" t="s">
        <v>437</v>
      </c>
      <c r="B288" s="1" t="s">
        <v>904</v>
      </c>
      <c r="C288" s="1" t="s">
        <v>161</v>
      </c>
      <c r="D288" s="1" t="s">
        <v>177</v>
      </c>
      <c r="E288" s="1" t="s">
        <v>48</v>
      </c>
      <c r="F288" s="1" t="s">
        <v>37</v>
      </c>
      <c r="G288" s="1">
        <v>49</v>
      </c>
      <c r="H288" s="1">
        <v>30.46</v>
      </c>
      <c r="I288" s="1">
        <v>1492.54</v>
      </c>
      <c r="J288" s="1">
        <v>51.82</v>
      </c>
      <c r="K288" s="1">
        <v>460.72</v>
      </c>
      <c r="L288" s="1" t="s">
        <v>26</v>
      </c>
      <c r="M288" s="1" t="s">
        <v>20</v>
      </c>
      <c r="N288" s="1" t="s">
        <v>58</v>
      </c>
    </row>
    <row r="289" spans="1:14" x14ac:dyDescent="0.25">
      <c r="A289" s="1" t="s">
        <v>438</v>
      </c>
      <c r="B289" s="1" t="s">
        <v>846</v>
      </c>
      <c r="C289" s="1" t="s">
        <v>30</v>
      </c>
      <c r="D289" s="1" t="s">
        <v>55</v>
      </c>
      <c r="E289" s="1" t="s">
        <v>83</v>
      </c>
      <c r="F289" s="1" t="s">
        <v>52</v>
      </c>
      <c r="G289" s="1">
        <v>25</v>
      </c>
      <c r="H289" s="1">
        <v>35.21</v>
      </c>
      <c r="I289" s="1">
        <v>880.25</v>
      </c>
      <c r="J289" s="1">
        <v>39.799999999999997</v>
      </c>
      <c r="K289" s="1">
        <v>140.44999999999999</v>
      </c>
      <c r="L289" s="1" t="s">
        <v>38</v>
      </c>
      <c r="M289" s="1" t="s">
        <v>27</v>
      </c>
      <c r="N289" s="1" t="s">
        <v>58</v>
      </c>
    </row>
    <row r="290" spans="1:14" x14ac:dyDescent="0.25">
      <c r="A290" s="1" t="s">
        <v>439</v>
      </c>
      <c r="B290" s="1" t="s">
        <v>903</v>
      </c>
      <c r="C290" s="1" t="s">
        <v>221</v>
      </c>
      <c r="D290" s="1" t="s">
        <v>16</v>
      </c>
      <c r="E290" s="1" t="s">
        <v>83</v>
      </c>
      <c r="F290" s="1" t="s">
        <v>52</v>
      </c>
      <c r="G290" s="1">
        <v>37</v>
      </c>
      <c r="H290" s="1">
        <v>44.82</v>
      </c>
      <c r="I290" s="1">
        <v>1658.34</v>
      </c>
      <c r="J290" s="1">
        <v>65.75</v>
      </c>
      <c r="K290" s="1">
        <v>556.59</v>
      </c>
      <c r="L290" s="1" t="s">
        <v>26</v>
      </c>
      <c r="M290" s="1" t="s">
        <v>27</v>
      </c>
      <c r="N290" s="1" t="s">
        <v>21</v>
      </c>
    </row>
    <row r="291" spans="1:14" x14ac:dyDescent="0.25">
      <c r="A291" s="1" t="s">
        <v>440</v>
      </c>
      <c r="B291" s="1" t="s">
        <v>777</v>
      </c>
      <c r="C291" s="1" t="s">
        <v>306</v>
      </c>
      <c r="D291" s="1" t="s">
        <v>151</v>
      </c>
      <c r="E291" s="1" t="s">
        <v>60</v>
      </c>
      <c r="F291" s="1" t="s">
        <v>52</v>
      </c>
      <c r="G291" s="1">
        <v>11</v>
      </c>
      <c r="H291" s="1">
        <v>18.75</v>
      </c>
      <c r="I291" s="1">
        <v>206.25</v>
      </c>
      <c r="J291" s="1">
        <v>11.67</v>
      </c>
      <c r="K291" s="1">
        <v>24.08</v>
      </c>
      <c r="L291" s="1" t="s">
        <v>19</v>
      </c>
      <c r="M291" s="1" t="s">
        <v>20</v>
      </c>
      <c r="N291" s="1" t="s">
        <v>28</v>
      </c>
    </row>
    <row r="292" spans="1:14" x14ac:dyDescent="0.25">
      <c r="A292" s="1" t="s">
        <v>441</v>
      </c>
      <c r="B292" s="1" t="s">
        <v>814</v>
      </c>
      <c r="C292" s="1" t="s">
        <v>221</v>
      </c>
      <c r="D292" s="1" t="s">
        <v>35</v>
      </c>
      <c r="E292" s="1" t="s">
        <v>48</v>
      </c>
      <c r="F292" s="1" t="s">
        <v>37</v>
      </c>
      <c r="G292" s="1">
        <v>37</v>
      </c>
      <c r="H292" s="1">
        <v>31.66</v>
      </c>
      <c r="I292" s="1">
        <v>1171.42</v>
      </c>
      <c r="J292" s="1">
        <v>58.95</v>
      </c>
      <c r="K292" s="1">
        <v>372.47</v>
      </c>
      <c r="L292" s="1" t="s">
        <v>38</v>
      </c>
      <c r="M292" s="1" t="s">
        <v>20</v>
      </c>
      <c r="N292" s="1" t="s">
        <v>39</v>
      </c>
    </row>
    <row r="293" spans="1:14" x14ac:dyDescent="0.25">
      <c r="A293" s="1" t="s">
        <v>442</v>
      </c>
      <c r="B293" s="1" t="s">
        <v>809</v>
      </c>
      <c r="C293" s="1" t="s">
        <v>300</v>
      </c>
      <c r="D293" s="1" t="s">
        <v>24</v>
      </c>
      <c r="E293" s="1" t="s">
        <v>48</v>
      </c>
      <c r="F293" s="1" t="s">
        <v>37</v>
      </c>
      <c r="G293" s="1">
        <v>17</v>
      </c>
      <c r="H293" s="1">
        <v>32.74</v>
      </c>
      <c r="I293" s="1">
        <v>556.58000000000004</v>
      </c>
      <c r="J293" s="1">
        <v>14.68</v>
      </c>
      <c r="K293" s="1">
        <v>201.9</v>
      </c>
      <c r="L293" s="1" t="s">
        <v>26</v>
      </c>
      <c r="M293" s="1" t="s">
        <v>27</v>
      </c>
      <c r="N293" s="1" t="s">
        <v>28</v>
      </c>
    </row>
    <row r="294" spans="1:14" x14ac:dyDescent="0.25">
      <c r="A294" s="1" t="s">
        <v>443</v>
      </c>
      <c r="B294" s="1" t="s">
        <v>902</v>
      </c>
      <c r="C294" s="1" t="s">
        <v>67</v>
      </c>
      <c r="D294" s="1" t="s">
        <v>16</v>
      </c>
      <c r="E294" s="1" t="s">
        <v>83</v>
      </c>
      <c r="F294" s="1" t="s">
        <v>52</v>
      </c>
      <c r="G294" s="1">
        <v>7</v>
      </c>
      <c r="H294" s="1">
        <v>46.64</v>
      </c>
      <c r="I294" s="1">
        <v>326.48</v>
      </c>
      <c r="J294" s="1">
        <v>25.19</v>
      </c>
      <c r="K294" s="1">
        <v>105.29</v>
      </c>
      <c r="L294" s="1" t="s">
        <v>26</v>
      </c>
      <c r="M294" s="1" t="s">
        <v>32</v>
      </c>
      <c r="N294" s="1" t="s">
        <v>21</v>
      </c>
    </row>
    <row r="295" spans="1:14" x14ac:dyDescent="0.25">
      <c r="A295" s="1" t="s">
        <v>444</v>
      </c>
      <c r="B295" s="1" t="s">
        <v>784</v>
      </c>
      <c r="C295" s="1" t="s">
        <v>135</v>
      </c>
      <c r="D295" s="1" t="s">
        <v>74</v>
      </c>
      <c r="E295" s="1" t="s">
        <v>25</v>
      </c>
      <c r="F295" s="1" t="s">
        <v>18</v>
      </c>
      <c r="G295" s="1">
        <v>16</v>
      </c>
      <c r="H295" s="1">
        <v>24.77</v>
      </c>
      <c r="I295" s="1">
        <v>396.32</v>
      </c>
      <c r="J295" s="1">
        <v>15.6</v>
      </c>
      <c r="K295" s="1">
        <v>92.72</v>
      </c>
      <c r="L295" s="1" t="s">
        <v>19</v>
      </c>
      <c r="M295" s="1" t="s">
        <v>32</v>
      </c>
      <c r="N295" s="1" t="s">
        <v>58</v>
      </c>
    </row>
    <row r="296" spans="1:14" x14ac:dyDescent="0.25">
      <c r="A296" s="1" t="s">
        <v>445</v>
      </c>
      <c r="B296" s="1" t="s">
        <v>759</v>
      </c>
      <c r="C296" s="1" t="s">
        <v>62</v>
      </c>
      <c r="D296" s="1" t="s">
        <v>47</v>
      </c>
      <c r="E296" s="1" t="s">
        <v>43</v>
      </c>
      <c r="F296" s="1" t="s">
        <v>44</v>
      </c>
      <c r="G296" s="1">
        <v>39</v>
      </c>
      <c r="H296" s="1">
        <v>56.5</v>
      </c>
      <c r="I296" s="1">
        <v>2203.5</v>
      </c>
      <c r="J296" s="1">
        <v>141.58000000000001</v>
      </c>
      <c r="K296" s="1">
        <v>501.92</v>
      </c>
      <c r="L296" s="1" t="s">
        <v>38</v>
      </c>
      <c r="M296" s="1" t="s">
        <v>20</v>
      </c>
      <c r="N296" s="1" t="s">
        <v>21</v>
      </c>
    </row>
    <row r="297" spans="1:14" x14ac:dyDescent="0.25">
      <c r="A297" s="1" t="s">
        <v>446</v>
      </c>
      <c r="B297" s="1" t="s">
        <v>750</v>
      </c>
      <c r="C297" s="1" t="s">
        <v>364</v>
      </c>
      <c r="D297" s="1" t="s">
        <v>177</v>
      </c>
      <c r="E297" s="1" t="s">
        <v>60</v>
      </c>
      <c r="F297" s="1" t="s">
        <v>52</v>
      </c>
      <c r="G297" s="1">
        <v>1</v>
      </c>
      <c r="H297" s="1">
        <v>24.01</v>
      </c>
      <c r="I297" s="1">
        <v>24.01</v>
      </c>
      <c r="J297" s="1">
        <v>1.58</v>
      </c>
      <c r="K297" s="1">
        <v>6.93</v>
      </c>
      <c r="L297" s="1" t="s">
        <v>19</v>
      </c>
      <c r="M297" s="1" t="s">
        <v>20</v>
      </c>
      <c r="N297" s="1" t="s">
        <v>58</v>
      </c>
    </row>
    <row r="298" spans="1:14" x14ac:dyDescent="0.25">
      <c r="A298" s="1" t="s">
        <v>447</v>
      </c>
      <c r="B298" s="1" t="s">
        <v>762</v>
      </c>
      <c r="C298" s="1" t="s">
        <v>100</v>
      </c>
      <c r="D298" s="1" t="s">
        <v>177</v>
      </c>
      <c r="E298" s="1" t="s">
        <v>56</v>
      </c>
      <c r="F298" s="1" t="s">
        <v>57</v>
      </c>
      <c r="G298" s="1">
        <v>45</v>
      </c>
      <c r="H298" s="1">
        <v>35.99</v>
      </c>
      <c r="I298" s="1">
        <v>1619.55</v>
      </c>
      <c r="J298" s="1">
        <v>49.95</v>
      </c>
      <c r="K298" s="1">
        <v>444.6</v>
      </c>
      <c r="L298" s="1" t="s">
        <v>19</v>
      </c>
      <c r="M298" s="1" t="s">
        <v>27</v>
      </c>
      <c r="N298" s="1" t="s">
        <v>58</v>
      </c>
    </row>
    <row r="299" spans="1:14" x14ac:dyDescent="0.25">
      <c r="A299" s="1" t="s">
        <v>448</v>
      </c>
      <c r="B299" s="1" t="s">
        <v>769</v>
      </c>
      <c r="C299" s="1" t="s">
        <v>166</v>
      </c>
      <c r="D299" s="1" t="s">
        <v>69</v>
      </c>
      <c r="E299" s="1" t="s">
        <v>48</v>
      </c>
      <c r="F299" s="1" t="s">
        <v>37</v>
      </c>
      <c r="G299" s="1">
        <v>5</v>
      </c>
      <c r="H299" s="1">
        <v>25.45</v>
      </c>
      <c r="I299" s="1">
        <v>127.25</v>
      </c>
      <c r="J299" s="1">
        <v>7.22</v>
      </c>
      <c r="K299" s="1">
        <v>20.03</v>
      </c>
      <c r="L299" s="1" t="s">
        <v>38</v>
      </c>
      <c r="M299" s="1" t="s">
        <v>32</v>
      </c>
      <c r="N299" s="1" t="s">
        <v>58</v>
      </c>
    </row>
    <row r="300" spans="1:14" x14ac:dyDescent="0.25">
      <c r="A300" s="1" t="s">
        <v>449</v>
      </c>
      <c r="B300" s="1" t="s">
        <v>901</v>
      </c>
      <c r="C300" s="1" t="s">
        <v>100</v>
      </c>
      <c r="D300" s="1" t="s">
        <v>77</v>
      </c>
      <c r="E300" s="1" t="s">
        <v>60</v>
      </c>
      <c r="F300" s="1" t="s">
        <v>52</v>
      </c>
      <c r="G300" s="1">
        <v>24</v>
      </c>
      <c r="H300" s="1">
        <v>19.53</v>
      </c>
      <c r="I300" s="1">
        <v>468.72</v>
      </c>
      <c r="J300" s="1">
        <v>14.12</v>
      </c>
      <c r="K300" s="1">
        <v>82.6</v>
      </c>
      <c r="L300" s="1" t="s">
        <v>19</v>
      </c>
      <c r="M300" s="1" t="s">
        <v>20</v>
      </c>
      <c r="N300" s="1" t="s">
        <v>58</v>
      </c>
    </row>
    <row r="301" spans="1:14" x14ac:dyDescent="0.25">
      <c r="A301" s="1" t="s">
        <v>450</v>
      </c>
      <c r="B301" s="1" t="s">
        <v>900</v>
      </c>
      <c r="C301" s="1" t="s">
        <v>23</v>
      </c>
      <c r="D301" s="1" t="s">
        <v>42</v>
      </c>
      <c r="E301" s="1" t="s">
        <v>63</v>
      </c>
      <c r="F301" s="1" t="s">
        <v>37</v>
      </c>
      <c r="G301" s="1">
        <v>28</v>
      </c>
      <c r="H301" s="1">
        <v>22.33</v>
      </c>
      <c r="I301" s="1">
        <v>625.24</v>
      </c>
      <c r="J301" s="1">
        <v>44.24</v>
      </c>
      <c r="K301" s="1">
        <v>224</v>
      </c>
      <c r="L301" s="1" t="s">
        <v>19</v>
      </c>
      <c r="M301" s="1" t="s">
        <v>20</v>
      </c>
      <c r="N301" s="1" t="s">
        <v>21</v>
      </c>
    </row>
    <row r="302" spans="1:14" x14ac:dyDescent="0.25">
      <c r="A302" s="1" t="s">
        <v>451</v>
      </c>
      <c r="B302" s="1" t="s">
        <v>899</v>
      </c>
      <c r="C302" s="1" t="s">
        <v>91</v>
      </c>
      <c r="D302" s="1" t="s">
        <v>31</v>
      </c>
      <c r="E302" s="1" t="s">
        <v>36</v>
      </c>
      <c r="F302" s="1" t="s">
        <v>37</v>
      </c>
      <c r="G302" s="1">
        <v>49</v>
      </c>
      <c r="H302" s="1">
        <v>39.31</v>
      </c>
      <c r="I302" s="1">
        <v>1926.19</v>
      </c>
      <c r="J302" s="1">
        <v>69.7</v>
      </c>
      <c r="K302" s="1">
        <v>288.49</v>
      </c>
      <c r="L302" s="1" t="s">
        <v>26</v>
      </c>
      <c r="M302" s="1" t="s">
        <v>20</v>
      </c>
      <c r="N302" s="1" t="s">
        <v>28</v>
      </c>
    </row>
    <row r="303" spans="1:14" x14ac:dyDescent="0.25">
      <c r="A303" s="1" t="s">
        <v>452</v>
      </c>
      <c r="B303" s="1" t="s">
        <v>898</v>
      </c>
      <c r="C303" s="1" t="s">
        <v>183</v>
      </c>
      <c r="D303" s="1" t="s">
        <v>177</v>
      </c>
      <c r="E303" s="1" t="s">
        <v>60</v>
      </c>
      <c r="F303" s="1" t="s">
        <v>52</v>
      </c>
      <c r="G303" s="1">
        <v>6</v>
      </c>
      <c r="H303" s="1">
        <v>22.95</v>
      </c>
      <c r="I303" s="1">
        <v>137.69999999999999</v>
      </c>
      <c r="J303" s="1">
        <v>5.63</v>
      </c>
      <c r="K303" s="1">
        <v>39.07</v>
      </c>
      <c r="L303" s="1" t="s">
        <v>26</v>
      </c>
      <c r="M303" s="1" t="s">
        <v>27</v>
      </c>
      <c r="N303" s="1" t="s">
        <v>58</v>
      </c>
    </row>
    <row r="304" spans="1:14" x14ac:dyDescent="0.25">
      <c r="A304" s="1" t="s">
        <v>453</v>
      </c>
      <c r="B304" s="1" t="s">
        <v>800</v>
      </c>
      <c r="C304" s="1" t="s">
        <v>154</v>
      </c>
      <c r="D304" s="1" t="s">
        <v>47</v>
      </c>
      <c r="E304" s="1" t="s">
        <v>48</v>
      </c>
      <c r="F304" s="1" t="s">
        <v>37</v>
      </c>
      <c r="G304" s="1">
        <v>35</v>
      </c>
      <c r="H304" s="1">
        <v>27.72</v>
      </c>
      <c r="I304" s="1">
        <v>970.2</v>
      </c>
      <c r="J304" s="1">
        <v>61.74</v>
      </c>
      <c r="K304" s="1">
        <v>208.46</v>
      </c>
      <c r="L304" s="1" t="s">
        <v>19</v>
      </c>
      <c r="M304" s="1" t="s">
        <v>32</v>
      </c>
      <c r="N304" s="1" t="s">
        <v>21</v>
      </c>
    </row>
    <row r="305" spans="1:14" x14ac:dyDescent="0.25">
      <c r="A305" s="1" t="s">
        <v>454</v>
      </c>
      <c r="B305" s="1" t="s">
        <v>860</v>
      </c>
      <c r="C305" s="1" t="s">
        <v>145</v>
      </c>
      <c r="D305" s="1" t="s">
        <v>55</v>
      </c>
      <c r="E305" s="1" t="s">
        <v>43</v>
      </c>
      <c r="F305" s="1" t="s">
        <v>44</v>
      </c>
      <c r="G305" s="1">
        <v>34</v>
      </c>
      <c r="H305" s="1">
        <v>64.75</v>
      </c>
      <c r="I305" s="1">
        <v>2201.5</v>
      </c>
      <c r="J305" s="1">
        <v>68.05</v>
      </c>
      <c r="K305" s="1">
        <v>773.45</v>
      </c>
      <c r="L305" s="1" t="s">
        <v>38</v>
      </c>
      <c r="M305" s="1" t="s">
        <v>32</v>
      </c>
      <c r="N305" s="1" t="s">
        <v>58</v>
      </c>
    </row>
    <row r="306" spans="1:14" x14ac:dyDescent="0.25">
      <c r="A306" s="1" t="s">
        <v>455</v>
      </c>
      <c r="B306" s="1" t="s">
        <v>897</v>
      </c>
      <c r="C306" s="1" t="s">
        <v>119</v>
      </c>
      <c r="D306" s="1" t="s">
        <v>129</v>
      </c>
      <c r="E306" s="1" t="s">
        <v>48</v>
      </c>
      <c r="F306" s="1" t="s">
        <v>37</v>
      </c>
      <c r="G306" s="1">
        <v>49</v>
      </c>
      <c r="H306" s="1">
        <v>26.02</v>
      </c>
      <c r="I306" s="1">
        <v>1274.98</v>
      </c>
      <c r="J306" s="1">
        <v>61.84</v>
      </c>
      <c r="K306" s="1">
        <v>233.14</v>
      </c>
      <c r="L306" s="1" t="s">
        <v>38</v>
      </c>
      <c r="M306" s="1" t="s">
        <v>27</v>
      </c>
      <c r="N306" s="1" t="s">
        <v>130</v>
      </c>
    </row>
    <row r="307" spans="1:14" x14ac:dyDescent="0.25">
      <c r="A307" s="1" t="s">
        <v>456</v>
      </c>
      <c r="B307" s="1" t="s">
        <v>896</v>
      </c>
      <c r="C307" s="1" t="s">
        <v>246</v>
      </c>
      <c r="D307" s="1" t="s">
        <v>35</v>
      </c>
      <c r="E307" s="1" t="s">
        <v>56</v>
      </c>
      <c r="F307" s="1" t="s">
        <v>57</v>
      </c>
      <c r="G307" s="1">
        <v>1</v>
      </c>
      <c r="H307" s="1">
        <v>32.979999999999997</v>
      </c>
      <c r="I307" s="1">
        <v>32.979999999999997</v>
      </c>
      <c r="J307" s="1">
        <v>1.89</v>
      </c>
      <c r="K307" s="1">
        <v>6.09</v>
      </c>
      <c r="L307" s="1" t="s">
        <v>38</v>
      </c>
      <c r="M307" s="1" t="s">
        <v>27</v>
      </c>
      <c r="N307" s="1" t="s">
        <v>39</v>
      </c>
    </row>
    <row r="308" spans="1:14" x14ac:dyDescent="0.25">
      <c r="A308" s="1" t="s">
        <v>457</v>
      </c>
      <c r="B308" s="1" t="s">
        <v>895</v>
      </c>
      <c r="C308" s="1" t="s">
        <v>315</v>
      </c>
      <c r="D308" s="1" t="s">
        <v>35</v>
      </c>
      <c r="E308" s="1" t="s">
        <v>63</v>
      </c>
      <c r="F308" s="1" t="s">
        <v>37</v>
      </c>
      <c r="G308" s="1">
        <v>18</v>
      </c>
      <c r="H308" s="1">
        <v>20.09</v>
      </c>
      <c r="I308" s="1">
        <v>361.62</v>
      </c>
      <c r="J308" s="1">
        <v>8.3800000000000008</v>
      </c>
      <c r="K308" s="1">
        <v>123.74</v>
      </c>
      <c r="L308" s="1" t="s">
        <v>19</v>
      </c>
      <c r="M308" s="1" t="s">
        <v>20</v>
      </c>
      <c r="N308" s="1" t="s">
        <v>39</v>
      </c>
    </row>
    <row r="309" spans="1:14" x14ac:dyDescent="0.25">
      <c r="A309" s="1" t="s">
        <v>458</v>
      </c>
      <c r="B309" s="1" t="s">
        <v>894</v>
      </c>
      <c r="C309" s="1" t="s">
        <v>166</v>
      </c>
      <c r="D309" s="1" t="s">
        <v>177</v>
      </c>
      <c r="E309" s="1" t="s">
        <v>17</v>
      </c>
      <c r="F309" s="1" t="s">
        <v>18</v>
      </c>
      <c r="G309" s="1">
        <v>39</v>
      </c>
      <c r="H309" s="1">
        <v>49.59</v>
      </c>
      <c r="I309" s="1">
        <v>1934.01</v>
      </c>
      <c r="J309" s="1">
        <v>62.79</v>
      </c>
      <c r="K309" s="1">
        <v>506.22</v>
      </c>
      <c r="L309" s="1" t="s">
        <v>26</v>
      </c>
      <c r="M309" s="1" t="s">
        <v>27</v>
      </c>
      <c r="N309" s="1" t="s">
        <v>58</v>
      </c>
    </row>
    <row r="310" spans="1:14" x14ac:dyDescent="0.25">
      <c r="A310" s="1" t="s">
        <v>459</v>
      </c>
      <c r="B310" s="1" t="s">
        <v>763</v>
      </c>
      <c r="C310" s="1" t="s">
        <v>291</v>
      </c>
      <c r="D310" s="1" t="s">
        <v>42</v>
      </c>
      <c r="E310" s="1" t="s">
        <v>36</v>
      </c>
      <c r="F310" s="1" t="s">
        <v>37</v>
      </c>
      <c r="G310" s="1">
        <v>6</v>
      </c>
      <c r="H310" s="1">
        <v>41.99</v>
      </c>
      <c r="I310" s="1">
        <v>251.94</v>
      </c>
      <c r="J310" s="1">
        <v>10.76</v>
      </c>
      <c r="K310" s="1">
        <v>49.18</v>
      </c>
      <c r="L310" s="1" t="s">
        <v>19</v>
      </c>
      <c r="M310" s="1" t="s">
        <v>20</v>
      </c>
      <c r="N310" s="1" t="s">
        <v>21</v>
      </c>
    </row>
    <row r="311" spans="1:14" x14ac:dyDescent="0.25">
      <c r="A311" s="1" t="s">
        <v>460</v>
      </c>
      <c r="B311" s="1" t="s">
        <v>757</v>
      </c>
      <c r="C311" s="1" t="s">
        <v>67</v>
      </c>
      <c r="D311" s="1" t="s">
        <v>69</v>
      </c>
      <c r="E311" s="1" t="s">
        <v>17</v>
      </c>
      <c r="F311" s="1" t="s">
        <v>18</v>
      </c>
      <c r="G311" s="1">
        <v>12</v>
      </c>
      <c r="H311" s="1">
        <v>47.4</v>
      </c>
      <c r="I311" s="1">
        <v>568.79999999999995</v>
      </c>
      <c r="J311" s="1">
        <v>23.31</v>
      </c>
      <c r="K311" s="1">
        <v>125.49</v>
      </c>
      <c r="L311" s="1" t="s">
        <v>38</v>
      </c>
      <c r="M311" s="1" t="s">
        <v>20</v>
      </c>
      <c r="N311" s="1" t="s">
        <v>58</v>
      </c>
    </row>
    <row r="312" spans="1:14" x14ac:dyDescent="0.25">
      <c r="A312" s="1" t="s">
        <v>461</v>
      </c>
      <c r="B312" s="1" t="s">
        <v>807</v>
      </c>
      <c r="C312" s="1" t="s">
        <v>249</v>
      </c>
      <c r="D312" s="1" t="s">
        <v>74</v>
      </c>
      <c r="E312" s="1" t="s">
        <v>48</v>
      </c>
      <c r="F312" s="1" t="s">
        <v>37</v>
      </c>
      <c r="G312" s="1">
        <v>50</v>
      </c>
      <c r="H312" s="1">
        <v>34.28</v>
      </c>
      <c r="I312" s="1">
        <v>1714</v>
      </c>
      <c r="J312" s="1">
        <v>59.84</v>
      </c>
      <c r="K312" s="1">
        <v>654.16</v>
      </c>
      <c r="L312" s="1" t="s">
        <v>19</v>
      </c>
      <c r="M312" s="1" t="s">
        <v>20</v>
      </c>
      <c r="N312" s="1" t="s">
        <v>58</v>
      </c>
    </row>
    <row r="313" spans="1:14" x14ac:dyDescent="0.25">
      <c r="A313" s="1" t="s">
        <v>462</v>
      </c>
      <c r="B313" s="1" t="s">
        <v>893</v>
      </c>
      <c r="C313" s="1" t="s">
        <v>204</v>
      </c>
      <c r="D313" s="1" t="s">
        <v>86</v>
      </c>
      <c r="E313" s="1" t="s">
        <v>25</v>
      </c>
      <c r="F313" s="1" t="s">
        <v>18</v>
      </c>
      <c r="G313" s="1">
        <v>50</v>
      </c>
      <c r="H313" s="1">
        <v>29.39</v>
      </c>
      <c r="I313" s="1">
        <v>1469.5</v>
      </c>
      <c r="J313" s="1">
        <v>101.51</v>
      </c>
      <c r="K313" s="1">
        <v>467.99</v>
      </c>
      <c r="L313" s="1" t="s">
        <v>38</v>
      </c>
      <c r="M313" s="1" t="s">
        <v>32</v>
      </c>
      <c r="N313" s="1" t="s">
        <v>87</v>
      </c>
    </row>
    <row r="314" spans="1:14" x14ac:dyDescent="0.25">
      <c r="A314" s="1" t="s">
        <v>463</v>
      </c>
      <c r="B314" s="1" t="s">
        <v>892</v>
      </c>
      <c r="C314" s="1" t="s">
        <v>113</v>
      </c>
      <c r="D314" s="1" t="s">
        <v>35</v>
      </c>
      <c r="E314" s="1" t="s">
        <v>25</v>
      </c>
      <c r="F314" s="1" t="s">
        <v>18</v>
      </c>
      <c r="G314" s="1">
        <v>46</v>
      </c>
      <c r="H314" s="1">
        <v>30.34</v>
      </c>
      <c r="I314" s="1">
        <v>1395.64</v>
      </c>
      <c r="J314" s="1">
        <v>104.2</v>
      </c>
      <c r="K314" s="1">
        <v>463.44</v>
      </c>
      <c r="L314" s="1" t="s">
        <v>19</v>
      </c>
      <c r="M314" s="1" t="s">
        <v>27</v>
      </c>
      <c r="N314" s="1" t="s">
        <v>39</v>
      </c>
    </row>
    <row r="315" spans="1:14" x14ac:dyDescent="0.25">
      <c r="A315" s="1" t="s">
        <v>464</v>
      </c>
      <c r="B315" s="1" t="s">
        <v>891</v>
      </c>
      <c r="C315" s="1" t="s">
        <v>465</v>
      </c>
      <c r="D315" s="1" t="s">
        <v>69</v>
      </c>
      <c r="E315" s="1" t="s">
        <v>63</v>
      </c>
      <c r="F315" s="1" t="s">
        <v>37</v>
      </c>
      <c r="G315" s="1">
        <v>50</v>
      </c>
      <c r="H315" s="1">
        <v>18.809999999999999</v>
      </c>
      <c r="I315" s="1">
        <v>940.5</v>
      </c>
      <c r="J315" s="1">
        <v>40.25</v>
      </c>
      <c r="K315" s="1">
        <v>262.75</v>
      </c>
      <c r="L315" s="1" t="s">
        <v>26</v>
      </c>
      <c r="M315" s="1" t="s">
        <v>27</v>
      </c>
      <c r="N315" s="1" t="s">
        <v>58</v>
      </c>
    </row>
    <row r="316" spans="1:14" x14ac:dyDescent="0.25">
      <c r="A316" s="1" t="s">
        <v>466</v>
      </c>
      <c r="B316" s="1" t="s">
        <v>890</v>
      </c>
      <c r="C316" s="1" t="s">
        <v>204</v>
      </c>
      <c r="D316" s="1" t="s">
        <v>129</v>
      </c>
      <c r="E316" s="1" t="s">
        <v>51</v>
      </c>
      <c r="F316" s="1" t="s">
        <v>52</v>
      </c>
      <c r="G316" s="1">
        <v>2</v>
      </c>
      <c r="H316" s="1">
        <v>29.64</v>
      </c>
      <c r="I316" s="1">
        <v>59.28</v>
      </c>
      <c r="J316" s="1">
        <v>4.59</v>
      </c>
      <c r="K316" s="1">
        <v>9.69</v>
      </c>
      <c r="L316" s="1" t="s">
        <v>26</v>
      </c>
      <c r="M316" s="1" t="s">
        <v>32</v>
      </c>
      <c r="N316" s="1" t="s">
        <v>130</v>
      </c>
    </row>
    <row r="317" spans="1:14" x14ac:dyDescent="0.25">
      <c r="A317" s="1" t="s">
        <v>467</v>
      </c>
      <c r="B317" s="1" t="s">
        <v>852</v>
      </c>
      <c r="C317" s="1" t="s">
        <v>364</v>
      </c>
      <c r="D317" s="1" t="s">
        <v>69</v>
      </c>
      <c r="E317" s="1" t="s">
        <v>51</v>
      </c>
      <c r="F317" s="1" t="s">
        <v>52</v>
      </c>
      <c r="G317" s="1">
        <v>48</v>
      </c>
      <c r="H317" s="1">
        <v>27.9</v>
      </c>
      <c r="I317" s="1">
        <v>1339.2</v>
      </c>
      <c r="J317" s="1">
        <v>66.31</v>
      </c>
      <c r="K317" s="1">
        <v>192.89</v>
      </c>
      <c r="L317" s="1" t="s">
        <v>26</v>
      </c>
      <c r="M317" s="1" t="s">
        <v>32</v>
      </c>
      <c r="N317" s="1" t="s">
        <v>58</v>
      </c>
    </row>
    <row r="318" spans="1:14" x14ac:dyDescent="0.25">
      <c r="A318" s="1" t="s">
        <v>468</v>
      </c>
      <c r="B318" s="1" t="s">
        <v>797</v>
      </c>
      <c r="C318" s="1" t="s">
        <v>293</v>
      </c>
      <c r="D318" s="1" t="s">
        <v>106</v>
      </c>
      <c r="E318" s="1" t="s">
        <v>56</v>
      </c>
      <c r="F318" s="1" t="s">
        <v>57</v>
      </c>
      <c r="G318" s="1">
        <v>28</v>
      </c>
      <c r="H318" s="1">
        <v>38.520000000000003</v>
      </c>
      <c r="I318" s="1">
        <v>1078.56</v>
      </c>
      <c r="J318" s="1">
        <v>64.510000000000005</v>
      </c>
      <c r="K318" s="1">
        <v>314.05</v>
      </c>
      <c r="L318" s="1" t="s">
        <v>19</v>
      </c>
      <c r="M318" s="1" t="s">
        <v>27</v>
      </c>
      <c r="N318" s="1" t="s">
        <v>28</v>
      </c>
    </row>
    <row r="319" spans="1:14" x14ac:dyDescent="0.25">
      <c r="A319" s="1" t="s">
        <v>469</v>
      </c>
      <c r="B319" s="1" t="s">
        <v>889</v>
      </c>
      <c r="C319" s="1" t="s">
        <v>181</v>
      </c>
      <c r="D319" s="1" t="s">
        <v>24</v>
      </c>
      <c r="E319" s="1" t="s">
        <v>51</v>
      </c>
      <c r="F319" s="1" t="s">
        <v>52</v>
      </c>
      <c r="G319" s="1">
        <v>11</v>
      </c>
      <c r="H319" s="1">
        <v>31.08</v>
      </c>
      <c r="I319" s="1">
        <v>341.88</v>
      </c>
      <c r="J319" s="1">
        <v>17.18</v>
      </c>
      <c r="K319" s="1">
        <v>77.2</v>
      </c>
      <c r="L319" s="1" t="s">
        <v>38</v>
      </c>
      <c r="M319" s="1" t="s">
        <v>32</v>
      </c>
      <c r="N319" s="1" t="s">
        <v>28</v>
      </c>
    </row>
    <row r="320" spans="1:14" x14ac:dyDescent="0.25">
      <c r="A320" s="1" t="s">
        <v>470</v>
      </c>
      <c r="B320" s="1" t="s">
        <v>765</v>
      </c>
      <c r="C320" s="1" t="s">
        <v>246</v>
      </c>
      <c r="D320" s="1" t="s">
        <v>47</v>
      </c>
      <c r="E320" s="1" t="s">
        <v>48</v>
      </c>
      <c r="F320" s="1" t="s">
        <v>37</v>
      </c>
      <c r="G320" s="1">
        <v>42</v>
      </c>
      <c r="H320" s="1">
        <v>25.95</v>
      </c>
      <c r="I320" s="1">
        <v>1089.9000000000001</v>
      </c>
      <c r="J320" s="1">
        <v>27.5</v>
      </c>
      <c r="K320" s="1">
        <v>222.4</v>
      </c>
      <c r="L320" s="1" t="s">
        <v>38</v>
      </c>
      <c r="M320" s="1" t="s">
        <v>32</v>
      </c>
      <c r="N320" s="1" t="s">
        <v>21</v>
      </c>
    </row>
    <row r="321" spans="1:14" x14ac:dyDescent="0.25">
      <c r="A321" s="1" t="s">
        <v>471</v>
      </c>
      <c r="B321" s="1" t="s">
        <v>888</v>
      </c>
      <c r="C321" s="1" t="s">
        <v>399</v>
      </c>
      <c r="D321" s="1" t="s">
        <v>69</v>
      </c>
      <c r="E321" s="1" t="s">
        <v>56</v>
      </c>
      <c r="F321" s="1" t="s">
        <v>57</v>
      </c>
      <c r="G321" s="1">
        <v>30</v>
      </c>
      <c r="H321" s="1">
        <v>30.16</v>
      </c>
      <c r="I321" s="1">
        <v>904.8</v>
      </c>
      <c r="J321" s="1">
        <v>70.13</v>
      </c>
      <c r="K321" s="1">
        <v>84.67</v>
      </c>
      <c r="L321" s="1" t="s">
        <v>26</v>
      </c>
      <c r="M321" s="1" t="s">
        <v>20</v>
      </c>
      <c r="N321" s="1" t="s">
        <v>58</v>
      </c>
    </row>
    <row r="322" spans="1:14" x14ac:dyDescent="0.25">
      <c r="A322" s="1" t="s">
        <v>472</v>
      </c>
      <c r="B322" s="1" t="s">
        <v>887</v>
      </c>
      <c r="C322" s="1" t="s">
        <v>473</v>
      </c>
      <c r="D322" s="1" t="s">
        <v>35</v>
      </c>
      <c r="E322" s="1" t="s">
        <v>48</v>
      </c>
      <c r="F322" s="1" t="s">
        <v>37</v>
      </c>
      <c r="G322" s="1">
        <v>40</v>
      </c>
      <c r="H322" s="1">
        <v>30.03</v>
      </c>
      <c r="I322" s="1">
        <v>1201.2</v>
      </c>
      <c r="J322" s="1">
        <v>71.97</v>
      </c>
      <c r="K322" s="1">
        <v>329.23</v>
      </c>
      <c r="L322" s="1" t="s">
        <v>26</v>
      </c>
      <c r="M322" s="1" t="s">
        <v>20</v>
      </c>
      <c r="N322" s="1" t="s">
        <v>39</v>
      </c>
    </row>
    <row r="323" spans="1:14" x14ac:dyDescent="0.25">
      <c r="A323" s="1" t="s">
        <v>474</v>
      </c>
      <c r="B323" s="1" t="s">
        <v>778</v>
      </c>
      <c r="C323" s="1" t="s">
        <v>100</v>
      </c>
      <c r="D323" s="1" t="s">
        <v>86</v>
      </c>
      <c r="E323" s="1" t="s">
        <v>48</v>
      </c>
      <c r="F323" s="1" t="s">
        <v>37</v>
      </c>
      <c r="G323" s="1">
        <v>15</v>
      </c>
      <c r="H323" s="1">
        <v>27.12</v>
      </c>
      <c r="I323" s="1">
        <v>406.8</v>
      </c>
      <c r="J323" s="1">
        <v>24.28</v>
      </c>
      <c r="K323" s="1">
        <v>82.52</v>
      </c>
      <c r="L323" s="1" t="s">
        <v>26</v>
      </c>
      <c r="M323" s="1" t="s">
        <v>27</v>
      </c>
      <c r="N323" s="1" t="s">
        <v>87</v>
      </c>
    </row>
    <row r="324" spans="1:14" x14ac:dyDescent="0.25">
      <c r="A324" s="1" t="s">
        <v>475</v>
      </c>
      <c r="B324" s="1" t="s">
        <v>886</v>
      </c>
      <c r="C324" s="1" t="s">
        <v>161</v>
      </c>
      <c r="D324" s="1" t="s">
        <v>106</v>
      </c>
      <c r="E324" s="1" t="s">
        <v>63</v>
      </c>
      <c r="F324" s="1" t="s">
        <v>37</v>
      </c>
      <c r="G324" s="1">
        <v>35</v>
      </c>
      <c r="H324" s="1">
        <v>18.350000000000001</v>
      </c>
      <c r="I324" s="1">
        <v>642.25</v>
      </c>
      <c r="J324" s="1">
        <v>29.35</v>
      </c>
      <c r="K324" s="1">
        <v>166.65</v>
      </c>
      <c r="L324" s="1" t="s">
        <v>19</v>
      </c>
      <c r="M324" s="1" t="s">
        <v>27</v>
      </c>
      <c r="N324" s="1" t="s">
        <v>28</v>
      </c>
    </row>
    <row r="325" spans="1:14" x14ac:dyDescent="0.25">
      <c r="A325" s="1" t="s">
        <v>476</v>
      </c>
      <c r="B325" s="1" t="s">
        <v>777</v>
      </c>
      <c r="C325" s="1" t="s">
        <v>410</v>
      </c>
      <c r="D325" s="1" t="s">
        <v>86</v>
      </c>
      <c r="E325" s="1" t="s">
        <v>17</v>
      </c>
      <c r="F325" s="1" t="s">
        <v>18</v>
      </c>
      <c r="G325" s="1">
        <v>21</v>
      </c>
      <c r="H325" s="1">
        <v>52.59</v>
      </c>
      <c r="I325" s="1">
        <v>1104.3900000000001</v>
      </c>
      <c r="J325" s="1">
        <v>57.06</v>
      </c>
      <c r="K325" s="1">
        <v>312.33</v>
      </c>
      <c r="L325" s="1" t="s">
        <v>26</v>
      </c>
      <c r="M325" s="1" t="s">
        <v>27</v>
      </c>
      <c r="N325" s="1" t="s">
        <v>87</v>
      </c>
    </row>
    <row r="326" spans="1:14" x14ac:dyDescent="0.25">
      <c r="A326" s="1" t="s">
        <v>477</v>
      </c>
      <c r="B326" s="1" t="s">
        <v>885</v>
      </c>
      <c r="C326" s="1" t="s">
        <v>364</v>
      </c>
      <c r="D326" s="1" t="s">
        <v>55</v>
      </c>
      <c r="E326" s="1" t="s">
        <v>83</v>
      </c>
      <c r="F326" s="1" t="s">
        <v>52</v>
      </c>
      <c r="G326" s="1">
        <v>10</v>
      </c>
      <c r="H326" s="1">
        <v>44.2</v>
      </c>
      <c r="I326" s="1">
        <v>442</v>
      </c>
      <c r="J326" s="1">
        <v>18.45</v>
      </c>
      <c r="K326" s="1">
        <v>143.55000000000001</v>
      </c>
      <c r="L326" s="1" t="s">
        <v>19</v>
      </c>
      <c r="M326" s="1" t="s">
        <v>20</v>
      </c>
      <c r="N326" s="1" t="s">
        <v>58</v>
      </c>
    </row>
    <row r="327" spans="1:14" x14ac:dyDescent="0.25">
      <c r="A327" s="1" t="s">
        <v>478</v>
      </c>
      <c r="B327" s="1" t="s">
        <v>884</v>
      </c>
      <c r="C327" s="1" t="s">
        <v>209</v>
      </c>
      <c r="D327" s="1" t="s">
        <v>55</v>
      </c>
      <c r="E327" s="1" t="s">
        <v>17</v>
      </c>
      <c r="F327" s="1" t="s">
        <v>18</v>
      </c>
      <c r="G327" s="1">
        <v>11</v>
      </c>
      <c r="H327" s="1">
        <v>60.9</v>
      </c>
      <c r="I327" s="1">
        <v>669.9</v>
      </c>
      <c r="J327" s="1">
        <v>26.28</v>
      </c>
      <c r="K327" s="1">
        <v>258.62</v>
      </c>
      <c r="L327" s="1" t="s">
        <v>26</v>
      </c>
      <c r="M327" s="1" t="s">
        <v>27</v>
      </c>
      <c r="N327" s="1" t="s">
        <v>58</v>
      </c>
    </row>
    <row r="328" spans="1:14" x14ac:dyDescent="0.25">
      <c r="A328" s="1" t="s">
        <v>479</v>
      </c>
      <c r="B328" s="1" t="s">
        <v>883</v>
      </c>
      <c r="C328" s="1" t="s">
        <v>54</v>
      </c>
      <c r="D328" s="1" t="s">
        <v>74</v>
      </c>
      <c r="E328" s="1" t="s">
        <v>63</v>
      </c>
      <c r="F328" s="1" t="s">
        <v>37</v>
      </c>
      <c r="G328" s="1">
        <v>26</v>
      </c>
      <c r="H328" s="1">
        <v>22.32</v>
      </c>
      <c r="I328" s="1">
        <v>580.32000000000005</v>
      </c>
      <c r="J328" s="1">
        <v>45.08</v>
      </c>
      <c r="K328" s="1">
        <v>203.74</v>
      </c>
      <c r="L328" s="1" t="s">
        <v>26</v>
      </c>
      <c r="M328" s="1" t="s">
        <v>27</v>
      </c>
      <c r="N328" s="1" t="s">
        <v>58</v>
      </c>
    </row>
    <row r="329" spans="1:14" x14ac:dyDescent="0.25">
      <c r="A329" s="1" t="s">
        <v>480</v>
      </c>
      <c r="B329" s="1" t="s">
        <v>813</v>
      </c>
      <c r="C329" s="1" t="s">
        <v>261</v>
      </c>
      <c r="D329" s="1" t="s">
        <v>55</v>
      </c>
      <c r="E329" s="1" t="s">
        <v>83</v>
      </c>
      <c r="F329" s="1" t="s">
        <v>52</v>
      </c>
      <c r="G329" s="1">
        <v>46</v>
      </c>
      <c r="H329" s="1">
        <v>41.89</v>
      </c>
      <c r="I329" s="1">
        <v>1926.94</v>
      </c>
      <c r="J329" s="1">
        <v>97.39</v>
      </c>
      <c r="K329" s="1">
        <v>541.54999999999995</v>
      </c>
      <c r="L329" s="1" t="s">
        <v>19</v>
      </c>
      <c r="M329" s="1" t="s">
        <v>32</v>
      </c>
      <c r="N329" s="1" t="s">
        <v>58</v>
      </c>
    </row>
    <row r="330" spans="1:14" x14ac:dyDescent="0.25">
      <c r="A330" s="1" t="s">
        <v>481</v>
      </c>
      <c r="B330" s="1" t="s">
        <v>882</v>
      </c>
      <c r="C330" s="1" t="s">
        <v>173</v>
      </c>
      <c r="D330" s="1" t="s">
        <v>24</v>
      </c>
      <c r="E330" s="1" t="s">
        <v>63</v>
      </c>
      <c r="F330" s="1" t="s">
        <v>37</v>
      </c>
      <c r="G330" s="1">
        <v>43</v>
      </c>
      <c r="H330" s="1">
        <v>21.24</v>
      </c>
      <c r="I330" s="1">
        <v>913.32</v>
      </c>
      <c r="J330" s="1">
        <v>50.32</v>
      </c>
      <c r="K330" s="1">
        <v>314.75</v>
      </c>
      <c r="L330" s="1" t="s">
        <v>26</v>
      </c>
      <c r="M330" s="1" t="s">
        <v>20</v>
      </c>
      <c r="N330" s="1" t="s">
        <v>28</v>
      </c>
    </row>
    <row r="331" spans="1:14" x14ac:dyDescent="0.25">
      <c r="A331" s="1" t="s">
        <v>482</v>
      </c>
      <c r="B331" s="1" t="s">
        <v>881</v>
      </c>
      <c r="C331" s="1" t="s">
        <v>483</v>
      </c>
      <c r="D331" s="1" t="s">
        <v>151</v>
      </c>
      <c r="E331" s="1" t="s">
        <v>51</v>
      </c>
      <c r="F331" s="1" t="s">
        <v>52</v>
      </c>
      <c r="G331" s="1">
        <v>28</v>
      </c>
      <c r="H331" s="1">
        <v>33.700000000000003</v>
      </c>
      <c r="I331" s="1">
        <v>943.6</v>
      </c>
      <c r="J331" s="1">
        <v>20.170000000000002</v>
      </c>
      <c r="K331" s="1">
        <v>293.43</v>
      </c>
      <c r="L331" s="1" t="s">
        <v>19</v>
      </c>
      <c r="M331" s="1" t="s">
        <v>27</v>
      </c>
      <c r="N331" s="1" t="s">
        <v>28</v>
      </c>
    </row>
    <row r="332" spans="1:14" x14ac:dyDescent="0.25">
      <c r="A332" s="1" t="s">
        <v>484</v>
      </c>
      <c r="B332" s="1" t="s">
        <v>880</v>
      </c>
      <c r="C332" s="1" t="s">
        <v>211</v>
      </c>
      <c r="D332" s="1" t="s">
        <v>177</v>
      </c>
      <c r="E332" s="1" t="s">
        <v>17</v>
      </c>
      <c r="F332" s="1" t="s">
        <v>18</v>
      </c>
      <c r="G332" s="1">
        <v>41</v>
      </c>
      <c r="H332" s="1">
        <v>42.74</v>
      </c>
      <c r="I332" s="1">
        <v>1752.34</v>
      </c>
      <c r="J332" s="1">
        <v>92.09</v>
      </c>
      <c r="K332" s="1">
        <v>225.25</v>
      </c>
      <c r="L332" s="1" t="s">
        <v>38</v>
      </c>
      <c r="M332" s="1" t="s">
        <v>20</v>
      </c>
      <c r="N332" s="1" t="s">
        <v>58</v>
      </c>
    </row>
    <row r="333" spans="1:14" x14ac:dyDescent="0.25">
      <c r="A333" s="1" t="s">
        <v>485</v>
      </c>
      <c r="B333" s="1" t="s">
        <v>879</v>
      </c>
      <c r="C333" s="1" t="s">
        <v>410</v>
      </c>
      <c r="D333" s="1" t="s">
        <v>24</v>
      </c>
      <c r="E333" s="1" t="s">
        <v>48</v>
      </c>
      <c r="F333" s="1" t="s">
        <v>37</v>
      </c>
      <c r="G333" s="1">
        <v>24</v>
      </c>
      <c r="H333" s="1">
        <v>30.18</v>
      </c>
      <c r="I333" s="1">
        <v>724.32</v>
      </c>
      <c r="J333" s="1">
        <v>44.97</v>
      </c>
      <c r="K333" s="1">
        <v>199.35</v>
      </c>
      <c r="L333" s="1" t="s">
        <v>19</v>
      </c>
      <c r="M333" s="1" t="s">
        <v>20</v>
      </c>
      <c r="N333" s="1" t="s">
        <v>28</v>
      </c>
    </row>
    <row r="334" spans="1:14" x14ac:dyDescent="0.25">
      <c r="A334" s="1" t="s">
        <v>486</v>
      </c>
      <c r="B334" s="1" t="s">
        <v>770</v>
      </c>
      <c r="C334" s="1" t="s">
        <v>110</v>
      </c>
      <c r="D334" s="1" t="s">
        <v>77</v>
      </c>
      <c r="E334" s="1" t="s">
        <v>60</v>
      </c>
      <c r="F334" s="1" t="s">
        <v>52</v>
      </c>
      <c r="G334" s="1">
        <v>44</v>
      </c>
      <c r="H334" s="1">
        <v>20.02</v>
      </c>
      <c r="I334" s="1">
        <v>880.88</v>
      </c>
      <c r="J334" s="1">
        <v>60.27</v>
      </c>
      <c r="K334" s="1">
        <v>138.61000000000001</v>
      </c>
      <c r="L334" s="1" t="s">
        <v>26</v>
      </c>
      <c r="M334" s="1" t="s">
        <v>27</v>
      </c>
      <c r="N334" s="1" t="s">
        <v>58</v>
      </c>
    </row>
    <row r="335" spans="1:14" x14ac:dyDescent="0.25">
      <c r="A335" s="1" t="s">
        <v>487</v>
      </c>
      <c r="B335" s="1" t="s">
        <v>878</v>
      </c>
      <c r="C335" s="1" t="s">
        <v>108</v>
      </c>
      <c r="D335" s="1" t="s">
        <v>24</v>
      </c>
      <c r="E335" s="1" t="s">
        <v>48</v>
      </c>
      <c r="F335" s="1" t="s">
        <v>37</v>
      </c>
      <c r="G335" s="1">
        <v>12</v>
      </c>
      <c r="H335" s="1">
        <v>27.45</v>
      </c>
      <c r="I335" s="1">
        <v>329.4</v>
      </c>
      <c r="J335" s="1">
        <v>13.22</v>
      </c>
      <c r="K335" s="1">
        <v>76.180000000000007</v>
      </c>
      <c r="L335" s="1" t="s">
        <v>38</v>
      </c>
      <c r="M335" s="1" t="s">
        <v>32</v>
      </c>
      <c r="N335" s="1" t="s">
        <v>28</v>
      </c>
    </row>
    <row r="336" spans="1:14" x14ac:dyDescent="0.25">
      <c r="A336" s="1" t="s">
        <v>488</v>
      </c>
      <c r="B336" s="1" t="s">
        <v>789</v>
      </c>
      <c r="C336" s="1" t="s">
        <v>89</v>
      </c>
      <c r="D336" s="1" t="s">
        <v>86</v>
      </c>
      <c r="E336" s="1" t="s">
        <v>48</v>
      </c>
      <c r="F336" s="1" t="s">
        <v>37</v>
      </c>
      <c r="G336" s="1">
        <v>26</v>
      </c>
      <c r="H336" s="1">
        <v>30.57</v>
      </c>
      <c r="I336" s="1">
        <v>794.82</v>
      </c>
      <c r="J336" s="1">
        <v>19.45</v>
      </c>
      <c r="K336" s="1">
        <v>255.37</v>
      </c>
      <c r="L336" s="1" t="s">
        <v>38</v>
      </c>
      <c r="M336" s="1" t="s">
        <v>27</v>
      </c>
      <c r="N336" s="1" t="s">
        <v>87</v>
      </c>
    </row>
    <row r="337" spans="1:14" x14ac:dyDescent="0.25">
      <c r="A337" s="1" t="s">
        <v>489</v>
      </c>
      <c r="B337" s="1" t="s">
        <v>877</v>
      </c>
      <c r="C337" s="1" t="s">
        <v>115</v>
      </c>
      <c r="D337" s="1" t="s">
        <v>77</v>
      </c>
      <c r="E337" s="1" t="s">
        <v>56</v>
      </c>
      <c r="F337" s="1" t="s">
        <v>57</v>
      </c>
      <c r="G337" s="1">
        <v>46</v>
      </c>
      <c r="H337" s="1">
        <v>32.19</v>
      </c>
      <c r="I337" s="1">
        <v>1480.74</v>
      </c>
      <c r="J337" s="1">
        <v>111.13</v>
      </c>
      <c r="K337" s="1">
        <v>219.61</v>
      </c>
      <c r="L337" s="1" t="s">
        <v>38</v>
      </c>
      <c r="M337" s="1" t="s">
        <v>27</v>
      </c>
      <c r="N337" s="1" t="s">
        <v>58</v>
      </c>
    </row>
    <row r="338" spans="1:14" x14ac:dyDescent="0.25">
      <c r="A338" s="1" t="s">
        <v>490</v>
      </c>
      <c r="B338" s="1" t="s">
        <v>740</v>
      </c>
      <c r="C338" s="1" t="s">
        <v>85</v>
      </c>
      <c r="D338" s="1" t="s">
        <v>69</v>
      </c>
      <c r="E338" s="1" t="s">
        <v>25</v>
      </c>
      <c r="F338" s="1" t="s">
        <v>18</v>
      </c>
      <c r="G338" s="1">
        <v>20</v>
      </c>
      <c r="H338" s="1">
        <v>31.79</v>
      </c>
      <c r="I338" s="1">
        <v>635.79999999999995</v>
      </c>
      <c r="J338" s="1">
        <v>38.43</v>
      </c>
      <c r="K338" s="1">
        <v>237.37</v>
      </c>
      <c r="L338" s="1" t="s">
        <v>19</v>
      </c>
      <c r="M338" s="1" t="s">
        <v>27</v>
      </c>
      <c r="N338" s="1" t="s">
        <v>58</v>
      </c>
    </row>
    <row r="339" spans="1:14" x14ac:dyDescent="0.25">
      <c r="A339" s="1" t="s">
        <v>491</v>
      </c>
      <c r="B339" s="1" t="s">
        <v>876</v>
      </c>
      <c r="C339" s="1" t="s">
        <v>15</v>
      </c>
      <c r="D339" s="1" t="s">
        <v>129</v>
      </c>
      <c r="E339" s="1" t="s">
        <v>25</v>
      </c>
      <c r="F339" s="1" t="s">
        <v>18</v>
      </c>
      <c r="G339" s="1">
        <v>8</v>
      </c>
      <c r="H339" s="1">
        <v>28.94</v>
      </c>
      <c r="I339" s="1">
        <v>231.52</v>
      </c>
      <c r="J339" s="1">
        <v>7</v>
      </c>
      <c r="K339" s="1">
        <v>80.52</v>
      </c>
      <c r="L339" s="1" t="s">
        <v>38</v>
      </c>
      <c r="M339" s="1" t="s">
        <v>27</v>
      </c>
      <c r="N339" s="1" t="s">
        <v>130</v>
      </c>
    </row>
    <row r="340" spans="1:14" x14ac:dyDescent="0.25">
      <c r="A340" s="1" t="s">
        <v>492</v>
      </c>
      <c r="B340" s="1" t="s">
        <v>875</v>
      </c>
      <c r="C340" s="1" t="s">
        <v>211</v>
      </c>
      <c r="D340" s="1" t="s">
        <v>106</v>
      </c>
      <c r="E340" s="1" t="s">
        <v>25</v>
      </c>
      <c r="F340" s="1" t="s">
        <v>18</v>
      </c>
      <c r="G340" s="1">
        <v>40</v>
      </c>
      <c r="H340" s="1">
        <v>30.66</v>
      </c>
      <c r="I340" s="1">
        <v>1226.4000000000001</v>
      </c>
      <c r="J340" s="1">
        <v>85.24</v>
      </c>
      <c r="K340" s="1">
        <v>421.16</v>
      </c>
      <c r="L340" s="1" t="s">
        <v>19</v>
      </c>
      <c r="M340" s="1" t="s">
        <v>20</v>
      </c>
      <c r="N340" s="1" t="s">
        <v>28</v>
      </c>
    </row>
    <row r="341" spans="1:14" x14ac:dyDescent="0.25">
      <c r="A341" s="1" t="s">
        <v>493</v>
      </c>
      <c r="B341" s="1" t="s">
        <v>874</v>
      </c>
      <c r="C341" s="1" t="s">
        <v>342</v>
      </c>
      <c r="D341" s="1" t="s">
        <v>129</v>
      </c>
      <c r="E341" s="1" t="s">
        <v>36</v>
      </c>
      <c r="F341" s="1" t="s">
        <v>37</v>
      </c>
      <c r="G341" s="1">
        <v>44</v>
      </c>
      <c r="H341" s="1">
        <v>54.09</v>
      </c>
      <c r="I341" s="1">
        <v>2379.96</v>
      </c>
      <c r="J341" s="1">
        <v>106.39</v>
      </c>
      <c r="K341" s="1">
        <v>865.57</v>
      </c>
      <c r="L341" s="1" t="s">
        <v>19</v>
      </c>
      <c r="M341" s="1" t="s">
        <v>27</v>
      </c>
      <c r="N341" s="1" t="s">
        <v>130</v>
      </c>
    </row>
    <row r="342" spans="1:14" x14ac:dyDescent="0.25">
      <c r="A342" s="1" t="s">
        <v>494</v>
      </c>
      <c r="B342" s="1" t="s">
        <v>873</v>
      </c>
      <c r="C342" s="1" t="s">
        <v>110</v>
      </c>
      <c r="D342" s="1" t="s">
        <v>69</v>
      </c>
      <c r="E342" s="1" t="s">
        <v>43</v>
      </c>
      <c r="F342" s="1" t="s">
        <v>44</v>
      </c>
      <c r="G342" s="1">
        <v>32</v>
      </c>
      <c r="H342" s="1">
        <v>68.89</v>
      </c>
      <c r="I342" s="1">
        <v>2204.48</v>
      </c>
      <c r="J342" s="1">
        <v>152.05000000000001</v>
      </c>
      <c r="K342" s="1">
        <v>772.43</v>
      </c>
      <c r="L342" s="1" t="s">
        <v>19</v>
      </c>
      <c r="M342" s="1" t="s">
        <v>27</v>
      </c>
      <c r="N342" s="1" t="s">
        <v>58</v>
      </c>
    </row>
    <row r="343" spans="1:14" x14ac:dyDescent="0.25">
      <c r="A343" s="1" t="s">
        <v>495</v>
      </c>
      <c r="B343" s="1" t="s">
        <v>872</v>
      </c>
      <c r="C343" s="1" t="s">
        <v>465</v>
      </c>
      <c r="D343" s="1" t="s">
        <v>177</v>
      </c>
      <c r="E343" s="1" t="s">
        <v>17</v>
      </c>
      <c r="F343" s="1" t="s">
        <v>18</v>
      </c>
      <c r="G343" s="1">
        <v>44</v>
      </c>
      <c r="H343" s="1">
        <v>43.35</v>
      </c>
      <c r="I343" s="1">
        <v>1907.4</v>
      </c>
      <c r="J343" s="1">
        <v>99.05</v>
      </c>
      <c r="K343" s="1">
        <v>268.35000000000002</v>
      </c>
      <c r="L343" s="1" t="s">
        <v>38</v>
      </c>
      <c r="M343" s="1" t="s">
        <v>27</v>
      </c>
      <c r="N343" s="1" t="s">
        <v>58</v>
      </c>
    </row>
    <row r="344" spans="1:14" x14ac:dyDescent="0.25">
      <c r="A344" s="1" t="s">
        <v>496</v>
      </c>
      <c r="B344" s="1" t="s">
        <v>871</v>
      </c>
      <c r="C344" s="1" t="s">
        <v>23</v>
      </c>
      <c r="D344" s="1" t="s">
        <v>47</v>
      </c>
      <c r="E344" s="1" t="s">
        <v>83</v>
      </c>
      <c r="F344" s="1" t="s">
        <v>52</v>
      </c>
      <c r="G344" s="1">
        <v>24</v>
      </c>
      <c r="H344" s="1">
        <v>34</v>
      </c>
      <c r="I344" s="1">
        <v>816</v>
      </c>
      <c r="J344" s="1">
        <v>42.15</v>
      </c>
      <c r="K344" s="1">
        <v>101.85</v>
      </c>
      <c r="L344" s="1" t="s">
        <v>38</v>
      </c>
      <c r="M344" s="1" t="s">
        <v>20</v>
      </c>
      <c r="N344" s="1" t="s">
        <v>21</v>
      </c>
    </row>
    <row r="345" spans="1:14" x14ac:dyDescent="0.25">
      <c r="A345" s="1" t="s">
        <v>497</v>
      </c>
      <c r="B345" s="1" t="s">
        <v>810</v>
      </c>
      <c r="C345" s="1" t="s">
        <v>149</v>
      </c>
      <c r="D345" s="1" t="s">
        <v>55</v>
      </c>
      <c r="E345" s="1" t="s">
        <v>25</v>
      </c>
      <c r="F345" s="1" t="s">
        <v>18</v>
      </c>
      <c r="G345" s="1">
        <v>41</v>
      </c>
      <c r="H345" s="1">
        <v>30.25</v>
      </c>
      <c r="I345" s="1">
        <v>1240.25</v>
      </c>
      <c r="J345" s="1">
        <v>92.86</v>
      </c>
      <c r="K345" s="1">
        <v>409.39</v>
      </c>
      <c r="L345" s="1" t="s">
        <v>19</v>
      </c>
      <c r="M345" s="1" t="s">
        <v>20</v>
      </c>
      <c r="N345" s="1" t="s">
        <v>58</v>
      </c>
    </row>
    <row r="346" spans="1:14" x14ac:dyDescent="0.25">
      <c r="A346" s="1" t="s">
        <v>498</v>
      </c>
      <c r="B346" s="1" t="s">
        <v>870</v>
      </c>
      <c r="C346" s="1" t="s">
        <v>15</v>
      </c>
      <c r="D346" s="1" t="s">
        <v>86</v>
      </c>
      <c r="E346" s="1" t="s">
        <v>60</v>
      </c>
      <c r="F346" s="1" t="s">
        <v>52</v>
      </c>
      <c r="G346" s="1">
        <v>15</v>
      </c>
      <c r="H346" s="1">
        <v>23.71</v>
      </c>
      <c r="I346" s="1">
        <v>355.65</v>
      </c>
      <c r="J346" s="1">
        <v>7.22</v>
      </c>
      <c r="K346" s="1">
        <v>115.93</v>
      </c>
      <c r="L346" s="1" t="s">
        <v>26</v>
      </c>
      <c r="M346" s="1" t="s">
        <v>27</v>
      </c>
      <c r="N346" s="1" t="s">
        <v>87</v>
      </c>
    </row>
    <row r="347" spans="1:14" x14ac:dyDescent="0.25">
      <c r="A347" s="1" t="s">
        <v>499</v>
      </c>
      <c r="B347" s="1" t="s">
        <v>791</v>
      </c>
      <c r="C347" s="1" t="s">
        <v>123</v>
      </c>
      <c r="D347" s="1" t="s">
        <v>69</v>
      </c>
      <c r="E347" s="1" t="s">
        <v>36</v>
      </c>
      <c r="F347" s="1" t="s">
        <v>37</v>
      </c>
      <c r="G347" s="1">
        <v>33</v>
      </c>
      <c r="H347" s="1">
        <v>48.64</v>
      </c>
      <c r="I347" s="1">
        <v>1605.12</v>
      </c>
      <c r="J347" s="1">
        <v>98.71</v>
      </c>
      <c r="K347" s="1">
        <v>450.41</v>
      </c>
      <c r="L347" s="1" t="s">
        <v>19</v>
      </c>
      <c r="M347" s="1" t="s">
        <v>27</v>
      </c>
      <c r="N347" s="1" t="s">
        <v>58</v>
      </c>
    </row>
    <row r="348" spans="1:14" x14ac:dyDescent="0.25">
      <c r="A348" s="1" t="s">
        <v>500</v>
      </c>
      <c r="B348" s="1" t="s">
        <v>869</v>
      </c>
      <c r="C348" s="1" t="s">
        <v>34</v>
      </c>
      <c r="D348" s="1" t="s">
        <v>151</v>
      </c>
      <c r="E348" s="1" t="s">
        <v>17</v>
      </c>
      <c r="F348" s="1" t="s">
        <v>18</v>
      </c>
      <c r="G348" s="1">
        <v>7</v>
      </c>
      <c r="H348" s="1">
        <v>50.94</v>
      </c>
      <c r="I348" s="1">
        <v>356.58</v>
      </c>
      <c r="J348" s="1">
        <v>11.19</v>
      </c>
      <c r="K348" s="1">
        <v>100.39</v>
      </c>
      <c r="L348" s="1" t="s">
        <v>26</v>
      </c>
      <c r="M348" s="1" t="s">
        <v>20</v>
      </c>
      <c r="N348" s="1" t="s">
        <v>28</v>
      </c>
    </row>
    <row r="349" spans="1:14" x14ac:dyDescent="0.25">
      <c r="A349" s="1" t="s">
        <v>501</v>
      </c>
      <c r="B349" s="1" t="s">
        <v>868</v>
      </c>
      <c r="C349" s="1" t="s">
        <v>204</v>
      </c>
      <c r="D349" s="1" t="s">
        <v>129</v>
      </c>
      <c r="E349" s="1" t="s">
        <v>48</v>
      </c>
      <c r="F349" s="1" t="s">
        <v>37</v>
      </c>
      <c r="G349" s="1">
        <v>1</v>
      </c>
      <c r="H349" s="1">
        <v>31.4</v>
      </c>
      <c r="I349" s="1">
        <v>31.4</v>
      </c>
      <c r="J349" s="1">
        <v>1.1399999999999999</v>
      </c>
      <c r="K349" s="1">
        <v>10.26</v>
      </c>
      <c r="L349" s="1" t="s">
        <v>38</v>
      </c>
      <c r="M349" s="1" t="s">
        <v>27</v>
      </c>
      <c r="N349" s="1" t="s">
        <v>130</v>
      </c>
    </row>
    <row r="350" spans="1:14" x14ac:dyDescent="0.25">
      <c r="A350" s="1" t="s">
        <v>502</v>
      </c>
      <c r="B350" s="1" t="s">
        <v>867</v>
      </c>
      <c r="C350" s="1" t="s">
        <v>199</v>
      </c>
      <c r="D350" s="1" t="s">
        <v>31</v>
      </c>
      <c r="E350" s="1" t="s">
        <v>63</v>
      </c>
      <c r="F350" s="1" t="s">
        <v>37</v>
      </c>
      <c r="G350" s="1">
        <v>28</v>
      </c>
      <c r="H350" s="1">
        <v>18.59</v>
      </c>
      <c r="I350" s="1">
        <v>520.52</v>
      </c>
      <c r="J350" s="1">
        <v>14.08</v>
      </c>
      <c r="K350" s="1">
        <v>149.44</v>
      </c>
      <c r="L350" s="1" t="s">
        <v>19</v>
      </c>
      <c r="M350" s="1" t="s">
        <v>20</v>
      </c>
      <c r="N350" s="1" t="s">
        <v>28</v>
      </c>
    </row>
    <row r="351" spans="1:14" x14ac:dyDescent="0.25">
      <c r="A351" s="1" t="s">
        <v>503</v>
      </c>
      <c r="B351" s="1" t="s">
        <v>866</v>
      </c>
      <c r="C351" s="1" t="s">
        <v>504</v>
      </c>
      <c r="D351" s="1" t="s">
        <v>106</v>
      </c>
      <c r="E351" s="1" t="s">
        <v>60</v>
      </c>
      <c r="F351" s="1" t="s">
        <v>52</v>
      </c>
      <c r="G351" s="1">
        <v>50</v>
      </c>
      <c r="H351" s="1">
        <v>20.66</v>
      </c>
      <c r="I351" s="1">
        <v>1033</v>
      </c>
      <c r="J351" s="1">
        <v>34.130000000000003</v>
      </c>
      <c r="K351" s="1">
        <v>223.87</v>
      </c>
      <c r="L351" s="1" t="s">
        <v>38</v>
      </c>
      <c r="M351" s="1" t="s">
        <v>27</v>
      </c>
      <c r="N351" s="1" t="s">
        <v>28</v>
      </c>
    </row>
    <row r="352" spans="1:14" x14ac:dyDescent="0.25">
      <c r="A352" s="1" t="s">
        <v>505</v>
      </c>
      <c r="B352" s="1" t="s">
        <v>838</v>
      </c>
      <c r="C352" s="1" t="s">
        <v>156</v>
      </c>
      <c r="D352" s="1" t="s">
        <v>55</v>
      </c>
      <c r="E352" s="1" t="s">
        <v>17</v>
      </c>
      <c r="F352" s="1" t="s">
        <v>18</v>
      </c>
      <c r="G352" s="1">
        <v>4</v>
      </c>
      <c r="H352" s="1">
        <v>46.62</v>
      </c>
      <c r="I352" s="1">
        <v>186.48</v>
      </c>
      <c r="J352" s="1">
        <v>13.29</v>
      </c>
      <c r="K352" s="1">
        <v>33.19</v>
      </c>
      <c r="L352" s="1" t="s">
        <v>26</v>
      </c>
      <c r="M352" s="1" t="s">
        <v>20</v>
      </c>
      <c r="N352" s="1" t="s">
        <v>58</v>
      </c>
    </row>
    <row r="353" spans="1:14" x14ac:dyDescent="0.25">
      <c r="A353" s="1" t="s">
        <v>506</v>
      </c>
      <c r="B353" s="1" t="s">
        <v>838</v>
      </c>
      <c r="C353" s="1" t="s">
        <v>465</v>
      </c>
      <c r="D353" s="1" t="s">
        <v>86</v>
      </c>
      <c r="E353" s="1" t="s">
        <v>60</v>
      </c>
      <c r="F353" s="1" t="s">
        <v>52</v>
      </c>
      <c r="G353" s="1">
        <v>37</v>
      </c>
      <c r="H353" s="1">
        <v>21.81</v>
      </c>
      <c r="I353" s="1">
        <v>806.97</v>
      </c>
      <c r="J353" s="1">
        <v>19.63</v>
      </c>
      <c r="K353" s="1">
        <v>213.84</v>
      </c>
      <c r="L353" s="1" t="s">
        <v>38</v>
      </c>
      <c r="M353" s="1" t="s">
        <v>32</v>
      </c>
      <c r="N353" s="1" t="s">
        <v>87</v>
      </c>
    </row>
    <row r="354" spans="1:14" x14ac:dyDescent="0.25">
      <c r="A354" s="1" t="s">
        <v>507</v>
      </c>
      <c r="B354" s="1" t="s">
        <v>865</v>
      </c>
      <c r="C354" s="1" t="s">
        <v>135</v>
      </c>
      <c r="D354" s="1" t="s">
        <v>55</v>
      </c>
      <c r="E354" s="1" t="s">
        <v>60</v>
      </c>
      <c r="F354" s="1" t="s">
        <v>52</v>
      </c>
      <c r="G354" s="1">
        <v>48</v>
      </c>
      <c r="H354" s="1">
        <v>26.68</v>
      </c>
      <c r="I354" s="1">
        <v>1280.6400000000001</v>
      </c>
      <c r="J354" s="1">
        <v>55.36</v>
      </c>
      <c r="K354" s="1">
        <v>481.28</v>
      </c>
      <c r="L354" s="1" t="s">
        <v>19</v>
      </c>
      <c r="M354" s="1" t="s">
        <v>27</v>
      </c>
      <c r="N354" s="1" t="s">
        <v>58</v>
      </c>
    </row>
    <row r="355" spans="1:14" x14ac:dyDescent="0.25">
      <c r="A355" s="1" t="s">
        <v>508</v>
      </c>
      <c r="B355" s="1" t="s">
        <v>864</v>
      </c>
      <c r="C355" s="1" t="s">
        <v>119</v>
      </c>
      <c r="D355" s="1" t="s">
        <v>35</v>
      </c>
      <c r="E355" s="1" t="s">
        <v>56</v>
      </c>
      <c r="F355" s="1" t="s">
        <v>57</v>
      </c>
      <c r="G355" s="1">
        <v>24</v>
      </c>
      <c r="H355" s="1">
        <v>42.82</v>
      </c>
      <c r="I355" s="1">
        <v>1027.68</v>
      </c>
      <c r="J355" s="1">
        <v>69.95</v>
      </c>
      <c r="K355" s="1">
        <v>357.73</v>
      </c>
      <c r="L355" s="1" t="s">
        <v>19</v>
      </c>
      <c r="M355" s="1" t="s">
        <v>20</v>
      </c>
      <c r="N355" s="1" t="s">
        <v>39</v>
      </c>
    </row>
    <row r="356" spans="1:14" x14ac:dyDescent="0.25">
      <c r="A356" s="1" t="s">
        <v>509</v>
      </c>
      <c r="B356" s="1" t="s">
        <v>863</v>
      </c>
      <c r="C356" s="1" t="s">
        <v>121</v>
      </c>
      <c r="D356" s="1" t="s">
        <v>129</v>
      </c>
      <c r="E356" s="1" t="s">
        <v>51</v>
      </c>
      <c r="F356" s="1" t="s">
        <v>52</v>
      </c>
      <c r="G356" s="1">
        <v>26</v>
      </c>
      <c r="H356" s="1">
        <v>34.4</v>
      </c>
      <c r="I356" s="1">
        <v>894.4</v>
      </c>
      <c r="J356" s="1">
        <v>40.42</v>
      </c>
      <c r="K356" s="1">
        <v>268.98</v>
      </c>
      <c r="L356" s="1" t="s">
        <v>19</v>
      </c>
      <c r="M356" s="1" t="s">
        <v>20</v>
      </c>
      <c r="N356" s="1" t="s">
        <v>130</v>
      </c>
    </row>
    <row r="357" spans="1:14" x14ac:dyDescent="0.25">
      <c r="A357" s="1" t="s">
        <v>510</v>
      </c>
      <c r="B357" s="1" t="s">
        <v>827</v>
      </c>
      <c r="C357" s="1" t="s">
        <v>202</v>
      </c>
      <c r="D357" s="1" t="s">
        <v>31</v>
      </c>
      <c r="E357" s="1" t="s">
        <v>17</v>
      </c>
      <c r="F357" s="1" t="s">
        <v>18</v>
      </c>
      <c r="G357" s="1">
        <v>47</v>
      </c>
      <c r="H357" s="1">
        <v>44.89</v>
      </c>
      <c r="I357" s="1">
        <v>2109.83</v>
      </c>
      <c r="J357" s="1">
        <v>45.91</v>
      </c>
      <c r="K357" s="1">
        <v>418.92</v>
      </c>
      <c r="L357" s="1" t="s">
        <v>19</v>
      </c>
      <c r="M357" s="1" t="s">
        <v>27</v>
      </c>
      <c r="N357" s="1" t="s">
        <v>28</v>
      </c>
    </row>
    <row r="358" spans="1:14" x14ac:dyDescent="0.25">
      <c r="A358" s="1" t="s">
        <v>511</v>
      </c>
      <c r="B358" s="1" t="s">
        <v>862</v>
      </c>
      <c r="C358" s="1" t="s">
        <v>179</v>
      </c>
      <c r="D358" s="1" t="s">
        <v>55</v>
      </c>
      <c r="E358" s="1" t="s">
        <v>60</v>
      </c>
      <c r="F358" s="1" t="s">
        <v>52</v>
      </c>
      <c r="G358" s="1">
        <v>1</v>
      </c>
      <c r="H358" s="1">
        <v>18.739999999999998</v>
      </c>
      <c r="I358" s="1">
        <v>18.739999999999998</v>
      </c>
      <c r="J358" s="1">
        <v>0.5</v>
      </c>
      <c r="K358" s="1">
        <v>2.74</v>
      </c>
      <c r="L358" s="1" t="s">
        <v>38</v>
      </c>
      <c r="M358" s="1" t="s">
        <v>27</v>
      </c>
      <c r="N358" s="1" t="s">
        <v>58</v>
      </c>
    </row>
    <row r="359" spans="1:14" x14ac:dyDescent="0.25">
      <c r="A359" s="1" t="s">
        <v>512</v>
      </c>
      <c r="B359" s="1" t="s">
        <v>861</v>
      </c>
      <c r="C359" s="1" t="s">
        <v>170</v>
      </c>
      <c r="D359" s="1" t="s">
        <v>69</v>
      </c>
      <c r="E359" s="1" t="s">
        <v>51</v>
      </c>
      <c r="F359" s="1" t="s">
        <v>52</v>
      </c>
      <c r="G359" s="1">
        <v>27</v>
      </c>
      <c r="H359" s="1">
        <v>36.270000000000003</v>
      </c>
      <c r="I359" s="1">
        <v>979.29</v>
      </c>
      <c r="J359" s="1">
        <v>54.58</v>
      </c>
      <c r="K359" s="1">
        <v>317.20999999999998</v>
      </c>
      <c r="L359" s="1" t="s">
        <v>26</v>
      </c>
      <c r="M359" s="1" t="s">
        <v>27</v>
      </c>
      <c r="N359" s="1" t="s">
        <v>58</v>
      </c>
    </row>
    <row r="360" spans="1:14" x14ac:dyDescent="0.25">
      <c r="A360" s="1" t="s">
        <v>513</v>
      </c>
      <c r="B360" s="1" t="s">
        <v>860</v>
      </c>
      <c r="C360" s="1" t="s">
        <v>93</v>
      </c>
      <c r="D360" s="1" t="s">
        <v>151</v>
      </c>
      <c r="E360" s="1" t="s">
        <v>63</v>
      </c>
      <c r="F360" s="1" t="s">
        <v>37</v>
      </c>
      <c r="G360" s="1">
        <v>13</v>
      </c>
      <c r="H360" s="1">
        <v>18.82</v>
      </c>
      <c r="I360" s="1">
        <v>244.66</v>
      </c>
      <c r="J360" s="1">
        <v>6.49</v>
      </c>
      <c r="K360" s="1">
        <v>72.42</v>
      </c>
      <c r="L360" s="1" t="s">
        <v>38</v>
      </c>
      <c r="M360" s="1" t="s">
        <v>27</v>
      </c>
      <c r="N360" s="1" t="s">
        <v>28</v>
      </c>
    </row>
    <row r="361" spans="1:14" x14ac:dyDescent="0.25">
      <c r="A361" s="1" t="s">
        <v>514</v>
      </c>
      <c r="B361" s="1" t="s">
        <v>859</v>
      </c>
      <c r="C361" s="1" t="s">
        <v>342</v>
      </c>
      <c r="D361" s="1" t="s">
        <v>129</v>
      </c>
      <c r="E361" s="1" t="s">
        <v>83</v>
      </c>
      <c r="F361" s="1" t="s">
        <v>52</v>
      </c>
      <c r="G361" s="1">
        <v>41</v>
      </c>
      <c r="H361" s="1">
        <v>43.19</v>
      </c>
      <c r="I361" s="1">
        <v>1770.79</v>
      </c>
      <c r="J361" s="1">
        <v>83.28</v>
      </c>
      <c r="K361" s="1">
        <v>539.51</v>
      </c>
      <c r="L361" s="1" t="s">
        <v>26</v>
      </c>
      <c r="M361" s="1" t="s">
        <v>20</v>
      </c>
      <c r="N361" s="1" t="s">
        <v>130</v>
      </c>
    </row>
    <row r="362" spans="1:14" x14ac:dyDescent="0.25">
      <c r="A362" s="1" t="s">
        <v>515</v>
      </c>
      <c r="B362" s="1" t="s">
        <v>858</v>
      </c>
      <c r="C362" s="1" t="s">
        <v>65</v>
      </c>
      <c r="D362" s="1" t="s">
        <v>55</v>
      </c>
      <c r="E362" s="1" t="s">
        <v>83</v>
      </c>
      <c r="F362" s="1" t="s">
        <v>52</v>
      </c>
      <c r="G362" s="1">
        <v>40</v>
      </c>
      <c r="H362" s="1">
        <v>42.31</v>
      </c>
      <c r="I362" s="1">
        <v>1692.4</v>
      </c>
      <c r="J362" s="1">
        <v>118.59</v>
      </c>
      <c r="K362" s="1">
        <v>453.81</v>
      </c>
      <c r="L362" s="1" t="s">
        <v>26</v>
      </c>
      <c r="M362" s="1" t="s">
        <v>32</v>
      </c>
      <c r="N362" s="1" t="s">
        <v>58</v>
      </c>
    </row>
    <row r="363" spans="1:14" x14ac:dyDescent="0.25">
      <c r="A363" s="1" t="s">
        <v>516</v>
      </c>
      <c r="B363" s="1" t="s">
        <v>857</v>
      </c>
      <c r="C363" s="1" t="s">
        <v>276</v>
      </c>
      <c r="D363" s="1" t="s">
        <v>177</v>
      </c>
      <c r="E363" s="1" t="s">
        <v>36</v>
      </c>
      <c r="F363" s="1" t="s">
        <v>37</v>
      </c>
      <c r="G363" s="1">
        <v>1</v>
      </c>
      <c r="H363" s="1">
        <v>57.15</v>
      </c>
      <c r="I363" s="1">
        <v>57.15</v>
      </c>
      <c r="J363" s="1">
        <v>4.1100000000000003</v>
      </c>
      <c r="K363" s="1">
        <v>21.04</v>
      </c>
      <c r="L363" s="1" t="s">
        <v>26</v>
      </c>
      <c r="M363" s="1" t="s">
        <v>20</v>
      </c>
      <c r="N363" s="1" t="s">
        <v>58</v>
      </c>
    </row>
    <row r="364" spans="1:14" x14ac:dyDescent="0.25">
      <c r="A364" s="1" t="s">
        <v>517</v>
      </c>
      <c r="B364" s="1" t="s">
        <v>856</v>
      </c>
      <c r="C364" s="1" t="s">
        <v>168</v>
      </c>
      <c r="D364" s="1" t="s">
        <v>42</v>
      </c>
      <c r="E364" s="1" t="s">
        <v>48</v>
      </c>
      <c r="F364" s="1" t="s">
        <v>37</v>
      </c>
      <c r="G364" s="1">
        <v>15</v>
      </c>
      <c r="H364" s="1">
        <v>30.03</v>
      </c>
      <c r="I364" s="1">
        <v>450.45</v>
      </c>
      <c r="J364" s="1">
        <v>29.99</v>
      </c>
      <c r="K364" s="1">
        <v>120.46</v>
      </c>
      <c r="L364" s="1" t="s">
        <v>38</v>
      </c>
      <c r="M364" s="1" t="s">
        <v>27</v>
      </c>
      <c r="N364" s="1" t="s">
        <v>21</v>
      </c>
    </row>
    <row r="365" spans="1:14" x14ac:dyDescent="0.25">
      <c r="A365" s="1" t="s">
        <v>518</v>
      </c>
      <c r="B365" s="1" t="s">
        <v>855</v>
      </c>
      <c r="C365" s="1" t="s">
        <v>161</v>
      </c>
      <c r="D365" s="1" t="s">
        <v>35</v>
      </c>
      <c r="E365" s="1" t="s">
        <v>48</v>
      </c>
      <c r="F365" s="1" t="s">
        <v>37</v>
      </c>
      <c r="G365" s="1">
        <v>48</v>
      </c>
      <c r="H365" s="1">
        <v>30.91</v>
      </c>
      <c r="I365" s="1">
        <v>1483.68</v>
      </c>
      <c r="J365" s="1">
        <v>85.5</v>
      </c>
      <c r="K365" s="1">
        <v>438.18</v>
      </c>
      <c r="L365" s="1" t="s">
        <v>19</v>
      </c>
      <c r="M365" s="1" t="s">
        <v>27</v>
      </c>
      <c r="N365" s="1" t="s">
        <v>39</v>
      </c>
    </row>
    <row r="366" spans="1:14" x14ac:dyDescent="0.25">
      <c r="A366" s="1" t="s">
        <v>519</v>
      </c>
      <c r="B366" s="1" t="s">
        <v>798</v>
      </c>
      <c r="C366" s="1" t="s">
        <v>323</v>
      </c>
      <c r="D366" s="1" t="s">
        <v>47</v>
      </c>
      <c r="E366" s="1" t="s">
        <v>51</v>
      </c>
      <c r="F366" s="1" t="s">
        <v>52</v>
      </c>
      <c r="G366" s="1">
        <v>8</v>
      </c>
      <c r="H366" s="1">
        <v>32.19</v>
      </c>
      <c r="I366" s="1">
        <v>257.52</v>
      </c>
      <c r="J366" s="1">
        <v>11.85</v>
      </c>
      <c r="K366" s="1">
        <v>65.67</v>
      </c>
      <c r="L366" s="1" t="s">
        <v>19</v>
      </c>
      <c r="M366" s="1" t="s">
        <v>20</v>
      </c>
      <c r="N366" s="1" t="s">
        <v>21</v>
      </c>
    </row>
    <row r="367" spans="1:14" x14ac:dyDescent="0.25">
      <c r="A367" s="1" t="s">
        <v>520</v>
      </c>
      <c r="B367" s="1" t="s">
        <v>854</v>
      </c>
      <c r="C367" s="1" t="s">
        <v>147</v>
      </c>
      <c r="D367" s="1" t="s">
        <v>74</v>
      </c>
      <c r="E367" s="1" t="s">
        <v>43</v>
      </c>
      <c r="F367" s="1" t="s">
        <v>44</v>
      </c>
      <c r="G367" s="1">
        <v>22</v>
      </c>
      <c r="H367" s="1">
        <v>60.75</v>
      </c>
      <c r="I367" s="1">
        <v>1336.5</v>
      </c>
      <c r="J367" s="1">
        <v>38.340000000000003</v>
      </c>
      <c r="K367" s="1">
        <v>418.16</v>
      </c>
      <c r="L367" s="1" t="s">
        <v>19</v>
      </c>
      <c r="M367" s="1" t="s">
        <v>27</v>
      </c>
      <c r="N367" s="1" t="s">
        <v>58</v>
      </c>
    </row>
    <row r="368" spans="1:14" x14ac:dyDescent="0.25">
      <c r="A368" s="1" t="s">
        <v>521</v>
      </c>
      <c r="B368" s="1" t="s">
        <v>779</v>
      </c>
      <c r="C368" s="1" t="s">
        <v>119</v>
      </c>
      <c r="D368" s="1" t="s">
        <v>31</v>
      </c>
      <c r="E368" s="1" t="s">
        <v>43</v>
      </c>
      <c r="F368" s="1" t="s">
        <v>44</v>
      </c>
      <c r="G368" s="1">
        <v>38</v>
      </c>
      <c r="H368" s="1">
        <v>66.06</v>
      </c>
      <c r="I368" s="1">
        <v>2510.2800000000002</v>
      </c>
      <c r="J368" s="1">
        <v>50.37</v>
      </c>
      <c r="K368" s="1">
        <v>939.91</v>
      </c>
      <c r="L368" s="1" t="s">
        <v>19</v>
      </c>
      <c r="M368" s="1" t="s">
        <v>20</v>
      </c>
      <c r="N368" s="1" t="s">
        <v>28</v>
      </c>
    </row>
    <row r="369" spans="1:14" x14ac:dyDescent="0.25">
      <c r="A369" s="1" t="s">
        <v>522</v>
      </c>
      <c r="B369" s="1" t="s">
        <v>853</v>
      </c>
      <c r="C369" s="1" t="s">
        <v>97</v>
      </c>
      <c r="D369" s="1" t="s">
        <v>16</v>
      </c>
      <c r="E369" s="1" t="s">
        <v>17</v>
      </c>
      <c r="F369" s="1" t="s">
        <v>18</v>
      </c>
      <c r="G369" s="1">
        <v>33</v>
      </c>
      <c r="H369" s="1">
        <v>50.88</v>
      </c>
      <c r="I369" s="1">
        <v>1679.04</v>
      </c>
      <c r="J369" s="1">
        <v>61.48</v>
      </c>
      <c r="K369" s="1">
        <v>462.56</v>
      </c>
      <c r="L369" s="1" t="s">
        <v>19</v>
      </c>
      <c r="M369" s="1" t="s">
        <v>27</v>
      </c>
      <c r="N369" s="1" t="s">
        <v>21</v>
      </c>
    </row>
    <row r="370" spans="1:14" x14ac:dyDescent="0.25">
      <c r="A370" s="1" t="s">
        <v>523</v>
      </c>
      <c r="B370" s="1" t="s">
        <v>733</v>
      </c>
      <c r="C370" s="1" t="s">
        <v>261</v>
      </c>
      <c r="D370" s="1" t="s">
        <v>55</v>
      </c>
      <c r="E370" s="1" t="s">
        <v>83</v>
      </c>
      <c r="F370" s="1" t="s">
        <v>52</v>
      </c>
      <c r="G370" s="1">
        <v>49</v>
      </c>
      <c r="H370" s="1">
        <v>34.479999999999997</v>
      </c>
      <c r="I370" s="1">
        <v>1689.52</v>
      </c>
      <c r="J370" s="1">
        <v>53.06</v>
      </c>
      <c r="K370" s="1">
        <v>264.45999999999998</v>
      </c>
      <c r="L370" s="1" t="s">
        <v>38</v>
      </c>
      <c r="M370" s="1" t="s">
        <v>32</v>
      </c>
      <c r="N370" s="1" t="s">
        <v>58</v>
      </c>
    </row>
    <row r="371" spans="1:14" x14ac:dyDescent="0.25">
      <c r="A371" s="1" t="s">
        <v>524</v>
      </c>
      <c r="B371" s="1" t="s">
        <v>852</v>
      </c>
      <c r="C371" s="1" t="s">
        <v>168</v>
      </c>
      <c r="D371" s="1" t="s">
        <v>77</v>
      </c>
      <c r="E371" s="1" t="s">
        <v>48</v>
      </c>
      <c r="F371" s="1" t="s">
        <v>37</v>
      </c>
      <c r="G371" s="1">
        <v>31</v>
      </c>
      <c r="H371" s="1">
        <v>25.43</v>
      </c>
      <c r="I371" s="1">
        <v>788.33</v>
      </c>
      <c r="J371" s="1">
        <v>57.81</v>
      </c>
      <c r="K371" s="1">
        <v>110.52</v>
      </c>
      <c r="L371" s="1" t="s">
        <v>19</v>
      </c>
      <c r="M371" s="1" t="s">
        <v>27</v>
      </c>
      <c r="N371" s="1" t="s">
        <v>58</v>
      </c>
    </row>
    <row r="372" spans="1:14" x14ac:dyDescent="0.25">
      <c r="A372" s="1" t="s">
        <v>525</v>
      </c>
      <c r="B372" s="1" t="s">
        <v>851</v>
      </c>
      <c r="C372" s="1" t="s">
        <v>226</v>
      </c>
      <c r="D372" s="1" t="s">
        <v>151</v>
      </c>
      <c r="E372" s="1" t="s">
        <v>48</v>
      </c>
      <c r="F372" s="1" t="s">
        <v>37</v>
      </c>
      <c r="G372" s="1">
        <v>29</v>
      </c>
      <c r="H372" s="1">
        <v>31.68</v>
      </c>
      <c r="I372" s="1">
        <v>918.72</v>
      </c>
      <c r="J372" s="1">
        <v>22.22</v>
      </c>
      <c r="K372" s="1">
        <v>316.5</v>
      </c>
      <c r="L372" s="1" t="s">
        <v>38</v>
      </c>
      <c r="M372" s="1" t="s">
        <v>20</v>
      </c>
      <c r="N372" s="1" t="s">
        <v>28</v>
      </c>
    </row>
    <row r="373" spans="1:14" x14ac:dyDescent="0.25">
      <c r="A373" s="1" t="s">
        <v>526</v>
      </c>
      <c r="B373" s="1" t="s">
        <v>850</v>
      </c>
      <c r="C373" s="1" t="s">
        <v>354</v>
      </c>
      <c r="D373" s="1" t="s">
        <v>69</v>
      </c>
      <c r="E373" s="1" t="s">
        <v>83</v>
      </c>
      <c r="F373" s="1" t="s">
        <v>52</v>
      </c>
      <c r="G373" s="1">
        <v>42</v>
      </c>
      <c r="H373" s="1">
        <v>33.89</v>
      </c>
      <c r="I373" s="1">
        <v>1423.38</v>
      </c>
      <c r="J373" s="1">
        <v>85.4</v>
      </c>
      <c r="K373" s="1">
        <v>161.97999999999999</v>
      </c>
      <c r="L373" s="1" t="s">
        <v>38</v>
      </c>
      <c r="M373" s="1" t="s">
        <v>20</v>
      </c>
      <c r="N373" s="1" t="s">
        <v>58</v>
      </c>
    </row>
    <row r="374" spans="1:14" x14ac:dyDescent="0.25">
      <c r="A374" s="1" t="s">
        <v>527</v>
      </c>
      <c r="B374" s="1" t="s">
        <v>849</v>
      </c>
      <c r="C374" s="1" t="s">
        <v>50</v>
      </c>
      <c r="D374" s="1" t="s">
        <v>69</v>
      </c>
      <c r="E374" s="1" t="s">
        <v>25</v>
      </c>
      <c r="F374" s="1" t="s">
        <v>18</v>
      </c>
      <c r="G374" s="1">
        <v>13</v>
      </c>
      <c r="H374" s="1">
        <v>21.75</v>
      </c>
      <c r="I374" s="1">
        <v>282.75</v>
      </c>
      <c r="J374" s="1">
        <v>12.5</v>
      </c>
      <c r="K374" s="1">
        <v>36.25</v>
      </c>
      <c r="L374" s="1" t="s">
        <v>38</v>
      </c>
      <c r="M374" s="1" t="s">
        <v>27</v>
      </c>
      <c r="N374" s="1" t="s">
        <v>58</v>
      </c>
    </row>
    <row r="375" spans="1:14" x14ac:dyDescent="0.25">
      <c r="A375" s="1" t="s">
        <v>528</v>
      </c>
      <c r="B375" s="1" t="s">
        <v>848</v>
      </c>
      <c r="C375" s="1" t="s">
        <v>100</v>
      </c>
      <c r="D375" s="1" t="s">
        <v>77</v>
      </c>
      <c r="E375" s="1" t="s">
        <v>51</v>
      </c>
      <c r="F375" s="1" t="s">
        <v>52</v>
      </c>
      <c r="G375" s="1">
        <v>25</v>
      </c>
      <c r="H375" s="1">
        <v>37.58</v>
      </c>
      <c r="I375" s="1">
        <v>939.5</v>
      </c>
      <c r="J375" s="1">
        <v>48.44</v>
      </c>
      <c r="K375" s="1">
        <v>328.56</v>
      </c>
      <c r="L375" s="1" t="s">
        <v>38</v>
      </c>
      <c r="M375" s="1" t="s">
        <v>32</v>
      </c>
      <c r="N375" s="1" t="s">
        <v>58</v>
      </c>
    </row>
    <row r="376" spans="1:14" x14ac:dyDescent="0.25">
      <c r="A376" s="1" t="s">
        <v>529</v>
      </c>
      <c r="B376" s="1" t="s">
        <v>847</v>
      </c>
      <c r="C376" s="1" t="s">
        <v>303</v>
      </c>
      <c r="D376" s="1" t="s">
        <v>151</v>
      </c>
      <c r="E376" s="1" t="s">
        <v>48</v>
      </c>
      <c r="F376" s="1" t="s">
        <v>37</v>
      </c>
      <c r="G376" s="1">
        <v>16</v>
      </c>
      <c r="H376" s="1">
        <v>25.25</v>
      </c>
      <c r="I376" s="1">
        <v>404</v>
      </c>
      <c r="J376" s="1">
        <v>18.75</v>
      </c>
      <c r="K376" s="1">
        <v>65.25</v>
      </c>
      <c r="L376" s="1" t="s">
        <v>26</v>
      </c>
      <c r="M376" s="1" t="s">
        <v>32</v>
      </c>
      <c r="N376" s="1" t="s">
        <v>28</v>
      </c>
    </row>
    <row r="377" spans="1:14" x14ac:dyDescent="0.25">
      <c r="A377" s="1" t="s">
        <v>530</v>
      </c>
      <c r="B377" s="1" t="s">
        <v>846</v>
      </c>
      <c r="C377" s="1" t="s">
        <v>240</v>
      </c>
      <c r="D377" s="1" t="s">
        <v>77</v>
      </c>
      <c r="E377" s="1" t="s">
        <v>60</v>
      </c>
      <c r="F377" s="1" t="s">
        <v>52</v>
      </c>
      <c r="G377" s="1">
        <v>37</v>
      </c>
      <c r="H377" s="1">
        <v>25.85</v>
      </c>
      <c r="I377" s="1">
        <v>956.45</v>
      </c>
      <c r="J377" s="1">
        <v>31.7</v>
      </c>
      <c r="K377" s="1">
        <v>351.25</v>
      </c>
      <c r="L377" s="1" t="s">
        <v>38</v>
      </c>
      <c r="M377" s="1" t="s">
        <v>32</v>
      </c>
      <c r="N377" s="1" t="s">
        <v>58</v>
      </c>
    </row>
    <row r="378" spans="1:14" x14ac:dyDescent="0.25">
      <c r="A378" s="1" t="s">
        <v>531</v>
      </c>
      <c r="B378" s="1" t="s">
        <v>845</v>
      </c>
      <c r="C378" s="1" t="s">
        <v>54</v>
      </c>
      <c r="D378" s="1" t="s">
        <v>69</v>
      </c>
      <c r="E378" s="1" t="s">
        <v>48</v>
      </c>
      <c r="F378" s="1" t="s">
        <v>37</v>
      </c>
      <c r="G378" s="1">
        <v>1</v>
      </c>
      <c r="H378" s="1">
        <v>25.72</v>
      </c>
      <c r="I378" s="1">
        <v>25.72</v>
      </c>
      <c r="J378" s="1">
        <v>2.04</v>
      </c>
      <c r="K378" s="1">
        <v>3.68</v>
      </c>
      <c r="L378" s="1" t="s">
        <v>38</v>
      </c>
      <c r="M378" s="1" t="s">
        <v>32</v>
      </c>
      <c r="N378" s="1" t="s">
        <v>58</v>
      </c>
    </row>
    <row r="379" spans="1:14" x14ac:dyDescent="0.25">
      <c r="A379" s="1" t="s">
        <v>532</v>
      </c>
      <c r="B379" s="1" t="s">
        <v>844</v>
      </c>
      <c r="C379" s="1" t="s">
        <v>342</v>
      </c>
      <c r="D379" s="1" t="s">
        <v>69</v>
      </c>
      <c r="E379" s="1" t="s">
        <v>83</v>
      </c>
      <c r="F379" s="1" t="s">
        <v>52</v>
      </c>
      <c r="G379" s="1">
        <v>48</v>
      </c>
      <c r="H379" s="1">
        <v>47.05</v>
      </c>
      <c r="I379" s="1">
        <v>2258.4</v>
      </c>
      <c r="J379" s="1">
        <v>179.44</v>
      </c>
      <c r="K379" s="1">
        <v>734.96</v>
      </c>
      <c r="L379" s="1" t="s">
        <v>26</v>
      </c>
      <c r="M379" s="1" t="s">
        <v>27</v>
      </c>
      <c r="N379" s="1" t="s">
        <v>58</v>
      </c>
    </row>
    <row r="380" spans="1:14" x14ac:dyDescent="0.25">
      <c r="A380" s="1" t="s">
        <v>533</v>
      </c>
      <c r="B380" s="1" t="s">
        <v>843</v>
      </c>
      <c r="C380" s="1" t="s">
        <v>123</v>
      </c>
      <c r="D380" s="1" t="s">
        <v>35</v>
      </c>
      <c r="E380" s="1" t="s">
        <v>48</v>
      </c>
      <c r="F380" s="1" t="s">
        <v>37</v>
      </c>
      <c r="G380" s="1">
        <v>48</v>
      </c>
      <c r="H380" s="1">
        <v>29.94</v>
      </c>
      <c r="I380" s="1">
        <v>1437.12</v>
      </c>
      <c r="J380" s="1">
        <v>30.14</v>
      </c>
      <c r="K380" s="1">
        <v>446.98</v>
      </c>
      <c r="L380" s="1" t="s">
        <v>26</v>
      </c>
      <c r="M380" s="1" t="s">
        <v>27</v>
      </c>
      <c r="N380" s="1" t="s">
        <v>39</v>
      </c>
    </row>
    <row r="381" spans="1:14" x14ac:dyDescent="0.25">
      <c r="A381" s="1" t="s">
        <v>534</v>
      </c>
      <c r="B381" s="1" t="s">
        <v>842</v>
      </c>
      <c r="C381" s="1" t="s">
        <v>371</v>
      </c>
      <c r="D381" s="1" t="s">
        <v>31</v>
      </c>
      <c r="E381" s="1" t="s">
        <v>51</v>
      </c>
      <c r="F381" s="1" t="s">
        <v>52</v>
      </c>
      <c r="G381" s="1">
        <v>12</v>
      </c>
      <c r="H381" s="1">
        <v>35.68</v>
      </c>
      <c r="I381" s="1">
        <v>428.16</v>
      </c>
      <c r="J381" s="1">
        <v>13.07</v>
      </c>
      <c r="K381" s="1">
        <v>145.09</v>
      </c>
      <c r="L381" s="1" t="s">
        <v>26</v>
      </c>
      <c r="M381" s="1" t="s">
        <v>32</v>
      </c>
      <c r="N381" s="1" t="s">
        <v>28</v>
      </c>
    </row>
    <row r="382" spans="1:14" x14ac:dyDescent="0.25">
      <c r="A382" s="1" t="s">
        <v>535</v>
      </c>
      <c r="B382" s="1" t="s">
        <v>750</v>
      </c>
      <c r="C382" s="1" t="s">
        <v>286</v>
      </c>
      <c r="D382" s="1" t="s">
        <v>16</v>
      </c>
      <c r="E382" s="1" t="s">
        <v>36</v>
      </c>
      <c r="F382" s="1" t="s">
        <v>37</v>
      </c>
      <c r="G382" s="1">
        <v>30</v>
      </c>
      <c r="H382" s="1">
        <v>49.32</v>
      </c>
      <c r="I382" s="1">
        <v>1479.6</v>
      </c>
      <c r="J382" s="1">
        <v>105.97</v>
      </c>
      <c r="K382" s="1">
        <v>413.63</v>
      </c>
      <c r="L382" s="1" t="s">
        <v>26</v>
      </c>
      <c r="M382" s="1" t="s">
        <v>27</v>
      </c>
      <c r="N382" s="1" t="s">
        <v>21</v>
      </c>
    </row>
    <row r="383" spans="1:14" x14ac:dyDescent="0.25">
      <c r="A383" s="1" t="s">
        <v>536</v>
      </c>
      <c r="B383" s="1" t="s">
        <v>841</v>
      </c>
      <c r="C383" s="1" t="s">
        <v>300</v>
      </c>
      <c r="D383" s="1" t="s">
        <v>106</v>
      </c>
      <c r="E383" s="1" t="s">
        <v>83</v>
      </c>
      <c r="F383" s="1" t="s">
        <v>52</v>
      </c>
      <c r="G383" s="1">
        <v>27</v>
      </c>
      <c r="H383" s="1">
        <v>37.68</v>
      </c>
      <c r="I383" s="1">
        <v>1017.36</v>
      </c>
      <c r="J383" s="1">
        <v>80.739999999999995</v>
      </c>
      <c r="K383" s="1">
        <v>180.62</v>
      </c>
      <c r="L383" s="1" t="s">
        <v>38</v>
      </c>
      <c r="M383" s="1" t="s">
        <v>20</v>
      </c>
      <c r="N383" s="1" t="s">
        <v>28</v>
      </c>
    </row>
    <row r="384" spans="1:14" x14ac:dyDescent="0.25">
      <c r="A384" s="1" t="s">
        <v>537</v>
      </c>
      <c r="B384" s="1" t="s">
        <v>840</v>
      </c>
      <c r="C384" s="1" t="s">
        <v>173</v>
      </c>
      <c r="D384" s="1" t="s">
        <v>31</v>
      </c>
      <c r="E384" s="1" t="s">
        <v>56</v>
      </c>
      <c r="F384" s="1" t="s">
        <v>57</v>
      </c>
      <c r="G384" s="1">
        <v>39</v>
      </c>
      <c r="H384" s="1">
        <v>36.340000000000003</v>
      </c>
      <c r="I384" s="1">
        <v>1417.26</v>
      </c>
      <c r="J384" s="1">
        <v>67</v>
      </c>
      <c r="K384" s="1">
        <v>375.26</v>
      </c>
      <c r="L384" s="1" t="s">
        <v>38</v>
      </c>
      <c r="M384" s="1" t="s">
        <v>27</v>
      </c>
      <c r="N384" s="1" t="s">
        <v>28</v>
      </c>
    </row>
    <row r="385" spans="1:14" x14ac:dyDescent="0.25">
      <c r="A385" s="1" t="s">
        <v>538</v>
      </c>
      <c r="B385" s="1" t="s">
        <v>839</v>
      </c>
      <c r="C385" s="1" t="s">
        <v>54</v>
      </c>
      <c r="D385" s="1" t="s">
        <v>55</v>
      </c>
      <c r="E385" s="1" t="s">
        <v>60</v>
      </c>
      <c r="F385" s="1" t="s">
        <v>52</v>
      </c>
      <c r="G385" s="1">
        <v>16</v>
      </c>
      <c r="H385" s="1">
        <v>24.33</v>
      </c>
      <c r="I385" s="1">
        <v>389.28</v>
      </c>
      <c r="J385" s="1">
        <v>22.33</v>
      </c>
      <c r="K385" s="1">
        <v>118.95</v>
      </c>
      <c r="L385" s="1" t="s">
        <v>19</v>
      </c>
      <c r="M385" s="1" t="s">
        <v>32</v>
      </c>
      <c r="N385" s="1" t="s">
        <v>58</v>
      </c>
    </row>
    <row r="386" spans="1:14" x14ac:dyDescent="0.25">
      <c r="A386" s="1" t="s">
        <v>539</v>
      </c>
      <c r="B386" s="1" t="s">
        <v>838</v>
      </c>
      <c r="C386" s="1" t="s">
        <v>300</v>
      </c>
      <c r="D386" s="1" t="s">
        <v>74</v>
      </c>
      <c r="E386" s="1" t="s">
        <v>60</v>
      </c>
      <c r="F386" s="1" t="s">
        <v>52</v>
      </c>
      <c r="G386" s="1">
        <v>40</v>
      </c>
      <c r="H386" s="1">
        <v>22.28</v>
      </c>
      <c r="I386" s="1">
        <v>891.2</v>
      </c>
      <c r="J386" s="1">
        <v>32.729999999999997</v>
      </c>
      <c r="K386" s="1">
        <v>238.47</v>
      </c>
      <c r="L386" s="1" t="s">
        <v>19</v>
      </c>
      <c r="M386" s="1" t="s">
        <v>27</v>
      </c>
      <c r="N386" s="1" t="s">
        <v>58</v>
      </c>
    </row>
    <row r="387" spans="1:14" x14ac:dyDescent="0.25">
      <c r="A387" s="1" t="s">
        <v>540</v>
      </c>
      <c r="B387" s="1" t="s">
        <v>837</v>
      </c>
      <c r="C387" s="1" t="s">
        <v>105</v>
      </c>
      <c r="D387" s="1" t="s">
        <v>77</v>
      </c>
      <c r="E387" s="1" t="s">
        <v>63</v>
      </c>
      <c r="F387" s="1" t="s">
        <v>37</v>
      </c>
      <c r="G387" s="1">
        <v>45</v>
      </c>
      <c r="H387" s="1">
        <v>21.71</v>
      </c>
      <c r="I387" s="1">
        <v>976.95</v>
      </c>
      <c r="J387" s="1">
        <v>51.6</v>
      </c>
      <c r="K387" s="1">
        <v>351.6</v>
      </c>
      <c r="L387" s="1" t="s">
        <v>19</v>
      </c>
      <c r="M387" s="1" t="s">
        <v>20</v>
      </c>
      <c r="N387" s="1" t="s">
        <v>58</v>
      </c>
    </row>
    <row r="388" spans="1:14" x14ac:dyDescent="0.25">
      <c r="A388" s="1" t="s">
        <v>541</v>
      </c>
      <c r="B388" s="1" t="s">
        <v>836</v>
      </c>
      <c r="C388" s="1" t="s">
        <v>181</v>
      </c>
      <c r="D388" s="1" t="s">
        <v>151</v>
      </c>
      <c r="E388" s="1" t="s">
        <v>56</v>
      </c>
      <c r="F388" s="1" t="s">
        <v>57</v>
      </c>
      <c r="G388" s="1">
        <v>8</v>
      </c>
      <c r="H388" s="1">
        <v>31.07</v>
      </c>
      <c r="I388" s="1">
        <v>248.56</v>
      </c>
      <c r="J388" s="1">
        <v>10.97</v>
      </c>
      <c r="K388" s="1">
        <v>37.590000000000003</v>
      </c>
      <c r="L388" s="1" t="s">
        <v>19</v>
      </c>
      <c r="M388" s="1" t="s">
        <v>27</v>
      </c>
      <c r="N388" s="1" t="s">
        <v>28</v>
      </c>
    </row>
    <row r="389" spans="1:14" x14ac:dyDescent="0.25">
      <c r="A389" s="1" t="s">
        <v>542</v>
      </c>
      <c r="B389" s="1" t="s">
        <v>793</v>
      </c>
      <c r="C389" s="1" t="s">
        <v>231</v>
      </c>
      <c r="D389" s="1" t="s">
        <v>106</v>
      </c>
      <c r="E389" s="1" t="s">
        <v>63</v>
      </c>
      <c r="F389" s="1" t="s">
        <v>37</v>
      </c>
      <c r="G389" s="1">
        <v>47</v>
      </c>
      <c r="H389" s="1">
        <v>21.93</v>
      </c>
      <c r="I389" s="1">
        <v>1030.71</v>
      </c>
      <c r="J389" s="1">
        <v>70.989999999999995</v>
      </c>
      <c r="K389" s="1">
        <v>360.47</v>
      </c>
      <c r="L389" s="1" t="s">
        <v>38</v>
      </c>
      <c r="M389" s="1" t="s">
        <v>20</v>
      </c>
      <c r="N389" s="1" t="s">
        <v>28</v>
      </c>
    </row>
    <row r="390" spans="1:14" x14ac:dyDescent="0.25">
      <c r="A390" s="1" t="s">
        <v>543</v>
      </c>
      <c r="B390" s="1" t="s">
        <v>835</v>
      </c>
      <c r="C390" s="1" t="s">
        <v>102</v>
      </c>
      <c r="D390" s="1" t="s">
        <v>106</v>
      </c>
      <c r="E390" s="1" t="s">
        <v>63</v>
      </c>
      <c r="F390" s="1" t="s">
        <v>37</v>
      </c>
      <c r="G390" s="1">
        <v>46</v>
      </c>
      <c r="H390" s="1">
        <v>21.46</v>
      </c>
      <c r="I390" s="1">
        <v>987.16</v>
      </c>
      <c r="J390" s="1">
        <v>21.64</v>
      </c>
      <c r="K390" s="1">
        <v>379.02</v>
      </c>
      <c r="L390" s="1" t="s">
        <v>26</v>
      </c>
      <c r="M390" s="1" t="s">
        <v>20</v>
      </c>
      <c r="N390" s="1" t="s">
        <v>28</v>
      </c>
    </row>
    <row r="391" spans="1:14" x14ac:dyDescent="0.25">
      <c r="A391" s="1" t="s">
        <v>544</v>
      </c>
      <c r="B391" s="1" t="s">
        <v>834</v>
      </c>
      <c r="C391" s="1" t="s">
        <v>76</v>
      </c>
      <c r="D391" s="1" t="s">
        <v>16</v>
      </c>
      <c r="E391" s="1" t="s">
        <v>83</v>
      </c>
      <c r="F391" s="1" t="s">
        <v>52</v>
      </c>
      <c r="G391" s="1">
        <v>45</v>
      </c>
      <c r="H391" s="1">
        <v>47.1</v>
      </c>
      <c r="I391" s="1">
        <v>2119.5</v>
      </c>
      <c r="J391" s="1">
        <v>120.16</v>
      </c>
      <c r="K391" s="1">
        <v>739.34</v>
      </c>
      <c r="L391" s="1" t="s">
        <v>26</v>
      </c>
      <c r="M391" s="1" t="s">
        <v>27</v>
      </c>
      <c r="N391" s="1" t="s">
        <v>21</v>
      </c>
    </row>
    <row r="392" spans="1:14" x14ac:dyDescent="0.25">
      <c r="A392" s="1" t="s">
        <v>545</v>
      </c>
      <c r="B392" s="1" t="s">
        <v>779</v>
      </c>
      <c r="C392" s="1" t="s">
        <v>15</v>
      </c>
      <c r="D392" s="1" t="s">
        <v>177</v>
      </c>
      <c r="E392" s="1" t="s">
        <v>17</v>
      </c>
      <c r="F392" s="1" t="s">
        <v>18</v>
      </c>
      <c r="G392" s="1">
        <v>2</v>
      </c>
      <c r="H392" s="1">
        <v>58.32</v>
      </c>
      <c r="I392" s="1">
        <v>116.64</v>
      </c>
      <c r="J392" s="1">
        <v>8.99</v>
      </c>
      <c r="K392" s="1">
        <v>37.65</v>
      </c>
      <c r="L392" s="1" t="s">
        <v>19</v>
      </c>
      <c r="M392" s="1" t="s">
        <v>27</v>
      </c>
      <c r="N392" s="1" t="s">
        <v>58</v>
      </c>
    </row>
    <row r="393" spans="1:14" x14ac:dyDescent="0.25">
      <c r="A393" s="1" t="s">
        <v>546</v>
      </c>
      <c r="B393" s="1" t="s">
        <v>833</v>
      </c>
      <c r="C393" s="1" t="s">
        <v>300</v>
      </c>
      <c r="D393" s="1" t="s">
        <v>106</v>
      </c>
      <c r="E393" s="1" t="s">
        <v>17</v>
      </c>
      <c r="F393" s="1" t="s">
        <v>18</v>
      </c>
      <c r="G393" s="1">
        <v>31</v>
      </c>
      <c r="H393" s="1">
        <v>61.34</v>
      </c>
      <c r="I393" s="1">
        <v>1901.54</v>
      </c>
      <c r="J393" s="1">
        <v>147.43</v>
      </c>
      <c r="K393" s="1">
        <v>669.11</v>
      </c>
      <c r="L393" s="1" t="s">
        <v>26</v>
      </c>
      <c r="M393" s="1" t="s">
        <v>20</v>
      </c>
      <c r="N393" s="1" t="s">
        <v>28</v>
      </c>
    </row>
    <row r="394" spans="1:14" x14ac:dyDescent="0.25">
      <c r="A394" s="1" t="s">
        <v>547</v>
      </c>
      <c r="B394" s="1" t="s">
        <v>832</v>
      </c>
      <c r="C394" s="1" t="s">
        <v>166</v>
      </c>
      <c r="D394" s="1" t="s">
        <v>42</v>
      </c>
      <c r="E394" s="1" t="s">
        <v>56</v>
      </c>
      <c r="F394" s="1" t="s">
        <v>57</v>
      </c>
      <c r="G394" s="1">
        <v>15</v>
      </c>
      <c r="H394" s="1">
        <v>43.9</v>
      </c>
      <c r="I394" s="1">
        <v>658.5</v>
      </c>
      <c r="J394" s="1">
        <v>36.479999999999997</v>
      </c>
      <c r="K394" s="1">
        <v>247.02</v>
      </c>
      <c r="L394" s="1" t="s">
        <v>38</v>
      </c>
      <c r="M394" s="1" t="s">
        <v>27</v>
      </c>
      <c r="N394" s="1" t="s">
        <v>21</v>
      </c>
    </row>
    <row r="395" spans="1:14" x14ac:dyDescent="0.25">
      <c r="A395" s="1" t="s">
        <v>548</v>
      </c>
      <c r="B395" s="1" t="s">
        <v>831</v>
      </c>
      <c r="C395" s="1" t="s">
        <v>166</v>
      </c>
      <c r="D395" s="1" t="s">
        <v>31</v>
      </c>
      <c r="E395" s="1" t="s">
        <v>63</v>
      </c>
      <c r="F395" s="1" t="s">
        <v>37</v>
      </c>
      <c r="G395" s="1">
        <v>4</v>
      </c>
      <c r="H395" s="1">
        <v>20.53</v>
      </c>
      <c r="I395" s="1">
        <v>82.12</v>
      </c>
      <c r="J395" s="1">
        <v>4.05</v>
      </c>
      <c r="K395" s="1">
        <v>27.07</v>
      </c>
      <c r="L395" s="1" t="s">
        <v>19</v>
      </c>
      <c r="M395" s="1" t="s">
        <v>32</v>
      </c>
      <c r="N395" s="1" t="s">
        <v>28</v>
      </c>
    </row>
    <row r="396" spans="1:14" x14ac:dyDescent="0.25">
      <c r="A396" s="1" t="s">
        <v>549</v>
      </c>
      <c r="B396" s="1" t="s">
        <v>830</v>
      </c>
      <c r="C396" s="1" t="s">
        <v>149</v>
      </c>
      <c r="D396" s="1" t="s">
        <v>129</v>
      </c>
      <c r="E396" s="1" t="s">
        <v>48</v>
      </c>
      <c r="F396" s="1" t="s">
        <v>37</v>
      </c>
      <c r="G396" s="1">
        <v>6</v>
      </c>
      <c r="H396" s="1">
        <v>24.7</v>
      </c>
      <c r="I396" s="1">
        <v>148.19999999999999</v>
      </c>
      <c r="J396" s="1">
        <v>3.76</v>
      </c>
      <c r="K396" s="1">
        <v>24.44</v>
      </c>
      <c r="L396" s="1" t="s">
        <v>38</v>
      </c>
      <c r="M396" s="1" t="s">
        <v>20</v>
      </c>
      <c r="N396" s="1" t="s">
        <v>130</v>
      </c>
    </row>
    <row r="397" spans="1:14" x14ac:dyDescent="0.25">
      <c r="A397" s="1" t="s">
        <v>550</v>
      </c>
      <c r="B397" s="1" t="s">
        <v>829</v>
      </c>
      <c r="C397" s="1" t="s">
        <v>330</v>
      </c>
      <c r="D397" s="1" t="s">
        <v>35</v>
      </c>
      <c r="E397" s="1" t="s">
        <v>63</v>
      </c>
      <c r="F397" s="1" t="s">
        <v>37</v>
      </c>
      <c r="G397" s="1">
        <v>19</v>
      </c>
      <c r="H397" s="1">
        <v>19.170000000000002</v>
      </c>
      <c r="I397" s="1">
        <v>364.23</v>
      </c>
      <c r="J397" s="1">
        <v>15.16</v>
      </c>
      <c r="K397" s="1">
        <v>106.82</v>
      </c>
      <c r="L397" s="1" t="s">
        <v>26</v>
      </c>
      <c r="M397" s="1" t="s">
        <v>27</v>
      </c>
      <c r="N397" s="1" t="s">
        <v>39</v>
      </c>
    </row>
    <row r="398" spans="1:14" x14ac:dyDescent="0.25">
      <c r="A398" s="1" t="s">
        <v>551</v>
      </c>
      <c r="B398" s="1" t="s">
        <v>757</v>
      </c>
      <c r="C398" s="1" t="s">
        <v>399</v>
      </c>
      <c r="D398" s="1" t="s">
        <v>55</v>
      </c>
      <c r="E398" s="1" t="s">
        <v>43</v>
      </c>
      <c r="F398" s="1" t="s">
        <v>44</v>
      </c>
      <c r="G398" s="1">
        <v>2</v>
      </c>
      <c r="H398" s="1">
        <v>55.28</v>
      </c>
      <c r="I398" s="1">
        <v>110.56</v>
      </c>
      <c r="J398" s="1">
        <v>5.37</v>
      </c>
      <c r="K398" s="1">
        <v>25.19</v>
      </c>
      <c r="L398" s="1" t="s">
        <v>38</v>
      </c>
      <c r="M398" s="1" t="s">
        <v>27</v>
      </c>
      <c r="N398" s="1" t="s">
        <v>58</v>
      </c>
    </row>
    <row r="399" spans="1:14" x14ac:dyDescent="0.25">
      <c r="A399" s="1" t="s">
        <v>552</v>
      </c>
      <c r="B399" s="1" t="s">
        <v>786</v>
      </c>
      <c r="C399" s="1" t="s">
        <v>211</v>
      </c>
      <c r="D399" s="1" t="s">
        <v>35</v>
      </c>
      <c r="E399" s="1" t="s">
        <v>56</v>
      </c>
      <c r="F399" s="1" t="s">
        <v>57</v>
      </c>
      <c r="G399" s="1">
        <v>49</v>
      </c>
      <c r="H399" s="1">
        <v>43.91</v>
      </c>
      <c r="I399" s="1">
        <v>2151.59</v>
      </c>
      <c r="J399" s="1">
        <v>63.55</v>
      </c>
      <c r="K399" s="1">
        <v>863.04</v>
      </c>
      <c r="L399" s="1" t="s">
        <v>19</v>
      </c>
      <c r="M399" s="1" t="s">
        <v>27</v>
      </c>
      <c r="N399" s="1" t="s">
        <v>39</v>
      </c>
    </row>
    <row r="400" spans="1:14" x14ac:dyDescent="0.25">
      <c r="A400" s="1" t="s">
        <v>553</v>
      </c>
      <c r="B400" s="1" t="s">
        <v>828</v>
      </c>
      <c r="C400" s="1" t="s">
        <v>193</v>
      </c>
      <c r="D400" s="1" t="s">
        <v>35</v>
      </c>
      <c r="E400" s="1" t="s">
        <v>56</v>
      </c>
      <c r="F400" s="1" t="s">
        <v>57</v>
      </c>
      <c r="G400" s="1">
        <v>29</v>
      </c>
      <c r="H400" s="1">
        <v>41.84</v>
      </c>
      <c r="I400" s="1">
        <v>1213.3599999999999</v>
      </c>
      <c r="J400" s="1">
        <v>56.83</v>
      </c>
      <c r="K400" s="1">
        <v>431.53</v>
      </c>
      <c r="L400" s="1" t="s">
        <v>38</v>
      </c>
      <c r="M400" s="1" t="s">
        <v>32</v>
      </c>
      <c r="N400" s="1" t="s">
        <v>39</v>
      </c>
    </row>
    <row r="401" spans="1:14" x14ac:dyDescent="0.25">
      <c r="A401" s="1" t="s">
        <v>554</v>
      </c>
      <c r="B401" s="1" t="s">
        <v>827</v>
      </c>
      <c r="C401" s="1" t="s">
        <v>176</v>
      </c>
      <c r="D401" s="1" t="s">
        <v>86</v>
      </c>
      <c r="E401" s="1" t="s">
        <v>60</v>
      </c>
      <c r="F401" s="1" t="s">
        <v>52</v>
      </c>
      <c r="G401" s="1">
        <v>43</v>
      </c>
      <c r="H401" s="1">
        <v>27.41</v>
      </c>
      <c r="I401" s="1">
        <v>1178.6300000000001</v>
      </c>
      <c r="J401" s="1">
        <v>55.82</v>
      </c>
      <c r="K401" s="1">
        <v>456.31</v>
      </c>
      <c r="L401" s="1" t="s">
        <v>38</v>
      </c>
      <c r="M401" s="1" t="s">
        <v>27</v>
      </c>
      <c r="N401" s="1" t="s">
        <v>87</v>
      </c>
    </row>
    <row r="402" spans="1:14" x14ac:dyDescent="0.25">
      <c r="A402" s="1" t="s">
        <v>555</v>
      </c>
      <c r="B402" s="1" t="s">
        <v>826</v>
      </c>
      <c r="C402" s="1" t="s">
        <v>473</v>
      </c>
      <c r="D402" s="1" t="s">
        <v>47</v>
      </c>
      <c r="E402" s="1" t="s">
        <v>48</v>
      </c>
      <c r="F402" s="1" t="s">
        <v>37</v>
      </c>
      <c r="G402" s="1">
        <v>28</v>
      </c>
      <c r="H402" s="1">
        <v>31.84</v>
      </c>
      <c r="I402" s="1">
        <v>891.52</v>
      </c>
      <c r="J402" s="1">
        <v>54.24</v>
      </c>
      <c r="K402" s="1">
        <v>277.27999999999997</v>
      </c>
      <c r="L402" s="1" t="s">
        <v>19</v>
      </c>
      <c r="M402" s="1" t="s">
        <v>27</v>
      </c>
      <c r="N402" s="1" t="s">
        <v>21</v>
      </c>
    </row>
    <row r="403" spans="1:14" x14ac:dyDescent="0.25">
      <c r="A403" s="1" t="s">
        <v>556</v>
      </c>
      <c r="B403" s="1" t="s">
        <v>825</v>
      </c>
      <c r="C403" s="1" t="s">
        <v>291</v>
      </c>
      <c r="D403" s="1" t="s">
        <v>55</v>
      </c>
      <c r="E403" s="1" t="s">
        <v>56</v>
      </c>
      <c r="F403" s="1" t="s">
        <v>57</v>
      </c>
      <c r="G403" s="1">
        <v>42</v>
      </c>
      <c r="H403" s="1">
        <v>35.840000000000003</v>
      </c>
      <c r="I403" s="1">
        <v>1505.28</v>
      </c>
      <c r="J403" s="1">
        <v>60.65</v>
      </c>
      <c r="K403" s="1">
        <v>394.63</v>
      </c>
      <c r="L403" s="1" t="s">
        <v>38</v>
      </c>
      <c r="M403" s="1" t="s">
        <v>27</v>
      </c>
      <c r="N403" s="1" t="s">
        <v>58</v>
      </c>
    </row>
    <row r="404" spans="1:14" x14ac:dyDescent="0.25">
      <c r="A404" s="1" t="s">
        <v>557</v>
      </c>
      <c r="B404" s="1" t="s">
        <v>824</v>
      </c>
      <c r="C404" s="1" t="s">
        <v>62</v>
      </c>
      <c r="D404" s="1" t="s">
        <v>69</v>
      </c>
      <c r="E404" s="1" t="s">
        <v>51</v>
      </c>
      <c r="F404" s="1" t="s">
        <v>52</v>
      </c>
      <c r="G404" s="1">
        <v>22</v>
      </c>
      <c r="H404" s="1">
        <v>30.55</v>
      </c>
      <c r="I404" s="1">
        <v>672.1</v>
      </c>
      <c r="J404" s="1">
        <v>46.8</v>
      </c>
      <c r="K404" s="1">
        <v>130.30000000000001</v>
      </c>
      <c r="L404" s="1" t="s">
        <v>26</v>
      </c>
      <c r="M404" s="1" t="s">
        <v>32</v>
      </c>
      <c r="N404" s="1" t="s">
        <v>58</v>
      </c>
    </row>
    <row r="405" spans="1:14" x14ac:dyDescent="0.25">
      <c r="A405" s="1" t="s">
        <v>558</v>
      </c>
      <c r="B405" s="1" t="s">
        <v>823</v>
      </c>
      <c r="C405" s="1" t="s">
        <v>221</v>
      </c>
      <c r="D405" s="1" t="s">
        <v>77</v>
      </c>
      <c r="E405" s="1" t="s">
        <v>83</v>
      </c>
      <c r="F405" s="1" t="s">
        <v>52</v>
      </c>
      <c r="G405" s="1">
        <v>13</v>
      </c>
      <c r="H405" s="1">
        <v>45.16</v>
      </c>
      <c r="I405" s="1">
        <v>587.08000000000004</v>
      </c>
      <c r="J405" s="1">
        <v>29.68</v>
      </c>
      <c r="K405" s="1">
        <v>193.4</v>
      </c>
      <c r="L405" s="1" t="s">
        <v>26</v>
      </c>
      <c r="M405" s="1" t="s">
        <v>27</v>
      </c>
      <c r="N405" s="1" t="s">
        <v>58</v>
      </c>
    </row>
    <row r="406" spans="1:14" x14ac:dyDescent="0.25">
      <c r="A406" s="1" t="s">
        <v>559</v>
      </c>
      <c r="B406" s="1" t="s">
        <v>822</v>
      </c>
      <c r="C406" s="1" t="s">
        <v>142</v>
      </c>
      <c r="D406" s="1" t="s">
        <v>129</v>
      </c>
      <c r="E406" s="1" t="s">
        <v>17</v>
      </c>
      <c r="F406" s="1" t="s">
        <v>18</v>
      </c>
      <c r="G406" s="1">
        <v>40</v>
      </c>
      <c r="H406" s="1">
        <v>45.23</v>
      </c>
      <c r="I406" s="1">
        <v>1809.2</v>
      </c>
      <c r="J406" s="1">
        <v>136.25</v>
      </c>
      <c r="K406" s="1">
        <v>272.95</v>
      </c>
      <c r="L406" s="1" t="s">
        <v>38</v>
      </c>
      <c r="M406" s="1" t="s">
        <v>32</v>
      </c>
      <c r="N406" s="1" t="s">
        <v>130</v>
      </c>
    </row>
    <row r="407" spans="1:14" x14ac:dyDescent="0.25">
      <c r="A407" s="1" t="s">
        <v>560</v>
      </c>
      <c r="B407" s="1" t="s">
        <v>821</v>
      </c>
      <c r="C407" s="1" t="s">
        <v>257</v>
      </c>
      <c r="D407" s="1" t="s">
        <v>77</v>
      </c>
      <c r="E407" s="1" t="s">
        <v>25</v>
      </c>
      <c r="F407" s="1" t="s">
        <v>18</v>
      </c>
      <c r="G407" s="1">
        <v>41</v>
      </c>
      <c r="H407" s="1">
        <v>22.78</v>
      </c>
      <c r="I407" s="1">
        <v>933.98</v>
      </c>
      <c r="J407" s="1">
        <v>38.369999999999997</v>
      </c>
      <c r="K407" s="1">
        <v>157.61000000000001</v>
      </c>
      <c r="L407" s="1" t="s">
        <v>26</v>
      </c>
      <c r="M407" s="1" t="s">
        <v>20</v>
      </c>
      <c r="N407" s="1" t="s">
        <v>58</v>
      </c>
    </row>
    <row r="408" spans="1:14" x14ac:dyDescent="0.25">
      <c r="A408" s="1" t="s">
        <v>561</v>
      </c>
      <c r="B408" s="1" t="s">
        <v>820</v>
      </c>
      <c r="C408" s="1" t="s">
        <v>102</v>
      </c>
      <c r="D408" s="1" t="s">
        <v>106</v>
      </c>
      <c r="E408" s="1" t="s">
        <v>60</v>
      </c>
      <c r="F408" s="1" t="s">
        <v>52</v>
      </c>
      <c r="G408" s="1">
        <v>34</v>
      </c>
      <c r="H408" s="1">
        <v>24.21</v>
      </c>
      <c r="I408" s="1">
        <v>823.14</v>
      </c>
      <c r="J408" s="1">
        <v>58.25</v>
      </c>
      <c r="K408" s="1">
        <v>237.89</v>
      </c>
      <c r="L408" s="1" t="s">
        <v>19</v>
      </c>
      <c r="M408" s="1" t="s">
        <v>20</v>
      </c>
      <c r="N408" s="1" t="s">
        <v>28</v>
      </c>
    </row>
    <row r="409" spans="1:14" x14ac:dyDescent="0.25">
      <c r="A409" s="1" t="s">
        <v>562</v>
      </c>
      <c r="B409" s="1" t="s">
        <v>819</v>
      </c>
      <c r="C409" s="1" t="s">
        <v>115</v>
      </c>
      <c r="D409" s="1" t="s">
        <v>24</v>
      </c>
      <c r="E409" s="1" t="s">
        <v>48</v>
      </c>
      <c r="F409" s="1" t="s">
        <v>37</v>
      </c>
      <c r="G409" s="1">
        <v>46</v>
      </c>
      <c r="H409" s="1">
        <v>34.64</v>
      </c>
      <c r="I409" s="1">
        <v>1593.44</v>
      </c>
      <c r="J409" s="1">
        <v>45.93</v>
      </c>
      <c r="K409" s="1">
        <v>627.51</v>
      </c>
      <c r="L409" s="1" t="s">
        <v>38</v>
      </c>
      <c r="M409" s="1" t="s">
        <v>20</v>
      </c>
      <c r="N409" s="1" t="s">
        <v>28</v>
      </c>
    </row>
    <row r="410" spans="1:14" x14ac:dyDescent="0.25">
      <c r="A410" s="1" t="s">
        <v>563</v>
      </c>
      <c r="B410" s="1" t="s">
        <v>818</v>
      </c>
      <c r="C410" s="1" t="s">
        <v>142</v>
      </c>
      <c r="D410" s="1" t="s">
        <v>42</v>
      </c>
      <c r="E410" s="1" t="s">
        <v>48</v>
      </c>
      <c r="F410" s="1" t="s">
        <v>37</v>
      </c>
      <c r="G410" s="1">
        <v>10</v>
      </c>
      <c r="H410" s="1">
        <v>27.06</v>
      </c>
      <c r="I410" s="1">
        <v>270.60000000000002</v>
      </c>
      <c r="J410" s="1">
        <v>15.35</v>
      </c>
      <c r="K410" s="1">
        <v>55.25</v>
      </c>
      <c r="L410" s="1" t="s">
        <v>19</v>
      </c>
      <c r="M410" s="1" t="s">
        <v>32</v>
      </c>
      <c r="N410" s="1" t="s">
        <v>21</v>
      </c>
    </row>
    <row r="411" spans="1:14" x14ac:dyDescent="0.25">
      <c r="A411" s="1" t="s">
        <v>564</v>
      </c>
      <c r="B411" s="1" t="s">
        <v>817</v>
      </c>
      <c r="C411" s="1" t="s">
        <v>139</v>
      </c>
      <c r="D411" s="1" t="s">
        <v>24</v>
      </c>
      <c r="E411" s="1" t="s">
        <v>25</v>
      </c>
      <c r="F411" s="1" t="s">
        <v>18</v>
      </c>
      <c r="G411" s="1">
        <v>11</v>
      </c>
      <c r="H411" s="1">
        <v>27.74</v>
      </c>
      <c r="I411" s="1">
        <v>305.14</v>
      </c>
      <c r="J411" s="1">
        <v>10.81</v>
      </c>
      <c r="K411" s="1">
        <v>96.33</v>
      </c>
      <c r="L411" s="1" t="s">
        <v>26</v>
      </c>
      <c r="M411" s="1" t="s">
        <v>32</v>
      </c>
      <c r="N411" s="1" t="s">
        <v>28</v>
      </c>
    </row>
    <row r="412" spans="1:14" x14ac:dyDescent="0.25">
      <c r="A412" s="1" t="s">
        <v>565</v>
      </c>
      <c r="B412" s="1" t="s">
        <v>816</v>
      </c>
      <c r="C412" s="1" t="s">
        <v>97</v>
      </c>
      <c r="D412" s="1" t="s">
        <v>42</v>
      </c>
      <c r="E412" s="1" t="s">
        <v>83</v>
      </c>
      <c r="F412" s="1" t="s">
        <v>52</v>
      </c>
      <c r="G412" s="1">
        <v>29</v>
      </c>
      <c r="H412" s="1">
        <v>38.08</v>
      </c>
      <c r="I412" s="1">
        <v>1104.32</v>
      </c>
      <c r="J412" s="1">
        <v>25.63</v>
      </c>
      <c r="K412" s="1">
        <v>266.69</v>
      </c>
      <c r="L412" s="1" t="s">
        <v>26</v>
      </c>
      <c r="M412" s="1" t="s">
        <v>32</v>
      </c>
      <c r="N412" s="1" t="s">
        <v>21</v>
      </c>
    </row>
    <row r="413" spans="1:14" x14ac:dyDescent="0.25">
      <c r="A413" s="1" t="s">
        <v>566</v>
      </c>
      <c r="B413" s="1" t="s">
        <v>815</v>
      </c>
      <c r="C413" s="1" t="s">
        <v>119</v>
      </c>
      <c r="D413" s="1" t="s">
        <v>42</v>
      </c>
      <c r="E413" s="1" t="s">
        <v>83</v>
      </c>
      <c r="F413" s="1" t="s">
        <v>52</v>
      </c>
      <c r="G413" s="1">
        <v>18</v>
      </c>
      <c r="H413" s="1">
        <v>43.65</v>
      </c>
      <c r="I413" s="1">
        <v>785.7</v>
      </c>
      <c r="J413" s="1">
        <v>54.52</v>
      </c>
      <c r="K413" s="1">
        <v>227.18</v>
      </c>
      <c r="L413" s="1" t="s">
        <v>26</v>
      </c>
      <c r="M413" s="1" t="s">
        <v>20</v>
      </c>
      <c r="N413" s="1" t="s">
        <v>21</v>
      </c>
    </row>
    <row r="414" spans="1:14" x14ac:dyDescent="0.25">
      <c r="A414" s="1" t="s">
        <v>567</v>
      </c>
      <c r="B414" s="1" t="s">
        <v>814</v>
      </c>
      <c r="C414" s="1" t="s">
        <v>354</v>
      </c>
      <c r="D414" s="1" t="s">
        <v>106</v>
      </c>
      <c r="E414" s="1" t="s">
        <v>17</v>
      </c>
      <c r="F414" s="1" t="s">
        <v>18</v>
      </c>
      <c r="G414" s="1">
        <v>49</v>
      </c>
      <c r="H414" s="1">
        <v>51.97</v>
      </c>
      <c r="I414" s="1">
        <v>2546.5300000000002</v>
      </c>
      <c r="J414" s="1">
        <v>112.26</v>
      </c>
      <c r="K414" s="1">
        <v>719.27</v>
      </c>
      <c r="L414" s="1" t="s">
        <v>26</v>
      </c>
      <c r="M414" s="1" t="s">
        <v>27</v>
      </c>
      <c r="N414" s="1" t="s">
        <v>28</v>
      </c>
    </row>
    <row r="415" spans="1:14" x14ac:dyDescent="0.25">
      <c r="A415" s="1" t="s">
        <v>568</v>
      </c>
      <c r="B415" s="1" t="s">
        <v>813</v>
      </c>
      <c r="C415" s="1" t="s">
        <v>123</v>
      </c>
      <c r="D415" s="1" t="s">
        <v>69</v>
      </c>
      <c r="E415" s="1" t="s">
        <v>56</v>
      </c>
      <c r="F415" s="1" t="s">
        <v>57</v>
      </c>
      <c r="G415" s="1">
        <v>13</v>
      </c>
      <c r="H415" s="1">
        <v>36.85</v>
      </c>
      <c r="I415" s="1">
        <v>479.05</v>
      </c>
      <c r="J415" s="1">
        <v>10.15</v>
      </c>
      <c r="K415" s="1">
        <v>143.9</v>
      </c>
      <c r="L415" s="1" t="s">
        <v>19</v>
      </c>
      <c r="M415" s="1" t="s">
        <v>32</v>
      </c>
      <c r="N415" s="1" t="s">
        <v>58</v>
      </c>
    </row>
    <row r="416" spans="1:14" x14ac:dyDescent="0.25">
      <c r="A416" s="1" t="s">
        <v>569</v>
      </c>
      <c r="B416" s="1" t="s">
        <v>812</v>
      </c>
      <c r="C416" s="1" t="s">
        <v>73</v>
      </c>
      <c r="D416" s="1" t="s">
        <v>42</v>
      </c>
      <c r="E416" s="1" t="s">
        <v>36</v>
      </c>
      <c r="F416" s="1" t="s">
        <v>37</v>
      </c>
      <c r="G416" s="1">
        <v>33</v>
      </c>
      <c r="H416" s="1">
        <v>38.520000000000003</v>
      </c>
      <c r="I416" s="1">
        <v>1271.1600000000001</v>
      </c>
      <c r="J416" s="1">
        <v>81.459999999999994</v>
      </c>
      <c r="K416" s="1">
        <v>133.69999999999999</v>
      </c>
      <c r="L416" s="1" t="s">
        <v>19</v>
      </c>
      <c r="M416" s="1" t="s">
        <v>20</v>
      </c>
      <c r="N416" s="1" t="s">
        <v>21</v>
      </c>
    </row>
    <row r="417" spans="1:14" x14ac:dyDescent="0.25">
      <c r="A417" s="1" t="s">
        <v>570</v>
      </c>
      <c r="B417" s="1" t="s">
        <v>811</v>
      </c>
      <c r="C417" s="1" t="s">
        <v>240</v>
      </c>
      <c r="D417" s="1" t="s">
        <v>55</v>
      </c>
      <c r="E417" s="1" t="s">
        <v>60</v>
      </c>
      <c r="F417" s="1" t="s">
        <v>52</v>
      </c>
      <c r="G417" s="1">
        <v>41</v>
      </c>
      <c r="H417" s="1">
        <v>26.98</v>
      </c>
      <c r="I417" s="1">
        <v>1106.18</v>
      </c>
      <c r="J417" s="1">
        <v>51.77</v>
      </c>
      <c r="K417" s="1">
        <v>418.91</v>
      </c>
      <c r="L417" s="1" t="s">
        <v>38</v>
      </c>
      <c r="M417" s="1" t="s">
        <v>27</v>
      </c>
      <c r="N417" s="1" t="s">
        <v>58</v>
      </c>
    </row>
    <row r="418" spans="1:14" x14ac:dyDescent="0.25">
      <c r="A418" s="1" t="s">
        <v>571</v>
      </c>
      <c r="B418" s="1" t="s">
        <v>810</v>
      </c>
      <c r="C418" s="1" t="s">
        <v>97</v>
      </c>
      <c r="D418" s="1" t="s">
        <v>106</v>
      </c>
      <c r="E418" s="1" t="s">
        <v>60</v>
      </c>
      <c r="F418" s="1" t="s">
        <v>52</v>
      </c>
      <c r="G418" s="1">
        <v>4</v>
      </c>
      <c r="H418" s="1">
        <v>23.56</v>
      </c>
      <c r="I418" s="1">
        <v>94.24</v>
      </c>
      <c r="J418" s="1">
        <v>7.03</v>
      </c>
      <c r="K418" s="1">
        <v>25.21</v>
      </c>
      <c r="L418" s="1" t="s">
        <v>38</v>
      </c>
      <c r="M418" s="1" t="s">
        <v>32</v>
      </c>
      <c r="N418" s="1" t="s">
        <v>28</v>
      </c>
    </row>
    <row r="419" spans="1:14" x14ac:dyDescent="0.25">
      <c r="A419" s="1" t="s">
        <v>572</v>
      </c>
      <c r="B419" s="1" t="s">
        <v>809</v>
      </c>
      <c r="C419" s="1" t="s">
        <v>297</v>
      </c>
      <c r="D419" s="1" t="s">
        <v>177</v>
      </c>
      <c r="E419" s="1" t="s">
        <v>36</v>
      </c>
      <c r="F419" s="1" t="s">
        <v>37</v>
      </c>
      <c r="G419" s="1">
        <v>17</v>
      </c>
      <c r="H419" s="1">
        <v>57.14</v>
      </c>
      <c r="I419" s="1">
        <v>971.38</v>
      </c>
      <c r="J419" s="1">
        <v>70.010000000000005</v>
      </c>
      <c r="K419" s="1">
        <v>357.37</v>
      </c>
      <c r="L419" s="1" t="s">
        <v>38</v>
      </c>
      <c r="M419" s="1" t="s">
        <v>27</v>
      </c>
      <c r="N419" s="1" t="s">
        <v>58</v>
      </c>
    </row>
    <row r="420" spans="1:14" x14ac:dyDescent="0.25">
      <c r="A420" s="1" t="s">
        <v>573</v>
      </c>
      <c r="B420" s="1" t="s">
        <v>808</v>
      </c>
      <c r="C420" s="1" t="s">
        <v>113</v>
      </c>
      <c r="D420" s="1" t="s">
        <v>129</v>
      </c>
      <c r="E420" s="1" t="s">
        <v>56</v>
      </c>
      <c r="F420" s="1" t="s">
        <v>57</v>
      </c>
      <c r="G420" s="1">
        <v>44</v>
      </c>
      <c r="H420" s="1">
        <v>38.14</v>
      </c>
      <c r="I420" s="1">
        <v>1678.16</v>
      </c>
      <c r="J420" s="1">
        <v>124.49</v>
      </c>
      <c r="K420" s="1">
        <v>453.67</v>
      </c>
      <c r="L420" s="1" t="s">
        <v>38</v>
      </c>
      <c r="M420" s="1" t="s">
        <v>20</v>
      </c>
      <c r="N420" s="1" t="s">
        <v>130</v>
      </c>
    </row>
    <row r="421" spans="1:14" x14ac:dyDescent="0.25">
      <c r="A421" s="1" t="s">
        <v>574</v>
      </c>
      <c r="B421" s="1" t="s">
        <v>807</v>
      </c>
      <c r="C421" s="1" t="s">
        <v>102</v>
      </c>
      <c r="D421" s="1" t="s">
        <v>86</v>
      </c>
      <c r="E421" s="1" t="s">
        <v>25</v>
      </c>
      <c r="F421" s="1" t="s">
        <v>18</v>
      </c>
      <c r="G421" s="1">
        <v>14</v>
      </c>
      <c r="H421" s="1">
        <v>24</v>
      </c>
      <c r="I421" s="1">
        <v>336</v>
      </c>
      <c r="J421" s="1">
        <v>22.88</v>
      </c>
      <c r="K421" s="1">
        <v>61.12</v>
      </c>
      <c r="L421" s="1" t="s">
        <v>26</v>
      </c>
      <c r="M421" s="1" t="s">
        <v>27</v>
      </c>
      <c r="N421" s="1" t="s">
        <v>87</v>
      </c>
    </row>
    <row r="422" spans="1:14" x14ac:dyDescent="0.25">
      <c r="A422" s="1" t="s">
        <v>575</v>
      </c>
      <c r="B422" s="1" t="s">
        <v>806</v>
      </c>
      <c r="C422" s="1" t="s">
        <v>76</v>
      </c>
      <c r="D422" s="1" t="s">
        <v>55</v>
      </c>
      <c r="E422" s="1" t="s">
        <v>60</v>
      </c>
      <c r="F422" s="1" t="s">
        <v>52</v>
      </c>
      <c r="G422" s="1">
        <v>50</v>
      </c>
      <c r="H422" s="1">
        <v>26.91</v>
      </c>
      <c r="I422" s="1">
        <v>1345.5</v>
      </c>
      <c r="J422" s="1">
        <v>91.7</v>
      </c>
      <c r="K422" s="1">
        <v>478.8</v>
      </c>
      <c r="L422" s="1" t="s">
        <v>38</v>
      </c>
      <c r="M422" s="1" t="s">
        <v>20</v>
      </c>
      <c r="N422" s="1" t="s">
        <v>58</v>
      </c>
    </row>
    <row r="423" spans="1:14" x14ac:dyDescent="0.25">
      <c r="A423" s="1" t="s">
        <v>576</v>
      </c>
      <c r="B423" s="1" t="s">
        <v>781</v>
      </c>
      <c r="C423" s="1" t="s">
        <v>286</v>
      </c>
      <c r="D423" s="1" t="s">
        <v>31</v>
      </c>
      <c r="E423" s="1" t="s">
        <v>43</v>
      </c>
      <c r="F423" s="1" t="s">
        <v>44</v>
      </c>
      <c r="G423" s="1">
        <v>7</v>
      </c>
      <c r="H423" s="1">
        <v>59.41</v>
      </c>
      <c r="I423" s="1">
        <v>415.87</v>
      </c>
      <c r="J423" s="1">
        <v>25.51</v>
      </c>
      <c r="K423" s="1">
        <v>110.36</v>
      </c>
      <c r="L423" s="1" t="s">
        <v>19</v>
      </c>
      <c r="M423" s="1" t="s">
        <v>32</v>
      </c>
      <c r="N423" s="1" t="s">
        <v>28</v>
      </c>
    </row>
    <row r="424" spans="1:14" x14ac:dyDescent="0.25">
      <c r="A424" s="1" t="s">
        <v>577</v>
      </c>
      <c r="B424" s="1" t="s">
        <v>805</v>
      </c>
      <c r="C424" s="1" t="s">
        <v>249</v>
      </c>
      <c r="D424" s="1" t="s">
        <v>77</v>
      </c>
      <c r="E424" s="1" t="s">
        <v>56</v>
      </c>
      <c r="F424" s="1" t="s">
        <v>57</v>
      </c>
      <c r="G424" s="1">
        <v>48</v>
      </c>
      <c r="H424" s="1">
        <v>37.31</v>
      </c>
      <c r="I424" s="1">
        <v>1790.88</v>
      </c>
      <c r="J424" s="1">
        <v>67.45</v>
      </c>
      <c r="K424" s="1">
        <v>523.42999999999995</v>
      </c>
      <c r="L424" s="1" t="s">
        <v>19</v>
      </c>
      <c r="M424" s="1" t="s">
        <v>27</v>
      </c>
      <c r="N424" s="1" t="s">
        <v>58</v>
      </c>
    </row>
    <row r="425" spans="1:14" x14ac:dyDescent="0.25">
      <c r="A425" s="1" t="s">
        <v>578</v>
      </c>
      <c r="B425" s="1" t="s">
        <v>804</v>
      </c>
      <c r="C425" s="1" t="s">
        <v>179</v>
      </c>
      <c r="D425" s="1" t="s">
        <v>74</v>
      </c>
      <c r="E425" s="1" t="s">
        <v>43</v>
      </c>
      <c r="F425" s="1" t="s">
        <v>44</v>
      </c>
      <c r="G425" s="1">
        <v>38</v>
      </c>
      <c r="H425" s="1">
        <v>52.91</v>
      </c>
      <c r="I425" s="1">
        <v>2010.58</v>
      </c>
      <c r="J425" s="1">
        <v>94.22</v>
      </c>
      <c r="K425" s="1">
        <v>396.36</v>
      </c>
      <c r="L425" s="1" t="s">
        <v>19</v>
      </c>
      <c r="M425" s="1" t="s">
        <v>20</v>
      </c>
      <c r="N425" s="1" t="s">
        <v>58</v>
      </c>
    </row>
    <row r="426" spans="1:14" x14ac:dyDescent="0.25">
      <c r="A426" s="1" t="s">
        <v>579</v>
      </c>
      <c r="B426" s="1" t="s">
        <v>803</v>
      </c>
      <c r="C426" s="1" t="s">
        <v>67</v>
      </c>
      <c r="D426" s="1" t="s">
        <v>24</v>
      </c>
      <c r="E426" s="1" t="s">
        <v>25</v>
      </c>
      <c r="F426" s="1" t="s">
        <v>18</v>
      </c>
      <c r="G426" s="1">
        <v>14</v>
      </c>
      <c r="H426" s="1">
        <v>27.09</v>
      </c>
      <c r="I426" s="1">
        <v>379.26</v>
      </c>
      <c r="J426" s="1">
        <v>14.42</v>
      </c>
      <c r="K426" s="1">
        <v>112.84</v>
      </c>
      <c r="L426" s="1" t="s">
        <v>38</v>
      </c>
      <c r="M426" s="1" t="s">
        <v>32</v>
      </c>
      <c r="N426" s="1" t="s">
        <v>28</v>
      </c>
    </row>
    <row r="427" spans="1:14" x14ac:dyDescent="0.25">
      <c r="A427" s="1" t="s">
        <v>580</v>
      </c>
      <c r="B427" s="1" t="s">
        <v>802</v>
      </c>
      <c r="C427" s="1" t="s">
        <v>113</v>
      </c>
      <c r="D427" s="1" t="s">
        <v>77</v>
      </c>
      <c r="E427" s="1" t="s">
        <v>51</v>
      </c>
      <c r="F427" s="1" t="s">
        <v>52</v>
      </c>
      <c r="G427" s="1">
        <v>41</v>
      </c>
      <c r="H427" s="1">
        <v>30.52</v>
      </c>
      <c r="I427" s="1">
        <v>1251.32</v>
      </c>
      <c r="J427" s="1">
        <v>56.88</v>
      </c>
      <c r="K427" s="1">
        <v>271.94</v>
      </c>
      <c r="L427" s="1" t="s">
        <v>19</v>
      </c>
      <c r="M427" s="1" t="s">
        <v>32</v>
      </c>
      <c r="N427" s="1" t="s">
        <v>58</v>
      </c>
    </row>
    <row r="428" spans="1:14" x14ac:dyDescent="0.25">
      <c r="A428" s="1" t="s">
        <v>581</v>
      </c>
      <c r="B428" s="1" t="s">
        <v>801</v>
      </c>
      <c r="C428" s="1" t="s">
        <v>231</v>
      </c>
      <c r="D428" s="1" t="s">
        <v>42</v>
      </c>
      <c r="E428" s="1" t="s">
        <v>83</v>
      </c>
      <c r="F428" s="1" t="s">
        <v>52</v>
      </c>
      <c r="G428" s="1">
        <v>23</v>
      </c>
      <c r="H428" s="1">
        <v>40.94</v>
      </c>
      <c r="I428" s="1">
        <v>941.62</v>
      </c>
      <c r="J428" s="1">
        <v>71.66</v>
      </c>
      <c r="K428" s="1">
        <v>225.96</v>
      </c>
      <c r="L428" s="1" t="s">
        <v>26</v>
      </c>
      <c r="M428" s="1" t="s">
        <v>32</v>
      </c>
      <c r="N428" s="1" t="s">
        <v>21</v>
      </c>
    </row>
    <row r="429" spans="1:14" x14ac:dyDescent="0.25">
      <c r="A429" s="1" t="s">
        <v>582</v>
      </c>
      <c r="B429" s="1" t="s">
        <v>800</v>
      </c>
      <c r="C429" s="1" t="s">
        <v>297</v>
      </c>
      <c r="D429" s="1" t="s">
        <v>151</v>
      </c>
      <c r="E429" s="1" t="s">
        <v>83</v>
      </c>
      <c r="F429" s="1" t="s">
        <v>52</v>
      </c>
      <c r="G429" s="1">
        <v>34</v>
      </c>
      <c r="H429" s="1">
        <v>41.77</v>
      </c>
      <c r="I429" s="1">
        <v>1420.18</v>
      </c>
      <c r="J429" s="1">
        <v>112.45</v>
      </c>
      <c r="K429" s="1">
        <v>355.73</v>
      </c>
      <c r="L429" s="1" t="s">
        <v>26</v>
      </c>
      <c r="M429" s="1" t="s">
        <v>32</v>
      </c>
      <c r="N429" s="1" t="s">
        <v>28</v>
      </c>
    </row>
    <row r="430" spans="1:14" x14ac:dyDescent="0.25">
      <c r="A430" s="1" t="s">
        <v>583</v>
      </c>
      <c r="B430" s="1" t="s">
        <v>799</v>
      </c>
      <c r="C430" s="1" t="s">
        <v>102</v>
      </c>
      <c r="D430" s="1" t="s">
        <v>177</v>
      </c>
      <c r="E430" s="1" t="s">
        <v>43</v>
      </c>
      <c r="F430" s="1" t="s">
        <v>44</v>
      </c>
      <c r="G430" s="1">
        <v>32</v>
      </c>
      <c r="H430" s="1">
        <v>69.98</v>
      </c>
      <c r="I430" s="1">
        <v>2239.36</v>
      </c>
      <c r="J430" s="1">
        <v>133.51</v>
      </c>
      <c r="K430" s="1">
        <v>825.85</v>
      </c>
      <c r="L430" s="1" t="s">
        <v>38</v>
      </c>
      <c r="M430" s="1" t="s">
        <v>20</v>
      </c>
      <c r="N430" s="1" t="s">
        <v>58</v>
      </c>
    </row>
    <row r="431" spans="1:14" x14ac:dyDescent="0.25">
      <c r="A431" s="1" t="s">
        <v>584</v>
      </c>
      <c r="B431" s="1" t="s">
        <v>798</v>
      </c>
      <c r="C431" s="1" t="s">
        <v>166</v>
      </c>
      <c r="D431" s="1" t="s">
        <v>24</v>
      </c>
      <c r="E431" s="1" t="s">
        <v>17</v>
      </c>
      <c r="F431" s="1" t="s">
        <v>18</v>
      </c>
      <c r="G431" s="1">
        <v>25</v>
      </c>
      <c r="H431" s="1">
        <v>42.91</v>
      </c>
      <c r="I431" s="1">
        <v>1072.75</v>
      </c>
      <c r="J431" s="1">
        <v>80.02</v>
      </c>
      <c r="K431" s="1">
        <v>117.73</v>
      </c>
      <c r="L431" s="1" t="s">
        <v>26</v>
      </c>
      <c r="M431" s="1" t="s">
        <v>27</v>
      </c>
      <c r="N431" s="1" t="s">
        <v>28</v>
      </c>
    </row>
    <row r="432" spans="1:14" x14ac:dyDescent="0.25">
      <c r="A432" s="1" t="s">
        <v>585</v>
      </c>
      <c r="B432" s="1" t="s">
        <v>797</v>
      </c>
      <c r="C432" s="1" t="s">
        <v>408</v>
      </c>
      <c r="D432" s="1" t="s">
        <v>42</v>
      </c>
      <c r="E432" s="1" t="s">
        <v>63</v>
      </c>
      <c r="F432" s="1" t="s">
        <v>37</v>
      </c>
      <c r="G432" s="1">
        <v>7</v>
      </c>
      <c r="H432" s="1">
        <v>22.6</v>
      </c>
      <c r="I432" s="1">
        <v>158.19999999999999</v>
      </c>
      <c r="J432" s="1">
        <v>7.04</v>
      </c>
      <c r="K432" s="1">
        <v>61.91</v>
      </c>
      <c r="L432" s="1" t="s">
        <v>38</v>
      </c>
      <c r="M432" s="1" t="s">
        <v>20</v>
      </c>
      <c r="N432" s="1" t="s">
        <v>21</v>
      </c>
    </row>
    <row r="433" spans="1:14" x14ac:dyDescent="0.25">
      <c r="A433" s="1" t="s">
        <v>586</v>
      </c>
      <c r="B433" s="1" t="s">
        <v>796</v>
      </c>
      <c r="C433" s="1" t="s">
        <v>89</v>
      </c>
      <c r="D433" s="1" t="s">
        <v>16</v>
      </c>
      <c r="E433" s="1" t="s">
        <v>63</v>
      </c>
      <c r="F433" s="1" t="s">
        <v>37</v>
      </c>
      <c r="G433" s="1">
        <v>48</v>
      </c>
      <c r="H433" s="1">
        <v>19.5</v>
      </c>
      <c r="I433" s="1">
        <v>936</v>
      </c>
      <c r="J433" s="1">
        <v>70.069999999999993</v>
      </c>
      <c r="K433" s="1">
        <v>253.93</v>
      </c>
      <c r="L433" s="1" t="s">
        <v>19</v>
      </c>
      <c r="M433" s="1" t="s">
        <v>27</v>
      </c>
      <c r="N433" s="1" t="s">
        <v>21</v>
      </c>
    </row>
    <row r="434" spans="1:14" x14ac:dyDescent="0.25">
      <c r="A434" s="1" t="s">
        <v>587</v>
      </c>
      <c r="B434" s="1" t="s">
        <v>795</v>
      </c>
      <c r="C434" s="1" t="s">
        <v>30</v>
      </c>
      <c r="D434" s="1" t="s">
        <v>129</v>
      </c>
      <c r="E434" s="1" t="s">
        <v>43</v>
      </c>
      <c r="F434" s="1" t="s">
        <v>44</v>
      </c>
      <c r="G434" s="1">
        <v>32</v>
      </c>
      <c r="H434" s="1">
        <v>49.97</v>
      </c>
      <c r="I434" s="1">
        <v>1599.04</v>
      </c>
      <c r="J434" s="1">
        <v>43.1</v>
      </c>
      <c r="K434" s="1">
        <v>275.94</v>
      </c>
      <c r="L434" s="1" t="s">
        <v>26</v>
      </c>
      <c r="M434" s="1" t="s">
        <v>32</v>
      </c>
      <c r="N434" s="1" t="s">
        <v>130</v>
      </c>
    </row>
    <row r="435" spans="1:14" x14ac:dyDescent="0.25">
      <c r="A435" s="1" t="s">
        <v>588</v>
      </c>
      <c r="B435" s="1" t="s">
        <v>794</v>
      </c>
      <c r="C435" s="1" t="s">
        <v>15</v>
      </c>
      <c r="D435" s="1" t="s">
        <v>106</v>
      </c>
      <c r="E435" s="1" t="s">
        <v>60</v>
      </c>
      <c r="F435" s="1" t="s">
        <v>52</v>
      </c>
      <c r="G435" s="1">
        <v>41</v>
      </c>
      <c r="H435" s="1">
        <v>25.62</v>
      </c>
      <c r="I435" s="1">
        <v>1050.42</v>
      </c>
      <c r="J435" s="1">
        <v>79.2</v>
      </c>
      <c r="K435" s="1">
        <v>335.72</v>
      </c>
      <c r="L435" s="1" t="s">
        <v>19</v>
      </c>
      <c r="M435" s="1" t="s">
        <v>27</v>
      </c>
      <c r="N435" s="1" t="s">
        <v>28</v>
      </c>
    </row>
    <row r="436" spans="1:14" x14ac:dyDescent="0.25">
      <c r="A436" s="1" t="s">
        <v>589</v>
      </c>
      <c r="B436" s="1" t="s">
        <v>793</v>
      </c>
      <c r="C436" s="1" t="s">
        <v>293</v>
      </c>
      <c r="D436" s="1" t="s">
        <v>16</v>
      </c>
      <c r="E436" s="1" t="s">
        <v>63</v>
      </c>
      <c r="F436" s="1" t="s">
        <v>37</v>
      </c>
      <c r="G436" s="1">
        <v>46</v>
      </c>
      <c r="H436" s="1">
        <v>16.78</v>
      </c>
      <c r="I436" s="1">
        <v>771.88</v>
      </c>
      <c r="J436" s="1">
        <v>18.04</v>
      </c>
      <c r="K436" s="1">
        <v>167.34</v>
      </c>
      <c r="L436" s="1" t="s">
        <v>38</v>
      </c>
      <c r="M436" s="1" t="s">
        <v>32</v>
      </c>
      <c r="N436" s="1" t="s">
        <v>21</v>
      </c>
    </row>
    <row r="437" spans="1:14" x14ac:dyDescent="0.25">
      <c r="A437" s="1" t="s">
        <v>590</v>
      </c>
      <c r="B437" s="1" t="s">
        <v>792</v>
      </c>
      <c r="C437" s="1" t="s">
        <v>319</v>
      </c>
      <c r="D437" s="1" t="s">
        <v>31</v>
      </c>
      <c r="E437" s="1" t="s">
        <v>36</v>
      </c>
      <c r="F437" s="1" t="s">
        <v>37</v>
      </c>
      <c r="G437" s="1">
        <v>16</v>
      </c>
      <c r="H437" s="1">
        <v>42.18</v>
      </c>
      <c r="I437" s="1">
        <v>674.88</v>
      </c>
      <c r="J437" s="1">
        <v>19.100000000000001</v>
      </c>
      <c r="K437" s="1">
        <v>143.78</v>
      </c>
      <c r="L437" s="1" t="s">
        <v>19</v>
      </c>
      <c r="M437" s="1" t="s">
        <v>32</v>
      </c>
      <c r="N437" s="1" t="s">
        <v>28</v>
      </c>
    </row>
    <row r="438" spans="1:14" x14ac:dyDescent="0.25">
      <c r="A438" s="1" t="s">
        <v>591</v>
      </c>
      <c r="B438" s="1" t="s">
        <v>791</v>
      </c>
      <c r="C438" s="1" t="s">
        <v>67</v>
      </c>
      <c r="D438" s="1" t="s">
        <v>106</v>
      </c>
      <c r="E438" s="1" t="s">
        <v>56</v>
      </c>
      <c r="F438" s="1" t="s">
        <v>57</v>
      </c>
      <c r="G438" s="1">
        <v>12</v>
      </c>
      <c r="H438" s="1">
        <v>34.97</v>
      </c>
      <c r="I438" s="1">
        <v>419.64</v>
      </c>
      <c r="J438" s="1">
        <v>28.48</v>
      </c>
      <c r="K438" s="1">
        <v>91.16</v>
      </c>
      <c r="L438" s="1" t="s">
        <v>19</v>
      </c>
      <c r="M438" s="1" t="s">
        <v>20</v>
      </c>
      <c r="N438" s="1" t="s">
        <v>28</v>
      </c>
    </row>
    <row r="439" spans="1:14" x14ac:dyDescent="0.25">
      <c r="A439" s="1" t="s">
        <v>592</v>
      </c>
      <c r="B439" s="1" t="s">
        <v>790</v>
      </c>
      <c r="C439" s="1" t="s">
        <v>137</v>
      </c>
      <c r="D439" s="1" t="s">
        <v>35</v>
      </c>
      <c r="E439" s="1" t="s">
        <v>48</v>
      </c>
      <c r="F439" s="1" t="s">
        <v>37</v>
      </c>
      <c r="G439" s="1">
        <v>31</v>
      </c>
      <c r="H439" s="1">
        <v>33.619999999999997</v>
      </c>
      <c r="I439" s="1">
        <v>1042.22</v>
      </c>
      <c r="J439" s="1">
        <v>26.33</v>
      </c>
      <c r="K439" s="1">
        <v>395.89</v>
      </c>
      <c r="L439" s="1" t="s">
        <v>38</v>
      </c>
      <c r="M439" s="1" t="s">
        <v>32</v>
      </c>
      <c r="N439" s="1" t="s">
        <v>39</v>
      </c>
    </row>
    <row r="440" spans="1:14" x14ac:dyDescent="0.25">
      <c r="A440" s="1" t="s">
        <v>593</v>
      </c>
      <c r="B440" s="1" t="s">
        <v>789</v>
      </c>
      <c r="C440" s="1" t="s">
        <v>421</v>
      </c>
      <c r="D440" s="1" t="s">
        <v>74</v>
      </c>
      <c r="E440" s="1" t="s">
        <v>51</v>
      </c>
      <c r="F440" s="1" t="s">
        <v>52</v>
      </c>
      <c r="G440" s="1">
        <v>40</v>
      </c>
      <c r="H440" s="1">
        <v>30.56</v>
      </c>
      <c r="I440" s="1">
        <v>1222.4000000000001</v>
      </c>
      <c r="J440" s="1">
        <v>26.42</v>
      </c>
      <c r="K440" s="1">
        <v>295.98</v>
      </c>
      <c r="L440" s="1" t="s">
        <v>19</v>
      </c>
      <c r="M440" s="1" t="s">
        <v>20</v>
      </c>
      <c r="N440" s="1" t="s">
        <v>58</v>
      </c>
    </row>
    <row r="441" spans="1:14" x14ac:dyDescent="0.25">
      <c r="A441" s="1" t="s">
        <v>594</v>
      </c>
      <c r="B441" s="1" t="s">
        <v>788</v>
      </c>
      <c r="C441" s="1" t="s">
        <v>142</v>
      </c>
      <c r="D441" s="1" t="s">
        <v>151</v>
      </c>
      <c r="E441" s="1" t="s">
        <v>17</v>
      </c>
      <c r="F441" s="1" t="s">
        <v>18</v>
      </c>
      <c r="G441" s="1">
        <v>15</v>
      </c>
      <c r="H441" s="1">
        <v>61.93</v>
      </c>
      <c r="I441" s="1">
        <v>928.95</v>
      </c>
      <c r="J441" s="1">
        <v>25.68</v>
      </c>
      <c r="K441" s="1">
        <v>378.27</v>
      </c>
      <c r="L441" s="1" t="s">
        <v>26</v>
      </c>
      <c r="M441" s="1" t="s">
        <v>32</v>
      </c>
      <c r="N441" s="1" t="s">
        <v>28</v>
      </c>
    </row>
    <row r="442" spans="1:14" x14ac:dyDescent="0.25">
      <c r="A442" s="1" t="s">
        <v>595</v>
      </c>
      <c r="B442" s="1" t="s">
        <v>787</v>
      </c>
      <c r="C442" s="1" t="s">
        <v>121</v>
      </c>
      <c r="D442" s="1" t="s">
        <v>55</v>
      </c>
      <c r="E442" s="1" t="s">
        <v>48</v>
      </c>
      <c r="F442" s="1" t="s">
        <v>37</v>
      </c>
      <c r="G442" s="1">
        <v>20</v>
      </c>
      <c r="H442" s="1">
        <v>35.770000000000003</v>
      </c>
      <c r="I442" s="1">
        <v>715.4</v>
      </c>
      <c r="J442" s="1">
        <v>39.229999999999997</v>
      </c>
      <c r="K442" s="1">
        <v>276.17</v>
      </c>
      <c r="L442" s="1" t="s">
        <v>19</v>
      </c>
      <c r="M442" s="1" t="s">
        <v>20</v>
      </c>
      <c r="N442" s="1" t="s">
        <v>58</v>
      </c>
    </row>
    <row r="443" spans="1:14" x14ac:dyDescent="0.25">
      <c r="A443" s="1" t="s">
        <v>596</v>
      </c>
      <c r="B443" s="1" t="s">
        <v>786</v>
      </c>
      <c r="C443" s="1" t="s">
        <v>246</v>
      </c>
      <c r="D443" s="1" t="s">
        <v>24</v>
      </c>
      <c r="E443" s="1" t="s">
        <v>63</v>
      </c>
      <c r="F443" s="1" t="s">
        <v>37</v>
      </c>
      <c r="G443" s="1">
        <v>21</v>
      </c>
      <c r="H443" s="1">
        <v>22.48</v>
      </c>
      <c r="I443" s="1">
        <v>472.08</v>
      </c>
      <c r="J443" s="1">
        <v>12.96</v>
      </c>
      <c r="K443" s="1">
        <v>191.37</v>
      </c>
      <c r="L443" s="1" t="s">
        <v>26</v>
      </c>
      <c r="M443" s="1" t="s">
        <v>20</v>
      </c>
      <c r="N443" s="1" t="s">
        <v>28</v>
      </c>
    </row>
    <row r="444" spans="1:14" x14ac:dyDescent="0.25">
      <c r="A444" s="1" t="s">
        <v>597</v>
      </c>
      <c r="B444" s="1" t="s">
        <v>780</v>
      </c>
      <c r="C444" s="1" t="s">
        <v>274</v>
      </c>
      <c r="D444" s="1" t="s">
        <v>55</v>
      </c>
      <c r="E444" s="1" t="s">
        <v>25</v>
      </c>
      <c r="F444" s="1" t="s">
        <v>18</v>
      </c>
      <c r="G444" s="1">
        <v>8</v>
      </c>
      <c r="H444" s="1">
        <v>27.53</v>
      </c>
      <c r="I444" s="1">
        <v>220.24</v>
      </c>
      <c r="J444" s="1">
        <v>12.66</v>
      </c>
      <c r="K444" s="1">
        <v>63.58</v>
      </c>
      <c r="L444" s="1" t="s">
        <v>26</v>
      </c>
      <c r="M444" s="1" t="s">
        <v>27</v>
      </c>
      <c r="N444" s="1" t="s">
        <v>58</v>
      </c>
    </row>
    <row r="445" spans="1:14" x14ac:dyDescent="0.25">
      <c r="A445" s="1" t="s">
        <v>598</v>
      </c>
      <c r="B445" s="1" t="s">
        <v>760</v>
      </c>
      <c r="C445" s="1" t="s">
        <v>226</v>
      </c>
      <c r="D445" s="1" t="s">
        <v>177</v>
      </c>
      <c r="E445" s="1" t="s">
        <v>51</v>
      </c>
      <c r="F445" s="1" t="s">
        <v>52</v>
      </c>
      <c r="G445" s="1">
        <v>35</v>
      </c>
      <c r="H445" s="1">
        <v>39.65</v>
      </c>
      <c r="I445" s="1">
        <v>1387.75</v>
      </c>
      <c r="J445" s="1">
        <v>60.95</v>
      </c>
      <c r="K445" s="1">
        <v>539.29999999999995</v>
      </c>
      <c r="L445" s="1" t="s">
        <v>38</v>
      </c>
      <c r="M445" s="1" t="s">
        <v>27</v>
      </c>
      <c r="N445" s="1" t="s">
        <v>58</v>
      </c>
    </row>
    <row r="446" spans="1:14" x14ac:dyDescent="0.25">
      <c r="A446" s="1" t="s">
        <v>599</v>
      </c>
      <c r="B446" s="1" t="s">
        <v>785</v>
      </c>
      <c r="C446" s="1" t="s">
        <v>181</v>
      </c>
      <c r="D446" s="1" t="s">
        <v>86</v>
      </c>
      <c r="E446" s="1" t="s">
        <v>60</v>
      </c>
      <c r="F446" s="1" t="s">
        <v>52</v>
      </c>
      <c r="G446" s="1">
        <v>50</v>
      </c>
      <c r="H446" s="1">
        <v>23.68</v>
      </c>
      <c r="I446" s="1">
        <v>1184</v>
      </c>
      <c r="J446" s="1">
        <v>46.62</v>
      </c>
      <c r="K446" s="1">
        <v>362.38</v>
      </c>
      <c r="L446" s="1" t="s">
        <v>26</v>
      </c>
      <c r="M446" s="1" t="s">
        <v>27</v>
      </c>
      <c r="N446" s="1" t="s">
        <v>87</v>
      </c>
    </row>
    <row r="447" spans="1:14" x14ac:dyDescent="0.25">
      <c r="A447" s="1" t="s">
        <v>600</v>
      </c>
      <c r="B447" s="1" t="s">
        <v>784</v>
      </c>
      <c r="C447" s="1" t="s">
        <v>183</v>
      </c>
      <c r="D447" s="1" t="s">
        <v>74</v>
      </c>
      <c r="E447" s="1" t="s">
        <v>63</v>
      </c>
      <c r="F447" s="1" t="s">
        <v>37</v>
      </c>
      <c r="G447" s="1">
        <v>5</v>
      </c>
      <c r="H447" s="1">
        <v>19.809999999999999</v>
      </c>
      <c r="I447" s="1">
        <v>99.05</v>
      </c>
      <c r="J447" s="1">
        <v>5.91</v>
      </c>
      <c r="K447" s="1">
        <v>29.39</v>
      </c>
      <c r="L447" s="1" t="s">
        <v>26</v>
      </c>
      <c r="M447" s="1" t="s">
        <v>32</v>
      </c>
      <c r="N447" s="1" t="s">
        <v>58</v>
      </c>
    </row>
    <row r="448" spans="1:14" x14ac:dyDescent="0.25">
      <c r="A448" s="1" t="s">
        <v>601</v>
      </c>
      <c r="B448" s="1" t="s">
        <v>757</v>
      </c>
      <c r="C448" s="1" t="s">
        <v>76</v>
      </c>
      <c r="D448" s="1" t="s">
        <v>35</v>
      </c>
      <c r="E448" s="1" t="s">
        <v>63</v>
      </c>
      <c r="F448" s="1" t="s">
        <v>37</v>
      </c>
      <c r="G448" s="1">
        <v>27</v>
      </c>
      <c r="H448" s="1">
        <v>18.03</v>
      </c>
      <c r="I448" s="1">
        <v>486.81</v>
      </c>
      <c r="J448" s="1">
        <v>36.630000000000003</v>
      </c>
      <c r="K448" s="1">
        <v>105.93</v>
      </c>
      <c r="L448" s="1" t="s">
        <v>19</v>
      </c>
      <c r="M448" s="1" t="s">
        <v>32</v>
      </c>
      <c r="N448" s="1" t="s">
        <v>39</v>
      </c>
    </row>
    <row r="449" spans="1:14" x14ac:dyDescent="0.25">
      <c r="A449" s="1" t="s">
        <v>602</v>
      </c>
      <c r="B449" s="1" t="s">
        <v>783</v>
      </c>
      <c r="C449" s="1" t="s">
        <v>261</v>
      </c>
      <c r="D449" s="1" t="s">
        <v>86</v>
      </c>
      <c r="E449" s="1" t="s">
        <v>25</v>
      </c>
      <c r="F449" s="1" t="s">
        <v>18</v>
      </c>
      <c r="G449" s="1">
        <v>45</v>
      </c>
      <c r="H449" s="1">
        <v>26.93</v>
      </c>
      <c r="I449" s="1">
        <v>1211.8499999999999</v>
      </c>
      <c r="J449" s="1">
        <v>62.85</v>
      </c>
      <c r="K449" s="1">
        <v>339</v>
      </c>
      <c r="L449" s="1" t="s">
        <v>26</v>
      </c>
      <c r="M449" s="1" t="s">
        <v>27</v>
      </c>
      <c r="N449" s="1" t="s">
        <v>87</v>
      </c>
    </row>
    <row r="450" spans="1:14" x14ac:dyDescent="0.25">
      <c r="A450" s="1" t="s">
        <v>603</v>
      </c>
      <c r="B450" s="1" t="s">
        <v>782</v>
      </c>
      <c r="C450" s="1" t="s">
        <v>319</v>
      </c>
      <c r="D450" s="1" t="s">
        <v>31</v>
      </c>
      <c r="E450" s="1" t="s">
        <v>48</v>
      </c>
      <c r="F450" s="1" t="s">
        <v>37</v>
      </c>
      <c r="G450" s="1">
        <v>40</v>
      </c>
      <c r="H450" s="1">
        <v>32.54</v>
      </c>
      <c r="I450" s="1">
        <v>1301.5999999999999</v>
      </c>
      <c r="J450" s="1">
        <v>47.06</v>
      </c>
      <c r="K450" s="1">
        <v>454.54</v>
      </c>
      <c r="L450" s="1" t="s">
        <v>19</v>
      </c>
      <c r="M450" s="1" t="s">
        <v>27</v>
      </c>
      <c r="N450" s="1" t="s">
        <v>28</v>
      </c>
    </row>
    <row r="451" spans="1:14" x14ac:dyDescent="0.25">
      <c r="A451" s="1" t="s">
        <v>604</v>
      </c>
      <c r="B451" s="1" t="s">
        <v>781</v>
      </c>
      <c r="C451" s="1" t="s">
        <v>85</v>
      </c>
      <c r="D451" s="1" t="s">
        <v>177</v>
      </c>
      <c r="E451" s="1" t="s">
        <v>51</v>
      </c>
      <c r="F451" s="1" t="s">
        <v>52</v>
      </c>
      <c r="G451" s="1">
        <v>26</v>
      </c>
      <c r="H451" s="1">
        <v>35.32</v>
      </c>
      <c r="I451" s="1">
        <v>918.32</v>
      </c>
      <c r="J451" s="1">
        <v>60.02</v>
      </c>
      <c r="K451" s="1">
        <v>273.3</v>
      </c>
      <c r="L451" s="1" t="s">
        <v>38</v>
      </c>
      <c r="M451" s="1" t="s">
        <v>20</v>
      </c>
      <c r="N451" s="1" t="s">
        <v>58</v>
      </c>
    </row>
    <row r="452" spans="1:14" x14ac:dyDescent="0.25">
      <c r="A452" s="1" t="s">
        <v>605</v>
      </c>
      <c r="B452" s="1" t="s">
        <v>780</v>
      </c>
      <c r="C452" s="1" t="s">
        <v>93</v>
      </c>
      <c r="D452" s="1" t="s">
        <v>35</v>
      </c>
      <c r="E452" s="1" t="s">
        <v>63</v>
      </c>
      <c r="F452" s="1" t="s">
        <v>37</v>
      </c>
      <c r="G452" s="1">
        <v>16</v>
      </c>
      <c r="H452" s="1">
        <v>16.440000000000001</v>
      </c>
      <c r="I452" s="1">
        <v>263.04000000000002</v>
      </c>
      <c r="J452" s="1">
        <v>17.64</v>
      </c>
      <c r="K452" s="1">
        <v>41.4</v>
      </c>
      <c r="L452" s="1" t="s">
        <v>19</v>
      </c>
      <c r="M452" s="1" t="s">
        <v>20</v>
      </c>
      <c r="N452" s="1" t="s">
        <v>39</v>
      </c>
    </row>
    <row r="453" spans="1:14" x14ac:dyDescent="0.25">
      <c r="A453" s="1" t="s">
        <v>606</v>
      </c>
      <c r="B453" s="1" t="s">
        <v>779</v>
      </c>
      <c r="C453" s="1" t="s">
        <v>226</v>
      </c>
      <c r="D453" s="1" t="s">
        <v>106</v>
      </c>
      <c r="E453" s="1" t="s">
        <v>83</v>
      </c>
      <c r="F453" s="1" t="s">
        <v>52</v>
      </c>
      <c r="G453" s="1">
        <v>39</v>
      </c>
      <c r="H453" s="1">
        <v>46.27</v>
      </c>
      <c r="I453" s="1">
        <v>1804.53</v>
      </c>
      <c r="J453" s="1">
        <v>38.57</v>
      </c>
      <c r="K453" s="1">
        <v>673.96</v>
      </c>
      <c r="L453" s="1" t="s">
        <v>38</v>
      </c>
      <c r="M453" s="1" t="s">
        <v>32</v>
      </c>
      <c r="N453" s="1" t="s">
        <v>28</v>
      </c>
    </row>
    <row r="454" spans="1:14" x14ac:dyDescent="0.25">
      <c r="A454" s="1" t="s">
        <v>607</v>
      </c>
      <c r="B454" s="1" t="s">
        <v>778</v>
      </c>
      <c r="C454" s="1" t="s">
        <v>154</v>
      </c>
      <c r="D454" s="1" t="s">
        <v>24</v>
      </c>
      <c r="E454" s="1" t="s">
        <v>56</v>
      </c>
      <c r="F454" s="1" t="s">
        <v>57</v>
      </c>
      <c r="G454" s="1">
        <v>15</v>
      </c>
      <c r="H454" s="1">
        <v>33.22</v>
      </c>
      <c r="I454" s="1">
        <v>498.3</v>
      </c>
      <c r="J454" s="1">
        <v>36.85</v>
      </c>
      <c r="K454" s="1">
        <v>86.45</v>
      </c>
      <c r="L454" s="1" t="s">
        <v>38</v>
      </c>
      <c r="M454" s="1" t="s">
        <v>32</v>
      </c>
      <c r="N454" s="1" t="s">
        <v>28</v>
      </c>
    </row>
    <row r="455" spans="1:14" x14ac:dyDescent="0.25">
      <c r="A455" s="1" t="s">
        <v>608</v>
      </c>
      <c r="B455" s="1" t="s">
        <v>777</v>
      </c>
      <c r="C455" s="1" t="s">
        <v>207</v>
      </c>
      <c r="D455" s="1" t="s">
        <v>86</v>
      </c>
      <c r="E455" s="1" t="s">
        <v>43</v>
      </c>
      <c r="F455" s="1" t="s">
        <v>44</v>
      </c>
      <c r="G455" s="1">
        <v>35</v>
      </c>
      <c r="H455" s="1">
        <v>71.02</v>
      </c>
      <c r="I455" s="1">
        <v>2485.6999999999998</v>
      </c>
      <c r="J455" s="1">
        <v>137.22</v>
      </c>
      <c r="K455" s="1">
        <v>948.48</v>
      </c>
      <c r="L455" s="1" t="s">
        <v>26</v>
      </c>
      <c r="M455" s="1" t="s">
        <v>27</v>
      </c>
      <c r="N455" s="1" t="s">
        <v>87</v>
      </c>
    </row>
    <row r="456" spans="1:14" x14ac:dyDescent="0.25">
      <c r="A456" s="1" t="s">
        <v>609</v>
      </c>
      <c r="B456" s="1" t="s">
        <v>776</v>
      </c>
      <c r="C456" s="1" t="s">
        <v>102</v>
      </c>
      <c r="D456" s="1" t="s">
        <v>74</v>
      </c>
      <c r="E456" s="1" t="s">
        <v>83</v>
      </c>
      <c r="F456" s="1" t="s">
        <v>52</v>
      </c>
      <c r="G456" s="1">
        <v>2</v>
      </c>
      <c r="H456" s="1">
        <v>42.31</v>
      </c>
      <c r="I456" s="1">
        <v>84.62</v>
      </c>
      <c r="J456" s="1">
        <v>4.28</v>
      </c>
      <c r="K456" s="1">
        <v>24.34</v>
      </c>
      <c r="L456" s="1" t="s">
        <v>26</v>
      </c>
      <c r="M456" s="1" t="s">
        <v>27</v>
      </c>
      <c r="N456" s="1" t="s">
        <v>58</v>
      </c>
    </row>
    <row r="457" spans="1:14" x14ac:dyDescent="0.25">
      <c r="A457" s="1" t="s">
        <v>610</v>
      </c>
      <c r="B457" s="1" t="s">
        <v>741</v>
      </c>
      <c r="C457" s="1" t="s">
        <v>91</v>
      </c>
      <c r="D457" s="1" t="s">
        <v>69</v>
      </c>
      <c r="E457" s="1" t="s">
        <v>56</v>
      </c>
      <c r="F457" s="1" t="s">
        <v>57</v>
      </c>
      <c r="G457" s="1">
        <v>8</v>
      </c>
      <c r="H457" s="1">
        <v>41.36</v>
      </c>
      <c r="I457" s="1">
        <v>330.88</v>
      </c>
      <c r="J457" s="1">
        <v>11.78</v>
      </c>
      <c r="K457" s="1">
        <v>119.1</v>
      </c>
      <c r="L457" s="1" t="s">
        <v>19</v>
      </c>
      <c r="M457" s="1" t="s">
        <v>20</v>
      </c>
      <c r="N457" s="1" t="s">
        <v>58</v>
      </c>
    </row>
    <row r="458" spans="1:14" x14ac:dyDescent="0.25">
      <c r="A458" s="1" t="s">
        <v>611</v>
      </c>
      <c r="B458" s="1" t="s">
        <v>775</v>
      </c>
      <c r="C458" s="1" t="s">
        <v>121</v>
      </c>
      <c r="D458" s="1" t="s">
        <v>42</v>
      </c>
      <c r="E458" s="1" t="s">
        <v>25</v>
      </c>
      <c r="F458" s="1" t="s">
        <v>18</v>
      </c>
      <c r="G458" s="1">
        <v>3</v>
      </c>
      <c r="H458" s="1">
        <v>31.39</v>
      </c>
      <c r="I458" s="1">
        <v>94.17</v>
      </c>
      <c r="J458" s="1">
        <v>2.52</v>
      </c>
      <c r="K458" s="1">
        <v>37.65</v>
      </c>
      <c r="L458" s="1" t="s">
        <v>38</v>
      </c>
      <c r="M458" s="1" t="s">
        <v>32</v>
      </c>
      <c r="N458" s="1" t="s">
        <v>21</v>
      </c>
    </row>
    <row r="459" spans="1:14" x14ac:dyDescent="0.25">
      <c r="A459" s="1" t="s">
        <v>612</v>
      </c>
      <c r="B459" s="1" t="s">
        <v>774</v>
      </c>
      <c r="C459" s="1" t="s">
        <v>145</v>
      </c>
      <c r="D459" s="1" t="s">
        <v>106</v>
      </c>
      <c r="E459" s="1" t="s">
        <v>51</v>
      </c>
      <c r="F459" s="1" t="s">
        <v>52</v>
      </c>
      <c r="G459" s="1">
        <v>48</v>
      </c>
      <c r="H459" s="1">
        <v>33.61</v>
      </c>
      <c r="I459" s="1">
        <v>1613.28</v>
      </c>
      <c r="J459" s="1">
        <v>109.92</v>
      </c>
      <c r="K459" s="1">
        <v>423.36</v>
      </c>
      <c r="L459" s="1" t="s">
        <v>19</v>
      </c>
      <c r="M459" s="1" t="s">
        <v>32</v>
      </c>
      <c r="N459" s="1" t="s">
        <v>28</v>
      </c>
    </row>
    <row r="460" spans="1:14" x14ac:dyDescent="0.25">
      <c r="A460" s="1" t="s">
        <v>613</v>
      </c>
      <c r="B460" s="1" t="s">
        <v>773</v>
      </c>
      <c r="C460" s="1" t="s">
        <v>173</v>
      </c>
      <c r="D460" s="1" t="s">
        <v>151</v>
      </c>
      <c r="E460" s="1" t="s">
        <v>36</v>
      </c>
      <c r="F460" s="1" t="s">
        <v>37</v>
      </c>
      <c r="G460" s="1">
        <v>9</v>
      </c>
      <c r="H460" s="1">
        <v>50.29</v>
      </c>
      <c r="I460" s="1">
        <v>452.61</v>
      </c>
      <c r="J460" s="1">
        <v>32.93</v>
      </c>
      <c r="K460" s="1">
        <v>131.68</v>
      </c>
      <c r="L460" s="1" t="s">
        <v>26</v>
      </c>
      <c r="M460" s="1" t="s">
        <v>32</v>
      </c>
      <c r="N460" s="1" t="s">
        <v>28</v>
      </c>
    </row>
    <row r="461" spans="1:14" x14ac:dyDescent="0.25">
      <c r="A461" s="1" t="s">
        <v>614</v>
      </c>
      <c r="B461" s="1" t="s">
        <v>772</v>
      </c>
      <c r="C461" s="1" t="s">
        <v>145</v>
      </c>
      <c r="D461" s="1" t="s">
        <v>16</v>
      </c>
      <c r="E461" s="1" t="s">
        <v>51</v>
      </c>
      <c r="F461" s="1" t="s">
        <v>52</v>
      </c>
      <c r="G461" s="1">
        <v>12</v>
      </c>
      <c r="H461" s="1">
        <v>34.96</v>
      </c>
      <c r="I461" s="1">
        <v>419.52</v>
      </c>
      <c r="J461" s="1">
        <v>15.43</v>
      </c>
      <c r="K461" s="1">
        <v>134.09</v>
      </c>
      <c r="L461" s="1" t="s">
        <v>26</v>
      </c>
      <c r="M461" s="1" t="s">
        <v>32</v>
      </c>
      <c r="N461" s="1" t="s">
        <v>21</v>
      </c>
    </row>
    <row r="462" spans="1:14" x14ac:dyDescent="0.25">
      <c r="A462" s="1" t="s">
        <v>615</v>
      </c>
      <c r="B462" s="1" t="s">
        <v>771</v>
      </c>
      <c r="C462" s="1" t="s">
        <v>371</v>
      </c>
      <c r="D462" s="1" t="s">
        <v>129</v>
      </c>
      <c r="E462" s="1" t="s">
        <v>17</v>
      </c>
      <c r="F462" s="1" t="s">
        <v>18</v>
      </c>
      <c r="G462" s="1">
        <v>29</v>
      </c>
      <c r="H462" s="1">
        <v>52.72</v>
      </c>
      <c r="I462" s="1">
        <v>1528.88</v>
      </c>
      <c r="J462" s="1">
        <v>96.91</v>
      </c>
      <c r="K462" s="1">
        <v>416.97</v>
      </c>
      <c r="L462" s="1" t="s">
        <v>26</v>
      </c>
      <c r="M462" s="1" t="s">
        <v>32</v>
      </c>
      <c r="N462" s="1" t="s">
        <v>130</v>
      </c>
    </row>
    <row r="463" spans="1:14" x14ac:dyDescent="0.25">
      <c r="A463" s="1" t="s">
        <v>616</v>
      </c>
      <c r="B463" s="1" t="s">
        <v>770</v>
      </c>
      <c r="C463" s="1" t="s">
        <v>330</v>
      </c>
      <c r="D463" s="1" t="s">
        <v>42</v>
      </c>
      <c r="E463" s="1" t="s">
        <v>60</v>
      </c>
      <c r="F463" s="1" t="s">
        <v>52</v>
      </c>
      <c r="G463" s="1">
        <v>39</v>
      </c>
      <c r="H463" s="1">
        <v>22.18</v>
      </c>
      <c r="I463" s="1">
        <v>865.02</v>
      </c>
      <c r="J463" s="1">
        <v>26.23</v>
      </c>
      <c r="K463" s="1">
        <v>234.29</v>
      </c>
      <c r="L463" s="1" t="s">
        <v>19</v>
      </c>
      <c r="M463" s="1" t="s">
        <v>32</v>
      </c>
      <c r="N463" s="1" t="s">
        <v>21</v>
      </c>
    </row>
    <row r="464" spans="1:14" x14ac:dyDescent="0.25">
      <c r="A464" s="1" t="s">
        <v>617</v>
      </c>
      <c r="B464" s="1" t="s">
        <v>769</v>
      </c>
      <c r="C464" s="1" t="s">
        <v>323</v>
      </c>
      <c r="D464" s="1" t="s">
        <v>69</v>
      </c>
      <c r="E464" s="1" t="s">
        <v>60</v>
      </c>
      <c r="F464" s="1" t="s">
        <v>52</v>
      </c>
      <c r="G464" s="1">
        <v>11</v>
      </c>
      <c r="H464" s="1">
        <v>21.4</v>
      </c>
      <c r="I464" s="1">
        <v>235.4</v>
      </c>
      <c r="J464" s="1">
        <v>11.64</v>
      </c>
      <c r="K464" s="1">
        <v>53.26</v>
      </c>
      <c r="L464" s="1" t="s">
        <v>19</v>
      </c>
      <c r="M464" s="1" t="s">
        <v>32</v>
      </c>
      <c r="N464" s="1" t="s">
        <v>58</v>
      </c>
    </row>
    <row r="465" spans="1:14" x14ac:dyDescent="0.25">
      <c r="A465" s="1" t="s">
        <v>618</v>
      </c>
      <c r="B465" s="1" t="s">
        <v>768</v>
      </c>
      <c r="C465" s="1" t="s">
        <v>291</v>
      </c>
      <c r="D465" s="1" t="s">
        <v>69</v>
      </c>
      <c r="E465" s="1" t="s">
        <v>56</v>
      </c>
      <c r="F465" s="1" t="s">
        <v>57</v>
      </c>
      <c r="G465" s="1">
        <v>21</v>
      </c>
      <c r="H465" s="1">
        <v>36.26</v>
      </c>
      <c r="I465" s="1">
        <v>761.46</v>
      </c>
      <c r="J465" s="1">
        <v>56.99</v>
      </c>
      <c r="K465" s="1">
        <v>179.47</v>
      </c>
      <c r="L465" s="1" t="s">
        <v>26</v>
      </c>
      <c r="M465" s="1" t="s">
        <v>20</v>
      </c>
      <c r="N465" s="1" t="s">
        <v>58</v>
      </c>
    </row>
    <row r="466" spans="1:14" x14ac:dyDescent="0.25">
      <c r="A466" s="1" t="s">
        <v>619</v>
      </c>
      <c r="B466" s="1" t="s">
        <v>767</v>
      </c>
      <c r="C466" s="1" t="s">
        <v>207</v>
      </c>
      <c r="D466" s="1" t="s">
        <v>55</v>
      </c>
      <c r="E466" s="1" t="s">
        <v>51</v>
      </c>
      <c r="F466" s="1" t="s">
        <v>52</v>
      </c>
      <c r="G466" s="1">
        <v>39</v>
      </c>
      <c r="H466" s="1">
        <v>35.409999999999997</v>
      </c>
      <c r="I466" s="1">
        <v>1380.99</v>
      </c>
      <c r="J466" s="1">
        <v>84.56</v>
      </c>
      <c r="K466" s="1">
        <v>418.93</v>
      </c>
      <c r="L466" s="1" t="s">
        <v>26</v>
      </c>
      <c r="M466" s="1" t="s">
        <v>20</v>
      </c>
      <c r="N466" s="1" t="s">
        <v>58</v>
      </c>
    </row>
    <row r="467" spans="1:14" x14ac:dyDescent="0.25">
      <c r="A467" s="1" t="s">
        <v>620</v>
      </c>
      <c r="B467" s="1" t="s">
        <v>766</v>
      </c>
      <c r="C467" s="1" t="s">
        <v>110</v>
      </c>
      <c r="D467" s="1" t="s">
        <v>55</v>
      </c>
      <c r="E467" s="1" t="s">
        <v>25</v>
      </c>
      <c r="F467" s="1" t="s">
        <v>18</v>
      </c>
      <c r="G467" s="1">
        <v>13</v>
      </c>
      <c r="H467" s="1">
        <v>27.35</v>
      </c>
      <c r="I467" s="1">
        <v>355.55</v>
      </c>
      <c r="J467" s="1">
        <v>26.23</v>
      </c>
      <c r="K467" s="1">
        <v>95.32</v>
      </c>
      <c r="L467" s="1" t="s">
        <v>26</v>
      </c>
      <c r="M467" s="1" t="s">
        <v>32</v>
      </c>
      <c r="N467" s="1" t="s">
        <v>58</v>
      </c>
    </row>
    <row r="468" spans="1:14" x14ac:dyDescent="0.25">
      <c r="A468" s="1" t="s">
        <v>621</v>
      </c>
      <c r="B468" s="1" t="s">
        <v>756</v>
      </c>
      <c r="C468" s="1" t="s">
        <v>91</v>
      </c>
      <c r="D468" s="1" t="s">
        <v>35</v>
      </c>
      <c r="E468" s="1" t="s">
        <v>63</v>
      </c>
      <c r="F468" s="1" t="s">
        <v>37</v>
      </c>
      <c r="G468" s="1">
        <v>40</v>
      </c>
      <c r="H468" s="1">
        <v>21.08</v>
      </c>
      <c r="I468" s="1">
        <v>843.2</v>
      </c>
      <c r="J468" s="1">
        <v>66.81</v>
      </c>
      <c r="K468" s="1">
        <v>266.39</v>
      </c>
      <c r="L468" s="1" t="s">
        <v>38</v>
      </c>
      <c r="M468" s="1" t="s">
        <v>27</v>
      </c>
      <c r="N468" s="1" t="s">
        <v>39</v>
      </c>
    </row>
    <row r="469" spans="1:14" x14ac:dyDescent="0.25">
      <c r="A469" s="1" t="s">
        <v>622</v>
      </c>
      <c r="B469" s="1" t="s">
        <v>765</v>
      </c>
      <c r="C469" s="1" t="s">
        <v>371</v>
      </c>
      <c r="D469" s="1" t="s">
        <v>47</v>
      </c>
      <c r="E469" s="1" t="s">
        <v>60</v>
      </c>
      <c r="F469" s="1" t="s">
        <v>52</v>
      </c>
      <c r="G469" s="1">
        <v>47</v>
      </c>
      <c r="H469" s="1">
        <v>27.54</v>
      </c>
      <c r="I469" s="1">
        <v>1294.3800000000001</v>
      </c>
      <c r="J469" s="1">
        <v>62.78</v>
      </c>
      <c r="K469" s="1">
        <v>503.1</v>
      </c>
      <c r="L469" s="1" t="s">
        <v>19</v>
      </c>
      <c r="M469" s="1" t="s">
        <v>20</v>
      </c>
      <c r="N469" s="1" t="s">
        <v>21</v>
      </c>
    </row>
    <row r="470" spans="1:14" x14ac:dyDescent="0.25">
      <c r="A470" s="1" t="s">
        <v>623</v>
      </c>
      <c r="B470" s="1" t="s">
        <v>764</v>
      </c>
      <c r="C470" s="1" t="s">
        <v>34</v>
      </c>
      <c r="D470" s="1" t="s">
        <v>177</v>
      </c>
      <c r="E470" s="1" t="s">
        <v>36</v>
      </c>
      <c r="F470" s="1" t="s">
        <v>37</v>
      </c>
      <c r="G470" s="1">
        <v>16</v>
      </c>
      <c r="H470" s="1">
        <v>45.08</v>
      </c>
      <c r="I470" s="1">
        <v>721.28</v>
      </c>
      <c r="J470" s="1">
        <v>21.61</v>
      </c>
      <c r="K470" s="1">
        <v>187.67</v>
      </c>
      <c r="L470" s="1" t="s">
        <v>26</v>
      </c>
      <c r="M470" s="1" t="s">
        <v>32</v>
      </c>
      <c r="N470" s="1" t="s">
        <v>58</v>
      </c>
    </row>
    <row r="471" spans="1:14" x14ac:dyDescent="0.25">
      <c r="A471" s="1" t="s">
        <v>624</v>
      </c>
      <c r="B471" s="1" t="s">
        <v>763</v>
      </c>
      <c r="C471" s="1" t="s">
        <v>123</v>
      </c>
      <c r="D471" s="1" t="s">
        <v>74</v>
      </c>
      <c r="E471" s="1" t="s">
        <v>51</v>
      </c>
      <c r="F471" s="1" t="s">
        <v>52</v>
      </c>
      <c r="G471" s="1">
        <v>37</v>
      </c>
      <c r="H471" s="1">
        <v>33.200000000000003</v>
      </c>
      <c r="I471" s="1">
        <v>1228.4000000000001</v>
      </c>
      <c r="J471" s="1">
        <v>41.34</v>
      </c>
      <c r="K471" s="1">
        <v>354.56</v>
      </c>
      <c r="L471" s="1" t="s">
        <v>38</v>
      </c>
      <c r="M471" s="1" t="s">
        <v>27</v>
      </c>
      <c r="N471" s="1" t="s">
        <v>58</v>
      </c>
    </row>
    <row r="472" spans="1:14" x14ac:dyDescent="0.25">
      <c r="A472" s="1" t="s">
        <v>625</v>
      </c>
      <c r="B472" s="1" t="s">
        <v>762</v>
      </c>
      <c r="C472" s="1" t="s">
        <v>15</v>
      </c>
      <c r="D472" s="1" t="s">
        <v>74</v>
      </c>
      <c r="E472" s="1" t="s">
        <v>25</v>
      </c>
      <c r="F472" s="1" t="s">
        <v>18</v>
      </c>
      <c r="G472" s="1">
        <v>8</v>
      </c>
      <c r="H472" s="1">
        <v>27.31</v>
      </c>
      <c r="I472" s="1">
        <v>218.48</v>
      </c>
      <c r="J472" s="1">
        <v>9.51</v>
      </c>
      <c r="K472" s="1">
        <v>64.97</v>
      </c>
      <c r="L472" s="1" t="s">
        <v>38</v>
      </c>
      <c r="M472" s="1" t="s">
        <v>20</v>
      </c>
      <c r="N472" s="1" t="s">
        <v>58</v>
      </c>
    </row>
    <row r="473" spans="1:14" x14ac:dyDescent="0.25">
      <c r="A473" s="1" t="s">
        <v>626</v>
      </c>
      <c r="B473" s="1" t="s">
        <v>761</v>
      </c>
      <c r="C473" s="1" t="s">
        <v>97</v>
      </c>
      <c r="D473" s="1" t="s">
        <v>86</v>
      </c>
      <c r="E473" s="1" t="s">
        <v>25</v>
      </c>
      <c r="F473" s="1" t="s">
        <v>18</v>
      </c>
      <c r="G473" s="1">
        <v>19</v>
      </c>
      <c r="H473" s="1">
        <v>29.14</v>
      </c>
      <c r="I473" s="1">
        <v>553.66</v>
      </c>
      <c r="J473" s="1">
        <v>19.7</v>
      </c>
      <c r="K473" s="1">
        <v>191.96</v>
      </c>
      <c r="L473" s="1" t="s">
        <v>19</v>
      </c>
      <c r="M473" s="1" t="s">
        <v>27</v>
      </c>
      <c r="N473" s="1" t="s">
        <v>87</v>
      </c>
    </row>
    <row r="474" spans="1:14" x14ac:dyDescent="0.25">
      <c r="A474" s="1" t="s">
        <v>627</v>
      </c>
      <c r="B474" s="1" t="s">
        <v>760</v>
      </c>
      <c r="C474" s="1" t="s">
        <v>209</v>
      </c>
      <c r="D474" s="1" t="s">
        <v>69</v>
      </c>
      <c r="E474" s="1" t="s">
        <v>17</v>
      </c>
      <c r="F474" s="1" t="s">
        <v>18</v>
      </c>
      <c r="G474" s="1">
        <v>6</v>
      </c>
      <c r="H474" s="1">
        <v>55.41</v>
      </c>
      <c r="I474" s="1">
        <v>332.46</v>
      </c>
      <c r="J474" s="1">
        <v>15.57</v>
      </c>
      <c r="K474" s="1">
        <v>106.89</v>
      </c>
      <c r="L474" s="1" t="s">
        <v>19</v>
      </c>
      <c r="M474" s="1" t="s">
        <v>20</v>
      </c>
      <c r="N474" s="1" t="s">
        <v>58</v>
      </c>
    </row>
    <row r="475" spans="1:14" x14ac:dyDescent="0.25">
      <c r="A475" s="1" t="s">
        <v>628</v>
      </c>
      <c r="B475" s="1" t="s">
        <v>759</v>
      </c>
      <c r="C475" s="1" t="s">
        <v>193</v>
      </c>
      <c r="D475" s="1" t="s">
        <v>74</v>
      </c>
      <c r="E475" s="1" t="s">
        <v>25</v>
      </c>
      <c r="F475" s="1" t="s">
        <v>18</v>
      </c>
      <c r="G475" s="1">
        <v>48</v>
      </c>
      <c r="H475" s="1">
        <v>29.07</v>
      </c>
      <c r="I475" s="1">
        <v>1395.36</v>
      </c>
      <c r="J475" s="1">
        <v>70.38</v>
      </c>
      <c r="K475" s="1">
        <v>460.98</v>
      </c>
      <c r="L475" s="1" t="s">
        <v>26</v>
      </c>
      <c r="M475" s="1" t="s">
        <v>32</v>
      </c>
      <c r="N475" s="1" t="s">
        <v>58</v>
      </c>
    </row>
    <row r="476" spans="1:14" x14ac:dyDescent="0.25">
      <c r="A476" s="1" t="s">
        <v>629</v>
      </c>
      <c r="B476" s="1" t="s">
        <v>758</v>
      </c>
      <c r="C476" s="1" t="s">
        <v>286</v>
      </c>
      <c r="D476" s="1" t="s">
        <v>35</v>
      </c>
      <c r="E476" s="1" t="s">
        <v>51</v>
      </c>
      <c r="F476" s="1" t="s">
        <v>52</v>
      </c>
      <c r="G476" s="1">
        <v>26</v>
      </c>
      <c r="H476" s="1">
        <v>27.17</v>
      </c>
      <c r="I476" s="1">
        <v>706.42</v>
      </c>
      <c r="J476" s="1">
        <v>33.94</v>
      </c>
      <c r="K476" s="1">
        <v>87.48</v>
      </c>
      <c r="L476" s="1" t="s">
        <v>38</v>
      </c>
      <c r="M476" s="1" t="s">
        <v>27</v>
      </c>
      <c r="N476" s="1" t="s">
        <v>39</v>
      </c>
    </row>
    <row r="477" spans="1:14" x14ac:dyDescent="0.25">
      <c r="A477" s="1" t="s">
        <v>630</v>
      </c>
      <c r="B477" s="1" t="s">
        <v>757</v>
      </c>
      <c r="C477" s="1" t="s">
        <v>105</v>
      </c>
      <c r="D477" s="1" t="s">
        <v>77</v>
      </c>
      <c r="E477" s="1" t="s">
        <v>17</v>
      </c>
      <c r="F477" s="1" t="s">
        <v>18</v>
      </c>
      <c r="G477" s="1">
        <v>9</v>
      </c>
      <c r="H477" s="1">
        <v>48.76</v>
      </c>
      <c r="I477" s="1">
        <v>438.84</v>
      </c>
      <c r="J477" s="1">
        <v>16.91</v>
      </c>
      <c r="K477" s="1">
        <v>106.93</v>
      </c>
      <c r="L477" s="1" t="s">
        <v>38</v>
      </c>
      <c r="M477" s="1" t="s">
        <v>20</v>
      </c>
      <c r="N477" s="1" t="s">
        <v>58</v>
      </c>
    </row>
    <row r="478" spans="1:14" x14ac:dyDescent="0.25">
      <c r="A478" s="1" t="s">
        <v>631</v>
      </c>
      <c r="B478" s="1" t="s">
        <v>756</v>
      </c>
      <c r="C478" s="1" t="s">
        <v>226</v>
      </c>
      <c r="D478" s="1" t="s">
        <v>24</v>
      </c>
      <c r="E478" s="1" t="s">
        <v>51</v>
      </c>
      <c r="F478" s="1" t="s">
        <v>52</v>
      </c>
      <c r="G478" s="1">
        <v>37</v>
      </c>
      <c r="H478" s="1">
        <v>33.21</v>
      </c>
      <c r="I478" s="1">
        <v>1228.77</v>
      </c>
      <c r="J478" s="1">
        <v>96.12</v>
      </c>
      <c r="K478" s="1">
        <v>300.14999999999998</v>
      </c>
      <c r="L478" s="1" t="s">
        <v>38</v>
      </c>
      <c r="M478" s="1" t="s">
        <v>27</v>
      </c>
      <c r="N478" s="1" t="s">
        <v>28</v>
      </c>
    </row>
    <row r="479" spans="1:14" x14ac:dyDescent="0.25">
      <c r="A479" s="1" t="s">
        <v>632</v>
      </c>
      <c r="B479" s="1" t="s">
        <v>755</v>
      </c>
      <c r="C479" s="1" t="s">
        <v>105</v>
      </c>
      <c r="D479" s="1" t="s">
        <v>35</v>
      </c>
      <c r="E479" s="1" t="s">
        <v>63</v>
      </c>
      <c r="F479" s="1" t="s">
        <v>37</v>
      </c>
      <c r="G479" s="1">
        <v>29</v>
      </c>
      <c r="H479" s="1">
        <v>16.54</v>
      </c>
      <c r="I479" s="1">
        <v>479.66</v>
      </c>
      <c r="J479" s="1">
        <v>30.23</v>
      </c>
      <c r="K479" s="1">
        <v>79.680000000000007</v>
      </c>
      <c r="L479" s="1" t="s">
        <v>26</v>
      </c>
      <c r="M479" s="1" t="s">
        <v>32</v>
      </c>
      <c r="N479" s="1" t="s">
        <v>39</v>
      </c>
    </row>
    <row r="480" spans="1:14" x14ac:dyDescent="0.25">
      <c r="A480" s="1" t="s">
        <v>633</v>
      </c>
      <c r="B480" s="1" t="s">
        <v>754</v>
      </c>
      <c r="C480" s="1" t="s">
        <v>76</v>
      </c>
      <c r="D480" s="1" t="s">
        <v>129</v>
      </c>
      <c r="E480" s="1" t="s">
        <v>56</v>
      </c>
      <c r="F480" s="1" t="s">
        <v>57</v>
      </c>
      <c r="G480" s="1">
        <v>11</v>
      </c>
      <c r="H480" s="1">
        <v>44.56</v>
      </c>
      <c r="I480" s="1">
        <v>490.16</v>
      </c>
      <c r="J480" s="1">
        <v>23.97</v>
      </c>
      <c r="K480" s="1">
        <v>191.19</v>
      </c>
      <c r="L480" s="1" t="s">
        <v>26</v>
      </c>
      <c r="M480" s="1" t="s">
        <v>32</v>
      </c>
      <c r="N480" s="1" t="s">
        <v>130</v>
      </c>
    </row>
    <row r="481" spans="1:14" x14ac:dyDescent="0.25">
      <c r="A481" s="1" t="s">
        <v>634</v>
      </c>
      <c r="B481" s="1" t="s">
        <v>753</v>
      </c>
      <c r="C481" s="1" t="s">
        <v>50</v>
      </c>
      <c r="D481" s="1" t="s">
        <v>47</v>
      </c>
      <c r="E481" s="1" t="s">
        <v>36</v>
      </c>
      <c r="F481" s="1" t="s">
        <v>37</v>
      </c>
      <c r="G481" s="1">
        <v>50</v>
      </c>
      <c r="H481" s="1">
        <v>44.78</v>
      </c>
      <c r="I481" s="1">
        <v>2239</v>
      </c>
      <c r="J481" s="1">
        <v>169.97</v>
      </c>
      <c r="K481" s="1">
        <v>469.03</v>
      </c>
      <c r="L481" s="1" t="s">
        <v>19</v>
      </c>
      <c r="M481" s="1" t="s">
        <v>32</v>
      </c>
      <c r="N481" s="1" t="s">
        <v>21</v>
      </c>
    </row>
    <row r="482" spans="1:14" x14ac:dyDescent="0.25">
      <c r="A482" s="1" t="s">
        <v>635</v>
      </c>
      <c r="B482" s="1" t="s">
        <v>752</v>
      </c>
      <c r="C482" s="1" t="s">
        <v>73</v>
      </c>
      <c r="D482" s="1" t="s">
        <v>16</v>
      </c>
      <c r="E482" s="1" t="s">
        <v>25</v>
      </c>
      <c r="F482" s="1" t="s">
        <v>18</v>
      </c>
      <c r="G482" s="1">
        <v>30</v>
      </c>
      <c r="H482" s="1">
        <v>22.51</v>
      </c>
      <c r="I482" s="1">
        <v>675.3</v>
      </c>
      <c r="J482" s="1">
        <v>26.26</v>
      </c>
      <c r="K482" s="1">
        <v>109.04</v>
      </c>
      <c r="L482" s="1" t="s">
        <v>19</v>
      </c>
      <c r="M482" s="1" t="s">
        <v>20</v>
      </c>
      <c r="N482" s="1" t="s">
        <v>21</v>
      </c>
    </row>
    <row r="483" spans="1:14" x14ac:dyDescent="0.25">
      <c r="A483" s="1" t="s">
        <v>636</v>
      </c>
      <c r="B483" s="1" t="s">
        <v>751</v>
      </c>
      <c r="C483" s="1" t="s">
        <v>246</v>
      </c>
      <c r="D483" s="1" t="s">
        <v>129</v>
      </c>
      <c r="E483" s="1" t="s">
        <v>60</v>
      </c>
      <c r="F483" s="1" t="s">
        <v>52</v>
      </c>
      <c r="G483" s="1">
        <v>50</v>
      </c>
      <c r="H483" s="1">
        <v>27.18</v>
      </c>
      <c r="I483" s="1">
        <v>1359</v>
      </c>
      <c r="J483" s="1">
        <v>45.67</v>
      </c>
      <c r="K483" s="1">
        <v>538.33000000000004</v>
      </c>
      <c r="L483" s="1" t="s">
        <v>19</v>
      </c>
      <c r="M483" s="1" t="s">
        <v>32</v>
      </c>
      <c r="N483" s="1" t="s">
        <v>130</v>
      </c>
    </row>
    <row r="484" spans="1:14" x14ac:dyDescent="0.25">
      <c r="A484" s="1" t="s">
        <v>637</v>
      </c>
      <c r="B484" s="1" t="s">
        <v>750</v>
      </c>
      <c r="C484" s="1" t="s">
        <v>135</v>
      </c>
      <c r="D484" s="1" t="s">
        <v>31</v>
      </c>
      <c r="E484" s="1" t="s">
        <v>83</v>
      </c>
      <c r="F484" s="1" t="s">
        <v>52</v>
      </c>
      <c r="G484" s="1">
        <v>28</v>
      </c>
      <c r="H484" s="1">
        <v>37.51</v>
      </c>
      <c r="I484" s="1">
        <v>1050.28</v>
      </c>
      <c r="J484" s="1">
        <v>45.83</v>
      </c>
      <c r="K484" s="1">
        <v>220.45</v>
      </c>
      <c r="L484" s="1" t="s">
        <v>38</v>
      </c>
      <c r="M484" s="1" t="s">
        <v>27</v>
      </c>
      <c r="N484" s="1" t="s">
        <v>28</v>
      </c>
    </row>
    <row r="485" spans="1:14" x14ac:dyDescent="0.25">
      <c r="A485" s="1" t="s">
        <v>638</v>
      </c>
      <c r="B485" s="1" t="s">
        <v>749</v>
      </c>
      <c r="C485" s="1" t="s">
        <v>67</v>
      </c>
      <c r="D485" s="1" t="s">
        <v>129</v>
      </c>
      <c r="E485" s="1" t="s">
        <v>43</v>
      </c>
      <c r="F485" s="1" t="s">
        <v>44</v>
      </c>
      <c r="G485" s="1">
        <v>50</v>
      </c>
      <c r="H485" s="1">
        <v>53.71</v>
      </c>
      <c r="I485" s="1">
        <v>2685.5</v>
      </c>
      <c r="J485" s="1">
        <v>197.89</v>
      </c>
      <c r="K485" s="1">
        <v>487.61</v>
      </c>
      <c r="L485" s="1" t="s">
        <v>26</v>
      </c>
      <c r="M485" s="1" t="s">
        <v>32</v>
      </c>
      <c r="N485" s="1" t="s">
        <v>130</v>
      </c>
    </row>
    <row r="486" spans="1:14" x14ac:dyDescent="0.25">
      <c r="A486" s="1" t="s">
        <v>639</v>
      </c>
      <c r="B486" s="1" t="s">
        <v>748</v>
      </c>
      <c r="C486" s="1" t="s">
        <v>399</v>
      </c>
      <c r="D486" s="1" t="s">
        <v>86</v>
      </c>
      <c r="E486" s="1" t="s">
        <v>60</v>
      </c>
      <c r="F486" s="1" t="s">
        <v>52</v>
      </c>
      <c r="G486" s="1">
        <v>24</v>
      </c>
      <c r="H486" s="1">
        <v>18.62</v>
      </c>
      <c r="I486" s="1">
        <v>446.88</v>
      </c>
      <c r="J486" s="1">
        <v>26.91</v>
      </c>
      <c r="K486" s="1">
        <v>47.97</v>
      </c>
      <c r="L486" s="1" t="s">
        <v>26</v>
      </c>
      <c r="M486" s="1" t="s">
        <v>27</v>
      </c>
      <c r="N486" s="1" t="s">
        <v>87</v>
      </c>
    </row>
    <row r="487" spans="1:14" x14ac:dyDescent="0.25">
      <c r="A487" s="1" t="s">
        <v>640</v>
      </c>
      <c r="B487" s="1" t="s">
        <v>747</v>
      </c>
      <c r="C487" s="1" t="s">
        <v>183</v>
      </c>
      <c r="D487" s="1" t="s">
        <v>69</v>
      </c>
      <c r="E487" s="1" t="s">
        <v>43</v>
      </c>
      <c r="F487" s="1" t="s">
        <v>44</v>
      </c>
      <c r="G487" s="1">
        <v>10</v>
      </c>
      <c r="H487" s="1">
        <v>49.15</v>
      </c>
      <c r="I487" s="1">
        <v>491.5</v>
      </c>
      <c r="J487" s="1">
        <v>13.3</v>
      </c>
      <c r="K487" s="1">
        <v>78.2</v>
      </c>
      <c r="L487" s="1" t="s">
        <v>38</v>
      </c>
      <c r="M487" s="1" t="s">
        <v>32</v>
      </c>
      <c r="N487" s="1" t="s">
        <v>58</v>
      </c>
    </row>
    <row r="488" spans="1:14" x14ac:dyDescent="0.25">
      <c r="A488" s="1" t="s">
        <v>641</v>
      </c>
      <c r="B488" s="1" t="s">
        <v>746</v>
      </c>
      <c r="C488" s="1" t="s">
        <v>207</v>
      </c>
      <c r="D488" s="1" t="s">
        <v>55</v>
      </c>
      <c r="E488" s="1" t="s">
        <v>43</v>
      </c>
      <c r="F488" s="1" t="s">
        <v>44</v>
      </c>
      <c r="G488" s="1">
        <v>42</v>
      </c>
      <c r="H488" s="1">
        <v>50.96</v>
      </c>
      <c r="I488" s="1">
        <v>2140.3200000000002</v>
      </c>
      <c r="J488" s="1">
        <v>127.85</v>
      </c>
      <c r="K488" s="1">
        <v>332.47</v>
      </c>
      <c r="L488" s="1" t="s">
        <v>19</v>
      </c>
      <c r="M488" s="1" t="s">
        <v>27</v>
      </c>
      <c r="N488" s="1" t="s">
        <v>58</v>
      </c>
    </row>
    <row r="489" spans="1:14" x14ac:dyDescent="0.25">
      <c r="A489" s="1" t="s">
        <v>642</v>
      </c>
      <c r="B489" s="1" t="s">
        <v>745</v>
      </c>
      <c r="C489" s="1" t="s">
        <v>204</v>
      </c>
      <c r="D489" s="1" t="s">
        <v>55</v>
      </c>
      <c r="E489" s="1" t="s">
        <v>56</v>
      </c>
      <c r="F489" s="1" t="s">
        <v>57</v>
      </c>
      <c r="G489" s="1">
        <v>39</v>
      </c>
      <c r="H489" s="1">
        <v>37.46</v>
      </c>
      <c r="I489" s="1">
        <v>1460.94</v>
      </c>
      <c r="J489" s="1">
        <v>82.25</v>
      </c>
      <c r="K489" s="1">
        <v>403.69</v>
      </c>
      <c r="L489" s="1" t="s">
        <v>38</v>
      </c>
      <c r="M489" s="1" t="s">
        <v>20</v>
      </c>
      <c r="N489" s="1" t="s">
        <v>58</v>
      </c>
    </row>
    <row r="490" spans="1:14" x14ac:dyDescent="0.25">
      <c r="A490" s="1" t="s">
        <v>643</v>
      </c>
      <c r="B490" s="1" t="s">
        <v>744</v>
      </c>
      <c r="C490" s="1" t="s">
        <v>108</v>
      </c>
      <c r="D490" s="1" t="s">
        <v>106</v>
      </c>
      <c r="E490" s="1" t="s">
        <v>63</v>
      </c>
      <c r="F490" s="1" t="s">
        <v>37</v>
      </c>
      <c r="G490" s="1">
        <v>7</v>
      </c>
      <c r="H490" s="1">
        <v>20.2</v>
      </c>
      <c r="I490" s="1">
        <v>141.4</v>
      </c>
      <c r="J490" s="1">
        <v>4.3499999999999996</v>
      </c>
      <c r="K490" s="1">
        <v>47.8</v>
      </c>
      <c r="L490" s="1" t="s">
        <v>26</v>
      </c>
      <c r="M490" s="1" t="s">
        <v>32</v>
      </c>
      <c r="N490" s="1" t="s">
        <v>28</v>
      </c>
    </row>
    <row r="491" spans="1:14" x14ac:dyDescent="0.25">
      <c r="A491" s="1" t="s">
        <v>644</v>
      </c>
      <c r="B491" s="1" t="s">
        <v>743</v>
      </c>
      <c r="C491" s="1" t="s">
        <v>123</v>
      </c>
      <c r="D491" s="1" t="s">
        <v>42</v>
      </c>
      <c r="E491" s="1" t="s">
        <v>63</v>
      </c>
      <c r="F491" s="1" t="s">
        <v>37</v>
      </c>
      <c r="G491" s="1">
        <v>18</v>
      </c>
      <c r="H491" s="1">
        <v>18.63</v>
      </c>
      <c r="I491" s="1">
        <v>335.34</v>
      </c>
      <c r="J491" s="1">
        <v>26.18</v>
      </c>
      <c r="K491" s="1">
        <v>79.66</v>
      </c>
      <c r="L491" s="1" t="s">
        <v>26</v>
      </c>
      <c r="M491" s="1" t="s">
        <v>20</v>
      </c>
      <c r="N491" s="1" t="s">
        <v>21</v>
      </c>
    </row>
    <row r="492" spans="1:14" x14ac:dyDescent="0.25">
      <c r="A492" s="1" t="s">
        <v>645</v>
      </c>
      <c r="B492" s="1" t="s">
        <v>742</v>
      </c>
      <c r="C492" s="1" t="s">
        <v>291</v>
      </c>
      <c r="D492" s="1" t="s">
        <v>129</v>
      </c>
      <c r="E492" s="1" t="s">
        <v>51</v>
      </c>
      <c r="F492" s="1" t="s">
        <v>52</v>
      </c>
      <c r="G492" s="1">
        <v>12</v>
      </c>
      <c r="H492" s="1">
        <v>27.08</v>
      </c>
      <c r="I492" s="1">
        <v>324.95999999999998</v>
      </c>
      <c r="J492" s="1">
        <v>15.59</v>
      </c>
      <c r="K492" s="1">
        <v>39.369999999999997</v>
      </c>
      <c r="L492" s="1" t="s">
        <v>26</v>
      </c>
      <c r="M492" s="1" t="s">
        <v>32</v>
      </c>
      <c r="N492" s="1" t="s">
        <v>130</v>
      </c>
    </row>
    <row r="493" spans="1:14" x14ac:dyDescent="0.25">
      <c r="A493" s="1" t="s">
        <v>646</v>
      </c>
      <c r="B493" s="1" t="s">
        <v>741</v>
      </c>
      <c r="C493" s="1" t="s">
        <v>315</v>
      </c>
      <c r="D493" s="1" t="s">
        <v>106</v>
      </c>
      <c r="E493" s="1" t="s">
        <v>56</v>
      </c>
      <c r="F493" s="1" t="s">
        <v>57</v>
      </c>
      <c r="G493" s="1">
        <v>50</v>
      </c>
      <c r="H493" s="1">
        <v>32.21</v>
      </c>
      <c r="I493" s="1">
        <v>1610.5</v>
      </c>
      <c r="J493" s="1">
        <v>32.68</v>
      </c>
      <c r="K493" s="1">
        <v>327.82</v>
      </c>
      <c r="L493" s="1" t="s">
        <v>26</v>
      </c>
      <c r="M493" s="1" t="s">
        <v>32</v>
      </c>
      <c r="N493" s="1" t="s">
        <v>28</v>
      </c>
    </row>
    <row r="494" spans="1:14" x14ac:dyDescent="0.25">
      <c r="A494" s="1" t="s">
        <v>647</v>
      </c>
      <c r="B494" s="1" t="s">
        <v>740</v>
      </c>
      <c r="C494" s="1" t="s">
        <v>410</v>
      </c>
      <c r="D494" s="1" t="s">
        <v>86</v>
      </c>
      <c r="E494" s="1" t="s">
        <v>63</v>
      </c>
      <c r="F494" s="1" t="s">
        <v>37</v>
      </c>
      <c r="G494" s="1">
        <v>49</v>
      </c>
      <c r="H494" s="1">
        <v>20.59</v>
      </c>
      <c r="I494" s="1">
        <v>1008.91</v>
      </c>
      <c r="J494" s="1">
        <v>78.03</v>
      </c>
      <c r="K494" s="1">
        <v>306.13</v>
      </c>
      <c r="L494" s="1" t="s">
        <v>26</v>
      </c>
      <c r="M494" s="1" t="s">
        <v>32</v>
      </c>
      <c r="N494" s="1" t="s">
        <v>87</v>
      </c>
    </row>
    <row r="495" spans="1:14" x14ac:dyDescent="0.25">
      <c r="A495" s="1" t="s">
        <v>648</v>
      </c>
      <c r="B495" s="1" t="s">
        <v>739</v>
      </c>
      <c r="C495" s="1" t="s">
        <v>85</v>
      </c>
      <c r="D495" s="1" t="s">
        <v>31</v>
      </c>
      <c r="E495" s="1" t="s">
        <v>48</v>
      </c>
      <c r="F495" s="1" t="s">
        <v>37</v>
      </c>
      <c r="G495" s="1">
        <v>22</v>
      </c>
      <c r="H495" s="1">
        <v>28.63</v>
      </c>
      <c r="I495" s="1">
        <v>629.86</v>
      </c>
      <c r="J495" s="1">
        <v>29.08</v>
      </c>
      <c r="K495" s="1">
        <v>160.78</v>
      </c>
      <c r="L495" s="1" t="s">
        <v>26</v>
      </c>
      <c r="M495" s="1" t="s">
        <v>27</v>
      </c>
      <c r="N495" s="1" t="s">
        <v>28</v>
      </c>
    </row>
    <row r="496" spans="1:14" x14ac:dyDescent="0.25">
      <c r="A496" s="1" t="s">
        <v>649</v>
      </c>
      <c r="B496" s="1" t="s">
        <v>738</v>
      </c>
      <c r="C496" s="1" t="s">
        <v>183</v>
      </c>
      <c r="D496" s="1" t="s">
        <v>55</v>
      </c>
      <c r="E496" s="1" t="s">
        <v>43</v>
      </c>
      <c r="F496" s="1" t="s">
        <v>44</v>
      </c>
      <c r="G496" s="1">
        <v>11</v>
      </c>
      <c r="H496" s="1">
        <v>56.12</v>
      </c>
      <c r="I496" s="1">
        <v>617.32000000000005</v>
      </c>
      <c r="J496" s="1">
        <v>38.26</v>
      </c>
      <c r="K496" s="1">
        <v>139.06</v>
      </c>
      <c r="L496" s="1" t="s">
        <v>26</v>
      </c>
      <c r="M496" s="1" t="s">
        <v>27</v>
      </c>
      <c r="N496" s="1" t="s">
        <v>58</v>
      </c>
    </row>
    <row r="497" spans="1:14" x14ac:dyDescent="0.25">
      <c r="A497" s="1" t="s">
        <v>650</v>
      </c>
      <c r="B497" s="1" t="s">
        <v>737</v>
      </c>
      <c r="C497" s="1" t="s">
        <v>41</v>
      </c>
      <c r="D497" s="1" t="s">
        <v>16</v>
      </c>
      <c r="E497" s="1" t="s">
        <v>56</v>
      </c>
      <c r="F497" s="1" t="s">
        <v>57</v>
      </c>
      <c r="G497" s="1">
        <v>2</v>
      </c>
      <c r="H497" s="1">
        <v>30.88</v>
      </c>
      <c r="I497" s="1">
        <v>61.76</v>
      </c>
      <c r="J497" s="1">
        <v>4.42</v>
      </c>
      <c r="K497" s="1">
        <v>7.34</v>
      </c>
      <c r="L497" s="1" t="s">
        <v>38</v>
      </c>
      <c r="M497" s="1" t="s">
        <v>27</v>
      </c>
      <c r="N497" s="1" t="s">
        <v>21</v>
      </c>
    </row>
    <row r="498" spans="1:14" x14ac:dyDescent="0.25">
      <c r="A498" s="1" t="s">
        <v>651</v>
      </c>
      <c r="B498" s="1" t="s">
        <v>736</v>
      </c>
      <c r="C498" s="1" t="s">
        <v>297</v>
      </c>
      <c r="D498" s="1" t="s">
        <v>129</v>
      </c>
      <c r="E498" s="1" t="s">
        <v>43</v>
      </c>
      <c r="F498" s="1" t="s">
        <v>44</v>
      </c>
      <c r="G498" s="1">
        <v>34</v>
      </c>
      <c r="H498" s="1">
        <v>63.8</v>
      </c>
      <c r="I498" s="1">
        <v>2169.1999999999998</v>
      </c>
      <c r="J498" s="1">
        <v>69.650000000000006</v>
      </c>
      <c r="K498" s="1">
        <v>739.55</v>
      </c>
      <c r="L498" s="1" t="s">
        <v>26</v>
      </c>
      <c r="M498" s="1" t="s">
        <v>32</v>
      </c>
      <c r="N498" s="1" t="s">
        <v>130</v>
      </c>
    </row>
    <row r="499" spans="1:14" x14ac:dyDescent="0.25">
      <c r="A499" s="1" t="s">
        <v>652</v>
      </c>
      <c r="B499" s="1" t="s">
        <v>735</v>
      </c>
      <c r="C499" s="1" t="s">
        <v>176</v>
      </c>
      <c r="D499" s="1" t="s">
        <v>47</v>
      </c>
      <c r="E499" s="1" t="s">
        <v>83</v>
      </c>
      <c r="F499" s="1" t="s">
        <v>52</v>
      </c>
      <c r="G499" s="1">
        <v>50</v>
      </c>
      <c r="H499" s="1">
        <v>44.61</v>
      </c>
      <c r="I499" s="1">
        <v>2230.5</v>
      </c>
      <c r="J499" s="1">
        <v>91.32</v>
      </c>
      <c r="K499" s="1">
        <v>739.18</v>
      </c>
      <c r="L499" s="1" t="s">
        <v>38</v>
      </c>
      <c r="M499" s="1" t="s">
        <v>20</v>
      </c>
      <c r="N499" s="1" t="s">
        <v>21</v>
      </c>
    </row>
    <row r="500" spans="1:14" x14ac:dyDescent="0.25">
      <c r="A500" s="1" t="s">
        <v>653</v>
      </c>
      <c r="B500" s="1" t="s">
        <v>734</v>
      </c>
      <c r="C500" s="1" t="s">
        <v>71</v>
      </c>
      <c r="D500" s="1" t="s">
        <v>74</v>
      </c>
      <c r="E500" s="1" t="s">
        <v>63</v>
      </c>
      <c r="F500" s="1" t="s">
        <v>37</v>
      </c>
      <c r="G500" s="1">
        <v>14</v>
      </c>
      <c r="H500" s="1">
        <v>18.61</v>
      </c>
      <c r="I500" s="1">
        <v>260.54000000000002</v>
      </c>
      <c r="J500" s="1">
        <v>5.39</v>
      </c>
      <c r="K500" s="1">
        <v>76.650000000000006</v>
      </c>
      <c r="L500" s="1" t="s">
        <v>26</v>
      </c>
      <c r="M500" s="1" t="s">
        <v>32</v>
      </c>
      <c r="N500" s="1" t="s">
        <v>58</v>
      </c>
    </row>
    <row r="501" spans="1:14" x14ac:dyDescent="0.25">
      <c r="A501" s="1" t="s">
        <v>654</v>
      </c>
      <c r="B501" s="1" t="s">
        <v>733</v>
      </c>
      <c r="C501" s="1" t="s">
        <v>286</v>
      </c>
      <c r="D501" s="1" t="s">
        <v>24</v>
      </c>
      <c r="E501" s="1" t="s">
        <v>60</v>
      </c>
      <c r="F501" s="1" t="s">
        <v>52</v>
      </c>
      <c r="G501" s="1">
        <v>7</v>
      </c>
      <c r="H501" s="1">
        <v>24.61</v>
      </c>
      <c r="I501" s="1">
        <v>172.27</v>
      </c>
      <c r="J501" s="1">
        <v>9.64</v>
      </c>
      <c r="K501" s="1">
        <v>54.13</v>
      </c>
      <c r="L501" s="1" t="s">
        <v>38</v>
      </c>
      <c r="M501" s="1" t="s">
        <v>32</v>
      </c>
      <c r="N501" s="1" t="s">
        <v>28</v>
      </c>
    </row>
  </sheetData>
  <pageMargins left="0.75" right="0.75" top="1" bottom="1" header="0.5" footer="0.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949549-E924-4F8F-94F8-88474C1E1C37}">
  <sheetPr codeName="Sheet3"/>
  <dimension ref="A1:T94"/>
  <sheetViews>
    <sheetView zoomScale="121" workbookViewId="0">
      <selection activeCell="G22" sqref="G22"/>
    </sheetView>
  </sheetViews>
  <sheetFormatPr defaultRowHeight="15" x14ac:dyDescent="0.25"/>
  <cols>
    <col min="1" max="1" width="13.140625" bestFit="1" customWidth="1"/>
    <col min="2" max="2" width="7.7109375" bestFit="1" customWidth="1"/>
    <col min="3" max="3" width="11.140625" bestFit="1" customWidth="1"/>
    <col min="4" max="4" width="11.28515625" bestFit="1" customWidth="1"/>
    <col min="5" max="5" width="10.7109375" bestFit="1" customWidth="1"/>
    <col min="6" max="6" width="8.140625" bestFit="1" customWidth="1"/>
    <col min="9" max="9" width="14.140625" customWidth="1"/>
    <col min="10" max="10" width="11.28515625" bestFit="1" customWidth="1"/>
    <col min="11" max="11" width="15.7109375" bestFit="1" customWidth="1"/>
    <col min="12" max="12" width="15.85546875" bestFit="1" customWidth="1"/>
    <col min="13" max="13" width="15.28515625" bestFit="1" customWidth="1"/>
    <col min="14" max="14" width="12.7109375" bestFit="1" customWidth="1"/>
    <col min="18" max="18" width="11.28515625" style="57" bestFit="1" customWidth="1"/>
    <col min="19" max="19" width="15.7109375" bestFit="1" customWidth="1"/>
    <col min="20" max="20" width="15.85546875" bestFit="1" customWidth="1"/>
  </cols>
  <sheetData>
    <row r="1" spans="1:20" x14ac:dyDescent="0.25">
      <c r="A1" s="27" t="s">
        <v>13</v>
      </c>
      <c r="B1" s="27" t="s">
        <v>725</v>
      </c>
      <c r="C1" s="27" t="s">
        <v>8</v>
      </c>
      <c r="D1" s="27" t="s">
        <v>724</v>
      </c>
      <c r="E1" s="27" t="s">
        <v>723</v>
      </c>
      <c r="F1" s="27" t="s">
        <v>722</v>
      </c>
      <c r="I1" s="50" t="s">
        <v>13</v>
      </c>
      <c r="J1" s="19" t="s">
        <v>725</v>
      </c>
      <c r="K1" s="19" t="s">
        <v>8</v>
      </c>
      <c r="L1" s="19" t="s">
        <v>724</v>
      </c>
      <c r="M1" s="19" t="s">
        <v>723</v>
      </c>
      <c r="N1" s="51" t="s">
        <v>722</v>
      </c>
      <c r="R1" s="54" t="s">
        <v>725</v>
      </c>
      <c r="S1" s="19" t="s">
        <v>8</v>
      </c>
      <c r="T1" s="51" t="s">
        <v>724</v>
      </c>
    </row>
    <row r="2" spans="1:20" x14ac:dyDescent="0.25">
      <c r="A2" s="40" t="s">
        <v>87</v>
      </c>
      <c r="B2" s="40" t="s">
        <v>719</v>
      </c>
      <c r="C2" s="40">
        <v>3778.57</v>
      </c>
      <c r="D2" s="40">
        <v>1212.1199999999999</v>
      </c>
      <c r="E2" s="40">
        <v>3</v>
      </c>
      <c r="F2" s="40">
        <v>5</v>
      </c>
      <c r="I2" s="48" t="s">
        <v>87</v>
      </c>
      <c r="J2" s="40" t="s">
        <v>719</v>
      </c>
      <c r="K2" s="40">
        <v>3778.57</v>
      </c>
      <c r="L2" s="40">
        <v>1212.1199999999999</v>
      </c>
      <c r="M2" s="40">
        <v>3</v>
      </c>
      <c r="N2" s="49">
        <v>5</v>
      </c>
      <c r="R2" s="55" t="s">
        <v>720</v>
      </c>
      <c r="S2" s="40">
        <v>12118.86</v>
      </c>
      <c r="T2" s="49">
        <v>2799.31</v>
      </c>
    </row>
    <row r="3" spans="1:20" x14ac:dyDescent="0.25">
      <c r="A3" s="40" t="s">
        <v>87</v>
      </c>
      <c r="B3" s="40" t="s">
        <v>718</v>
      </c>
      <c r="C3" s="40">
        <v>3519.18</v>
      </c>
      <c r="D3" s="40">
        <v>910.68</v>
      </c>
      <c r="E3" s="40">
        <v>2</v>
      </c>
      <c r="F3" s="40">
        <v>3</v>
      </c>
      <c r="I3" s="48" t="s">
        <v>87</v>
      </c>
      <c r="J3" s="40" t="s">
        <v>718</v>
      </c>
      <c r="K3" s="40">
        <v>3519.18</v>
      </c>
      <c r="L3" s="40">
        <v>910.68</v>
      </c>
      <c r="M3" s="40">
        <v>2</v>
      </c>
      <c r="N3" s="49">
        <v>3</v>
      </c>
      <c r="R3" s="55" t="s">
        <v>720</v>
      </c>
      <c r="S3" s="40">
        <v>5963.8</v>
      </c>
      <c r="T3" s="49">
        <v>1573.73</v>
      </c>
    </row>
    <row r="4" spans="1:20" x14ac:dyDescent="0.25">
      <c r="A4" s="40" t="s">
        <v>87</v>
      </c>
      <c r="B4" s="40" t="s">
        <v>717</v>
      </c>
      <c r="C4" s="40">
        <v>1765.51</v>
      </c>
      <c r="D4" s="40">
        <v>530.96</v>
      </c>
      <c r="E4" s="40">
        <v>2</v>
      </c>
      <c r="F4" s="40">
        <v>4</v>
      </c>
      <c r="I4" s="48" t="s">
        <v>87</v>
      </c>
      <c r="J4" s="40" t="s">
        <v>717</v>
      </c>
      <c r="K4" s="40">
        <v>1765.51</v>
      </c>
      <c r="L4" s="40">
        <v>530.96</v>
      </c>
      <c r="M4" s="40">
        <v>2</v>
      </c>
      <c r="N4" s="49">
        <v>4</v>
      </c>
      <c r="R4" s="55" t="s">
        <v>720</v>
      </c>
      <c r="S4" s="40">
        <v>4059.57</v>
      </c>
      <c r="T4" s="49">
        <v>1247.83</v>
      </c>
    </row>
    <row r="5" spans="1:20" x14ac:dyDescent="0.25">
      <c r="A5" s="40" t="s">
        <v>87</v>
      </c>
      <c r="B5" s="40" t="s">
        <v>715</v>
      </c>
      <c r="C5" s="40">
        <v>4768.72</v>
      </c>
      <c r="D5" s="40">
        <v>1717.12</v>
      </c>
      <c r="E5" s="40">
        <v>3</v>
      </c>
      <c r="F5" s="40">
        <v>7</v>
      </c>
      <c r="I5" s="48" t="s">
        <v>87</v>
      </c>
      <c r="J5" s="40" t="s">
        <v>715</v>
      </c>
      <c r="K5" s="40">
        <v>4768.72</v>
      </c>
      <c r="L5" s="40">
        <v>1717.12</v>
      </c>
      <c r="M5" s="40">
        <v>3</v>
      </c>
      <c r="N5" s="49">
        <v>7</v>
      </c>
      <c r="R5" s="55" t="s">
        <v>720</v>
      </c>
      <c r="S5" s="40">
        <v>656.88</v>
      </c>
      <c r="T5" s="49">
        <v>167.02</v>
      </c>
    </row>
    <row r="6" spans="1:20" x14ac:dyDescent="0.25">
      <c r="A6" s="40" t="s">
        <v>87</v>
      </c>
      <c r="B6" s="40" t="s">
        <v>714</v>
      </c>
      <c r="C6" s="40">
        <v>751.14</v>
      </c>
      <c r="D6" s="40">
        <v>168.93</v>
      </c>
      <c r="E6" s="40">
        <v>4</v>
      </c>
      <c r="F6" s="40">
        <v>8</v>
      </c>
      <c r="I6" s="48" t="s">
        <v>87</v>
      </c>
      <c r="J6" s="40" t="s">
        <v>714</v>
      </c>
      <c r="K6" s="40">
        <v>751.14</v>
      </c>
      <c r="L6" s="40">
        <v>168.93</v>
      </c>
      <c r="M6" s="40">
        <v>4</v>
      </c>
      <c r="N6" s="49">
        <v>8</v>
      </c>
      <c r="R6" s="55" t="s">
        <v>720</v>
      </c>
      <c r="S6" s="40">
        <v>843.2</v>
      </c>
      <c r="T6" s="49">
        <v>266.39</v>
      </c>
    </row>
    <row r="7" spans="1:20" x14ac:dyDescent="0.25">
      <c r="A7" s="40" t="s">
        <v>87</v>
      </c>
      <c r="B7" s="40" t="s">
        <v>712</v>
      </c>
      <c r="C7" s="40">
        <v>2704.41</v>
      </c>
      <c r="D7" s="40">
        <v>772.61</v>
      </c>
      <c r="E7" s="40">
        <v>3</v>
      </c>
      <c r="F7" s="40">
        <v>5</v>
      </c>
      <c r="I7" s="48" t="s">
        <v>87</v>
      </c>
      <c r="J7" s="40" t="s">
        <v>712</v>
      </c>
      <c r="K7" s="40">
        <v>2704.41</v>
      </c>
      <c r="L7" s="40">
        <v>772.61</v>
      </c>
      <c r="M7" s="40">
        <v>3</v>
      </c>
      <c r="N7" s="49">
        <v>5</v>
      </c>
      <c r="R7" s="55" t="s">
        <v>719</v>
      </c>
      <c r="S7" s="40">
        <v>3778.57</v>
      </c>
      <c r="T7" s="49">
        <v>1212.1199999999999</v>
      </c>
    </row>
    <row r="8" spans="1:20" x14ac:dyDescent="0.25">
      <c r="A8" s="40" t="s">
        <v>87</v>
      </c>
      <c r="B8" s="40" t="s">
        <v>711</v>
      </c>
      <c r="C8" s="40">
        <v>908.84</v>
      </c>
      <c r="D8" s="40">
        <v>264.43</v>
      </c>
      <c r="E8" s="40">
        <v>2</v>
      </c>
      <c r="F8" s="40">
        <v>6</v>
      </c>
      <c r="I8" s="48" t="s">
        <v>87</v>
      </c>
      <c r="J8" s="40" t="s">
        <v>711</v>
      </c>
      <c r="K8" s="40">
        <v>908.84</v>
      </c>
      <c r="L8" s="40">
        <v>264.43</v>
      </c>
      <c r="M8" s="40">
        <v>2</v>
      </c>
      <c r="N8" s="49">
        <v>6</v>
      </c>
      <c r="R8" s="55" t="s">
        <v>719</v>
      </c>
      <c r="S8" s="40">
        <v>8766.07</v>
      </c>
      <c r="T8" s="49">
        <v>2416.6</v>
      </c>
    </row>
    <row r="9" spans="1:20" x14ac:dyDescent="0.25">
      <c r="A9" s="40" t="s">
        <v>87</v>
      </c>
      <c r="B9" s="40" t="s">
        <v>710</v>
      </c>
      <c r="C9" s="40">
        <v>794.82</v>
      </c>
      <c r="D9" s="40">
        <v>255.37</v>
      </c>
      <c r="E9" s="40">
        <v>1</v>
      </c>
      <c r="F9" s="40">
        <v>7</v>
      </c>
      <c r="I9" s="48" t="s">
        <v>87</v>
      </c>
      <c r="J9" s="40" t="s">
        <v>710</v>
      </c>
      <c r="K9" s="40">
        <v>794.82</v>
      </c>
      <c r="L9" s="40">
        <v>255.37</v>
      </c>
      <c r="M9" s="40">
        <v>1</v>
      </c>
      <c r="N9" s="49">
        <v>7</v>
      </c>
      <c r="R9" s="55" t="s">
        <v>719</v>
      </c>
      <c r="S9" s="40">
        <v>10805.59</v>
      </c>
      <c r="T9" s="49">
        <v>3570.55</v>
      </c>
    </row>
    <row r="10" spans="1:20" x14ac:dyDescent="0.25">
      <c r="A10" s="40" t="s">
        <v>87</v>
      </c>
      <c r="B10" s="40" t="s">
        <v>709</v>
      </c>
      <c r="C10" s="40">
        <v>1882.75</v>
      </c>
      <c r="D10" s="40">
        <v>346.8</v>
      </c>
      <c r="E10" s="40">
        <v>4</v>
      </c>
      <c r="F10" s="40">
        <v>3</v>
      </c>
      <c r="I10" s="48" t="s">
        <v>87</v>
      </c>
      <c r="J10" s="40" t="s">
        <v>709</v>
      </c>
      <c r="K10" s="40">
        <v>1882.75</v>
      </c>
      <c r="L10" s="40">
        <v>346.8</v>
      </c>
      <c r="M10" s="40">
        <v>4</v>
      </c>
      <c r="N10" s="49">
        <v>3</v>
      </c>
      <c r="R10" s="55" t="s">
        <v>719</v>
      </c>
      <c r="S10" s="40">
        <v>5390.3499999999995</v>
      </c>
      <c r="T10" s="49">
        <v>1662.29</v>
      </c>
    </row>
    <row r="11" spans="1:20" x14ac:dyDescent="0.25">
      <c r="A11" s="40" t="s">
        <v>87</v>
      </c>
      <c r="B11" s="40" t="s">
        <v>708</v>
      </c>
      <c r="C11" s="40">
        <v>3269.37</v>
      </c>
      <c r="D11" s="40">
        <v>1085.4100000000001</v>
      </c>
      <c r="E11" s="40">
        <v>2</v>
      </c>
      <c r="F11" s="40">
        <v>2</v>
      </c>
      <c r="I11" s="48" t="s">
        <v>87</v>
      </c>
      <c r="J11" s="40" t="s">
        <v>708</v>
      </c>
      <c r="K11" s="40">
        <v>3269.37</v>
      </c>
      <c r="L11" s="40">
        <v>1085.4100000000001</v>
      </c>
      <c r="M11" s="40">
        <v>2</v>
      </c>
      <c r="N11" s="49">
        <v>2</v>
      </c>
      <c r="R11" s="55" t="s">
        <v>719</v>
      </c>
      <c r="S11" s="40">
        <v>1171.42</v>
      </c>
      <c r="T11" s="49">
        <v>372.47</v>
      </c>
    </row>
    <row r="12" spans="1:20" x14ac:dyDescent="0.25">
      <c r="A12" s="40" t="s">
        <v>87</v>
      </c>
      <c r="B12" s="40" t="s">
        <v>707</v>
      </c>
      <c r="C12" s="40">
        <v>412.62</v>
      </c>
      <c r="D12" s="40">
        <v>155.44</v>
      </c>
      <c r="E12" s="40">
        <v>1</v>
      </c>
      <c r="F12" s="40">
        <v>8</v>
      </c>
      <c r="I12" s="48" t="s">
        <v>87</v>
      </c>
      <c r="J12" s="40" t="s">
        <v>707</v>
      </c>
      <c r="K12" s="40">
        <v>412.62</v>
      </c>
      <c r="L12" s="40">
        <v>155.44</v>
      </c>
      <c r="M12" s="40">
        <v>1</v>
      </c>
      <c r="N12" s="49">
        <v>8</v>
      </c>
      <c r="R12" s="55" t="s">
        <v>718</v>
      </c>
      <c r="S12" s="40">
        <v>3519.18</v>
      </c>
      <c r="T12" s="49">
        <v>910.68</v>
      </c>
    </row>
    <row r="13" spans="1:20" x14ac:dyDescent="0.25">
      <c r="A13" s="40" t="s">
        <v>87</v>
      </c>
      <c r="B13" s="40" t="s">
        <v>721</v>
      </c>
      <c r="C13" s="40">
        <v>2964.8</v>
      </c>
      <c r="D13" s="40">
        <v>920.04</v>
      </c>
      <c r="E13" s="40">
        <v>4</v>
      </c>
      <c r="F13" s="40">
        <v>4</v>
      </c>
      <c r="I13" s="48" t="s">
        <v>87</v>
      </c>
      <c r="J13" s="40" t="s">
        <v>721</v>
      </c>
      <c r="K13" s="40">
        <v>2964.8</v>
      </c>
      <c r="L13" s="40">
        <v>920.04</v>
      </c>
      <c r="M13" s="40">
        <v>4</v>
      </c>
      <c r="N13" s="49">
        <v>4</v>
      </c>
      <c r="R13" s="55" t="s">
        <v>718</v>
      </c>
      <c r="S13" s="40">
        <v>7955.66</v>
      </c>
      <c r="T13" s="49">
        <v>2329.09</v>
      </c>
    </row>
    <row r="14" spans="1:20" x14ac:dyDescent="0.25">
      <c r="A14" s="40" t="s">
        <v>87</v>
      </c>
      <c r="B14" s="40" t="s">
        <v>706</v>
      </c>
      <c r="C14" s="40">
        <v>1974.31</v>
      </c>
      <c r="D14" s="40">
        <v>627.41</v>
      </c>
      <c r="E14" s="40">
        <v>2</v>
      </c>
      <c r="F14" s="40">
        <v>9</v>
      </c>
      <c r="I14" s="48" t="s">
        <v>87</v>
      </c>
      <c r="J14" s="40" t="s">
        <v>706</v>
      </c>
      <c r="K14" s="40">
        <v>1974.31</v>
      </c>
      <c r="L14" s="40">
        <v>627.41</v>
      </c>
      <c r="M14" s="40">
        <v>2</v>
      </c>
      <c r="N14" s="49">
        <v>9</v>
      </c>
      <c r="R14" s="55" t="s">
        <v>718</v>
      </c>
      <c r="S14" s="40">
        <v>5417.25</v>
      </c>
      <c r="T14" s="49">
        <v>1555.47</v>
      </c>
    </row>
    <row r="15" spans="1:20" x14ac:dyDescent="0.25">
      <c r="A15" s="40" t="s">
        <v>58</v>
      </c>
      <c r="B15" s="40" t="s">
        <v>720</v>
      </c>
      <c r="C15" s="40">
        <v>12118.86</v>
      </c>
      <c r="D15" s="40">
        <v>2799.31</v>
      </c>
      <c r="E15" s="40">
        <v>11</v>
      </c>
      <c r="F15" s="40">
        <v>5</v>
      </c>
      <c r="I15" s="48" t="s">
        <v>58</v>
      </c>
      <c r="J15" s="40" t="s">
        <v>720</v>
      </c>
      <c r="K15" s="40">
        <v>12118.86</v>
      </c>
      <c r="L15" s="40">
        <v>2799.31</v>
      </c>
      <c r="M15" s="40">
        <v>11</v>
      </c>
      <c r="N15" s="49">
        <v>5</v>
      </c>
      <c r="R15" s="55" t="s">
        <v>718</v>
      </c>
      <c r="S15" s="40">
        <v>1064.19</v>
      </c>
      <c r="T15" s="49">
        <v>388.91</v>
      </c>
    </row>
    <row r="16" spans="1:20" x14ac:dyDescent="0.25">
      <c r="A16" s="40" t="s">
        <v>58</v>
      </c>
      <c r="B16" s="40" t="s">
        <v>719</v>
      </c>
      <c r="C16" s="40">
        <v>8766.07</v>
      </c>
      <c r="D16" s="40">
        <v>2416.6</v>
      </c>
      <c r="E16" s="40">
        <v>9</v>
      </c>
      <c r="F16" s="40">
        <v>6</v>
      </c>
      <c r="I16" s="48" t="s">
        <v>58</v>
      </c>
      <c r="J16" s="40" t="s">
        <v>719</v>
      </c>
      <c r="K16" s="40">
        <v>8766.07</v>
      </c>
      <c r="L16" s="40">
        <v>2416.6</v>
      </c>
      <c r="M16" s="40">
        <v>9</v>
      </c>
      <c r="N16" s="49">
        <v>6</v>
      </c>
      <c r="R16" s="55" t="s">
        <v>718</v>
      </c>
      <c r="S16" s="40">
        <v>6450.38</v>
      </c>
      <c r="T16" s="49">
        <v>1428.65</v>
      </c>
    </row>
    <row r="17" spans="1:20" x14ac:dyDescent="0.25">
      <c r="A17" s="40" t="s">
        <v>58</v>
      </c>
      <c r="B17" s="40" t="s">
        <v>718</v>
      </c>
      <c r="C17" s="40">
        <v>7955.66</v>
      </c>
      <c r="D17" s="40">
        <v>2329.09</v>
      </c>
      <c r="E17" s="40">
        <v>9</v>
      </c>
      <c r="F17" s="40">
        <v>1</v>
      </c>
      <c r="I17" s="48" t="s">
        <v>58</v>
      </c>
      <c r="J17" s="40" t="s">
        <v>718</v>
      </c>
      <c r="K17" s="40">
        <v>7955.66</v>
      </c>
      <c r="L17" s="40">
        <v>2329.09</v>
      </c>
      <c r="M17" s="40">
        <v>9</v>
      </c>
      <c r="N17" s="49">
        <v>1</v>
      </c>
      <c r="R17" s="55" t="s">
        <v>718</v>
      </c>
      <c r="S17" s="40">
        <v>3043.92</v>
      </c>
      <c r="T17" s="49">
        <v>836.17000000000007</v>
      </c>
    </row>
    <row r="18" spans="1:20" x14ac:dyDescent="0.25">
      <c r="A18" s="40" t="s">
        <v>58</v>
      </c>
      <c r="B18" s="40" t="s">
        <v>717</v>
      </c>
      <c r="C18" s="40">
        <v>5871.72</v>
      </c>
      <c r="D18" s="40">
        <v>1889.51</v>
      </c>
      <c r="E18" s="40">
        <v>6</v>
      </c>
      <c r="F18" s="40">
        <v>1</v>
      </c>
      <c r="I18" s="48" t="s">
        <v>58</v>
      </c>
      <c r="J18" s="40" t="s">
        <v>717</v>
      </c>
      <c r="K18" s="40">
        <v>5871.72</v>
      </c>
      <c r="L18" s="40">
        <v>1889.51</v>
      </c>
      <c r="M18" s="40">
        <v>6</v>
      </c>
      <c r="N18" s="49">
        <v>1</v>
      </c>
      <c r="R18" s="55" t="s">
        <v>717</v>
      </c>
      <c r="S18" s="40">
        <v>1765.51</v>
      </c>
      <c r="T18" s="49">
        <v>530.96</v>
      </c>
    </row>
    <row r="19" spans="1:20" x14ac:dyDescent="0.25">
      <c r="A19" s="40" t="s">
        <v>58</v>
      </c>
      <c r="B19" s="40" t="s">
        <v>716</v>
      </c>
      <c r="C19" s="40">
        <v>5008.9399999999996</v>
      </c>
      <c r="D19" s="40">
        <v>1129.83</v>
      </c>
      <c r="E19" s="40">
        <v>7</v>
      </c>
      <c r="F19" s="40">
        <v>8</v>
      </c>
      <c r="I19" s="48" t="s">
        <v>58</v>
      </c>
      <c r="J19" s="40" t="s">
        <v>716</v>
      </c>
      <c r="K19" s="40">
        <v>5008.9399999999996</v>
      </c>
      <c r="L19" s="40">
        <v>1129.83</v>
      </c>
      <c r="M19" s="40">
        <v>7</v>
      </c>
      <c r="N19" s="49">
        <v>8</v>
      </c>
      <c r="R19" s="55" t="s">
        <v>717</v>
      </c>
      <c r="S19" s="40">
        <v>5871.72</v>
      </c>
      <c r="T19" s="49">
        <v>1889.51</v>
      </c>
    </row>
    <row r="20" spans="1:20" x14ac:dyDescent="0.25">
      <c r="A20" s="40" t="s">
        <v>58</v>
      </c>
      <c r="B20" s="40" t="s">
        <v>715</v>
      </c>
      <c r="C20" s="40">
        <v>8767.11</v>
      </c>
      <c r="D20" s="40">
        <v>2622.31</v>
      </c>
      <c r="E20" s="40">
        <v>7</v>
      </c>
      <c r="F20" s="40">
        <v>3</v>
      </c>
      <c r="I20" s="48" t="s">
        <v>58</v>
      </c>
      <c r="J20" s="40" t="s">
        <v>715</v>
      </c>
      <c r="K20" s="40">
        <v>8767.11</v>
      </c>
      <c r="L20" s="40">
        <v>2622.31</v>
      </c>
      <c r="M20" s="40">
        <v>7</v>
      </c>
      <c r="N20" s="49">
        <v>3</v>
      </c>
      <c r="R20" s="55" t="s">
        <v>717</v>
      </c>
      <c r="S20" s="40">
        <v>3447.44</v>
      </c>
      <c r="T20" s="49">
        <v>997.16000000000008</v>
      </c>
    </row>
    <row r="21" spans="1:20" x14ac:dyDescent="0.25">
      <c r="A21" s="40" t="s">
        <v>58</v>
      </c>
      <c r="B21" s="40" t="s">
        <v>714</v>
      </c>
      <c r="C21" s="40">
        <v>13074.39</v>
      </c>
      <c r="D21" s="40">
        <v>3550.23</v>
      </c>
      <c r="E21" s="40">
        <v>11</v>
      </c>
      <c r="F21" s="40">
        <v>2</v>
      </c>
      <c r="I21" s="48" t="s">
        <v>58</v>
      </c>
      <c r="J21" s="40" t="s">
        <v>714</v>
      </c>
      <c r="K21" s="40">
        <v>13074.39</v>
      </c>
      <c r="L21" s="40">
        <v>3550.23</v>
      </c>
      <c r="M21" s="40">
        <v>11</v>
      </c>
      <c r="N21" s="49">
        <v>2</v>
      </c>
      <c r="R21" s="55" t="s">
        <v>717</v>
      </c>
      <c r="S21" s="40">
        <v>1721.74</v>
      </c>
      <c r="T21" s="49">
        <v>465.98</v>
      </c>
    </row>
    <row r="22" spans="1:20" x14ac:dyDescent="0.25">
      <c r="A22" s="40" t="s">
        <v>58</v>
      </c>
      <c r="B22" s="40" t="s">
        <v>713</v>
      </c>
      <c r="C22" s="40">
        <v>12111.05</v>
      </c>
      <c r="D22" s="40">
        <v>3346.91</v>
      </c>
      <c r="E22" s="40">
        <v>11</v>
      </c>
      <c r="F22" s="40">
        <v>1</v>
      </c>
      <c r="I22" s="48" t="s">
        <v>58</v>
      </c>
      <c r="J22" s="40" t="s">
        <v>713</v>
      </c>
      <c r="K22" s="40">
        <v>12111.05</v>
      </c>
      <c r="L22" s="40">
        <v>3346.91</v>
      </c>
      <c r="M22" s="40">
        <v>11</v>
      </c>
      <c r="N22" s="49">
        <v>1</v>
      </c>
      <c r="R22" s="55" t="s">
        <v>717</v>
      </c>
      <c r="S22" s="40">
        <v>1269.94</v>
      </c>
      <c r="T22" s="49">
        <v>439</v>
      </c>
    </row>
    <row r="23" spans="1:20" x14ac:dyDescent="0.25">
      <c r="A23" s="40" t="s">
        <v>58</v>
      </c>
      <c r="B23" s="40" t="s">
        <v>712</v>
      </c>
      <c r="C23" s="40">
        <v>14892.08</v>
      </c>
      <c r="D23" s="40">
        <v>4197.32</v>
      </c>
      <c r="E23" s="40">
        <v>19</v>
      </c>
      <c r="F23" s="40">
        <v>1</v>
      </c>
      <c r="I23" s="48" t="s">
        <v>58</v>
      </c>
      <c r="J23" s="40" t="s">
        <v>712</v>
      </c>
      <c r="K23" s="40">
        <v>14892.08</v>
      </c>
      <c r="L23" s="40">
        <v>4197.32</v>
      </c>
      <c r="M23" s="40">
        <v>19</v>
      </c>
      <c r="N23" s="49">
        <v>1</v>
      </c>
      <c r="R23" s="55" t="s">
        <v>716</v>
      </c>
      <c r="S23" s="40">
        <v>5008.9399999999996</v>
      </c>
      <c r="T23" s="49">
        <v>1129.83</v>
      </c>
    </row>
    <row r="24" spans="1:20" x14ac:dyDescent="0.25">
      <c r="A24" s="40" t="s">
        <v>58</v>
      </c>
      <c r="B24" s="40" t="s">
        <v>711</v>
      </c>
      <c r="C24" s="40">
        <v>8946.65</v>
      </c>
      <c r="D24" s="40">
        <v>3064.47</v>
      </c>
      <c r="E24" s="40">
        <v>9</v>
      </c>
      <c r="F24" s="40">
        <v>9</v>
      </c>
      <c r="I24" s="48" t="s">
        <v>58</v>
      </c>
      <c r="J24" s="40" t="s">
        <v>711</v>
      </c>
      <c r="K24" s="40">
        <v>8946.65</v>
      </c>
      <c r="L24" s="40">
        <v>3064.47</v>
      </c>
      <c r="M24" s="40">
        <v>9</v>
      </c>
      <c r="N24" s="49">
        <v>9</v>
      </c>
      <c r="R24" s="55" t="s">
        <v>716</v>
      </c>
      <c r="S24" s="40">
        <v>2680.99</v>
      </c>
      <c r="T24" s="49">
        <v>567.59</v>
      </c>
    </row>
    <row r="25" spans="1:20" x14ac:dyDescent="0.25">
      <c r="A25" s="40" t="s">
        <v>58</v>
      </c>
      <c r="B25" s="40" t="s">
        <v>710</v>
      </c>
      <c r="C25" s="40">
        <v>13730.81</v>
      </c>
      <c r="D25" s="40">
        <v>3430.89</v>
      </c>
      <c r="E25" s="40">
        <v>13</v>
      </c>
      <c r="F25" s="40">
        <v>8</v>
      </c>
      <c r="I25" s="48" t="s">
        <v>58</v>
      </c>
      <c r="J25" s="40" t="s">
        <v>710</v>
      </c>
      <c r="K25" s="40">
        <v>13730.81</v>
      </c>
      <c r="L25" s="40">
        <v>3430.89</v>
      </c>
      <c r="M25" s="40">
        <v>13</v>
      </c>
      <c r="N25" s="49">
        <v>8</v>
      </c>
      <c r="R25" s="55" t="s">
        <v>716</v>
      </c>
      <c r="S25" s="40">
        <v>8874.1</v>
      </c>
      <c r="T25" s="49">
        <v>2315.96</v>
      </c>
    </row>
    <row r="26" spans="1:20" x14ac:dyDescent="0.25">
      <c r="A26" s="40" t="s">
        <v>58</v>
      </c>
      <c r="B26" s="40" t="s">
        <v>709</v>
      </c>
      <c r="C26" s="40">
        <v>11679.03</v>
      </c>
      <c r="D26" s="40">
        <v>3081.7</v>
      </c>
      <c r="E26" s="40">
        <v>11</v>
      </c>
      <c r="F26" s="40">
        <v>3</v>
      </c>
      <c r="I26" s="48" t="s">
        <v>58</v>
      </c>
      <c r="J26" s="40" t="s">
        <v>709</v>
      </c>
      <c r="K26" s="40">
        <v>11679.03</v>
      </c>
      <c r="L26" s="40">
        <v>3081.7</v>
      </c>
      <c r="M26" s="40">
        <v>11</v>
      </c>
      <c r="N26" s="49">
        <v>3</v>
      </c>
      <c r="R26" s="55" t="s">
        <v>716</v>
      </c>
      <c r="S26" s="40">
        <v>2045.91</v>
      </c>
      <c r="T26" s="49">
        <v>418.73</v>
      </c>
    </row>
    <row r="27" spans="1:20" x14ac:dyDescent="0.25">
      <c r="A27" s="40" t="s">
        <v>58</v>
      </c>
      <c r="B27" s="40" t="s">
        <v>708</v>
      </c>
      <c r="C27" s="40">
        <v>9897.75</v>
      </c>
      <c r="D27" s="40">
        <v>2652.22</v>
      </c>
      <c r="E27" s="40">
        <v>14</v>
      </c>
      <c r="F27" s="40">
        <v>5</v>
      </c>
      <c r="I27" s="48" t="s">
        <v>58</v>
      </c>
      <c r="J27" s="40" t="s">
        <v>708</v>
      </c>
      <c r="K27" s="40">
        <v>9897.75</v>
      </c>
      <c r="L27" s="40">
        <v>2652.22</v>
      </c>
      <c r="M27" s="40">
        <v>14</v>
      </c>
      <c r="N27" s="49">
        <v>5</v>
      </c>
      <c r="R27" s="55" t="s">
        <v>716</v>
      </c>
      <c r="S27" s="40">
        <v>6434.71</v>
      </c>
      <c r="T27" s="49">
        <v>1817.21</v>
      </c>
    </row>
    <row r="28" spans="1:20" x14ac:dyDescent="0.25">
      <c r="A28" s="40" t="s">
        <v>58</v>
      </c>
      <c r="B28" s="40" t="s">
        <v>707</v>
      </c>
      <c r="C28" s="40">
        <v>5404.6900000000014</v>
      </c>
      <c r="D28" s="40">
        <v>1469.09</v>
      </c>
      <c r="E28" s="40">
        <v>8</v>
      </c>
      <c r="F28" s="40">
        <v>3</v>
      </c>
      <c r="I28" s="48" t="s">
        <v>58</v>
      </c>
      <c r="J28" s="40" t="s">
        <v>707</v>
      </c>
      <c r="K28" s="40">
        <v>5404.6900000000014</v>
      </c>
      <c r="L28" s="40">
        <v>1469.09</v>
      </c>
      <c r="M28" s="40">
        <v>8</v>
      </c>
      <c r="N28" s="49">
        <v>3</v>
      </c>
      <c r="R28" s="55" t="s">
        <v>715</v>
      </c>
      <c r="S28" s="40">
        <v>4768.72</v>
      </c>
      <c r="T28" s="49">
        <v>1717.12</v>
      </c>
    </row>
    <row r="29" spans="1:20" x14ac:dyDescent="0.25">
      <c r="A29" s="40" t="s">
        <v>58</v>
      </c>
      <c r="B29" s="40" t="s">
        <v>721</v>
      </c>
      <c r="C29" s="40">
        <v>11784.96</v>
      </c>
      <c r="D29" s="40">
        <v>3759.57</v>
      </c>
      <c r="E29" s="40">
        <v>9</v>
      </c>
      <c r="F29" s="40">
        <v>5</v>
      </c>
      <c r="I29" s="48" t="s">
        <v>58</v>
      </c>
      <c r="J29" s="40" t="s">
        <v>721</v>
      </c>
      <c r="K29" s="40">
        <v>11784.96</v>
      </c>
      <c r="L29" s="40">
        <v>3759.57</v>
      </c>
      <c r="M29" s="40">
        <v>9</v>
      </c>
      <c r="N29" s="49">
        <v>5</v>
      </c>
      <c r="R29" s="55" t="s">
        <v>715</v>
      </c>
      <c r="S29" s="40">
        <v>8767.11</v>
      </c>
      <c r="T29" s="49">
        <v>2622.31</v>
      </c>
    </row>
    <row r="30" spans="1:20" x14ac:dyDescent="0.25">
      <c r="A30" s="40" t="s">
        <v>58</v>
      </c>
      <c r="B30" s="40" t="s">
        <v>706</v>
      </c>
      <c r="C30" s="40">
        <v>16779.43</v>
      </c>
      <c r="D30" s="40">
        <v>5047.63</v>
      </c>
      <c r="E30" s="40">
        <v>17</v>
      </c>
      <c r="F30" s="40">
        <v>8</v>
      </c>
      <c r="I30" s="48" t="s">
        <v>58</v>
      </c>
      <c r="J30" s="40" t="s">
        <v>706</v>
      </c>
      <c r="K30" s="40">
        <v>16779.43</v>
      </c>
      <c r="L30" s="40">
        <v>5047.63</v>
      </c>
      <c r="M30" s="40">
        <v>17</v>
      </c>
      <c r="N30" s="49">
        <v>8</v>
      </c>
      <c r="R30" s="55" t="s">
        <v>715</v>
      </c>
      <c r="S30" s="40">
        <v>15432.12</v>
      </c>
      <c r="T30" s="49">
        <v>4593.17</v>
      </c>
    </row>
    <row r="31" spans="1:20" x14ac:dyDescent="0.25">
      <c r="A31" s="40" t="s">
        <v>58</v>
      </c>
      <c r="B31" s="40" t="s">
        <v>705</v>
      </c>
      <c r="C31" s="40">
        <v>4379.2</v>
      </c>
      <c r="D31" s="40">
        <v>1129.18</v>
      </c>
      <c r="E31" s="40">
        <v>8</v>
      </c>
      <c r="F31" s="40">
        <v>1</v>
      </c>
      <c r="I31" s="48" t="s">
        <v>58</v>
      </c>
      <c r="J31" s="40" t="s">
        <v>705</v>
      </c>
      <c r="K31" s="40">
        <v>4379.2</v>
      </c>
      <c r="L31" s="40">
        <v>1129.18</v>
      </c>
      <c r="M31" s="40">
        <v>8</v>
      </c>
      <c r="N31" s="49">
        <v>1</v>
      </c>
      <c r="R31" s="55" t="s">
        <v>715</v>
      </c>
      <c r="S31" s="40">
        <v>4737.55</v>
      </c>
      <c r="T31" s="49">
        <v>1543.71</v>
      </c>
    </row>
    <row r="32" spans="1:20" x14ac:dyDescent="0.25">
      <c r="A32" s="40" t="s">
        <v>28</v>
      </c>
      <c r="B32" s="40" t="s">
        <v>720</v>
      </c>
      <c r="C32" s="40">
        <v>5963.8</v>
      </c>
      <c r="D32" s="40">
        <v>1573.73</v>
      </c>
      <c r="E32" s="40">
        <v>5</v>
      </c>
      <c r="F32" s="40">
        <v>5</v>
      </c>
      <c r="I32" s="48" t="s">
        <v>28</v>
      </c>
      <c r="J32" s="40" t="s">
        <v>720</v>
      </c>
      <c r="K32" s="40">
        <v>5963.8</v>
      </c>
      <c r="L32" s="40">
        <v>1573.73</v>
      </c>
      <c r="M32" s="40">
        <v>5</v>
      </c>
      <c r="N32" s="49">
        <v>5</v>
      </c>
      <c r="R32" s="55" t="s">
        <v>715</v>
      </c>
      <c r="S32" s="40">
        <v>2355.85</v>
      </c>
      <c r="T32" s="49">
        <v>356.88</v>
      </c>
    </row>
    <row r="33" spans="1:20" x14ac:dyDescent="0.25">
      <c r="A33" s="40" t="s">
        <v>28</v>
      </c>
      <c r="B33" s="40" t="s">
        <v>719</v>
      </c>
      <c r="C33" s="40">
        <v>10805.59</v>
      </c>
      <c r="D33" s="40">
        <v>3570.55</v>
      </c>
      <c r="E33" s="40">
        <v>11</v>
      </c>
      <c r="F33" s="40">
        <v>1</v>
      </c>
      <c r="I33" s="48" t="s">
        <v>28</v>
      </c>
      <c r="J33" s="40" t="s">
        <v>719</v>
      </c>
      <c r="K33" s="40">
        <v>10805.59</v>
      </c>
      <c r="L33" s="40">
        <v>3570.55</v>
      </c>
      <c r="M33" s="40">
        <v>11</v>
      </c>
      <c r="N33" s="49">
        <v>1</v>
      </c>
      <c r="R33" s="55" t="s">
        <v>715</v>
      </c>
      <c r="S33" s="40">
        <v>2631.25</v>
      </c>
      <c r="T33" s="49">
        <v>942.72</v>
      </c>
    </row>
    <row r="34" spans="1:20" x14ac:dyDescent="0.25">
      <c r="A34" s="40" t="s">
        <v>28</v>
      </c>
      <c r="B34" s="40" t="s">
        <v>718</v>
      </c>
      <c r="C34" s="40">
        <v>5417.25</v>
      </c>
      <c r="D34" s="40">
        <v>1555.47</v>
      </c>
      <c r="E34" s="40">
        <v>5</v>
      </c>
      <c r="F34" s="40">
        <v>7</v>
      </c>
      <c r="I34" s="48" t="s">
        <v>28</v>
      </c>
      <c r="J34" s="40" t="s">
        <v>718</v>
      </c>
      <c r="K34" s="40">
        <v>5417.25</v>
      </c>
      <c r="L34" s="40">
        <v>1555.47</v>
      </c>
      <c r="M34" s="40">
        <v>5</v>
      </c>
      <c r="N34" s="49">
        <v>7</v>
      </c>
      <c r="R34" s="55" t="s">
        <v>714</v>
      </c>
      <c r="S34" s="40">
        <v>751.14</v>
      </c>
      <c r="T34" s="49">
        <v>168.93</v>
      </c>
    </row>
    <row r="35" spans="1:20" x14ac:dyDescent="0.25">
      <c r="A35" s="40" t="s">
        <v>28</v>
      </c>
      <c r="B35" s="40" t="s">
        <v>717</v>
      </c>
      <c r="C35" s="40">
        <v>3447.44</v>
      </c>
      <c r="D35" s="40">
        <v>997.16000000000008</v>
      </c>
      <c r="E35" s="40">
        <v>5</v>
      </c>
      <c r="F35" s="40">
        <v>8</v>
      </c>
      <c r="I35" s="48" t="s">
        <v>28</v>
      </c>
      <c r="J35" s="40" t="s">
        <v>717</v>
      </c>
      <c r="K35" s="40">
        <v>3447.44</v>
      </c>
      <c r="L35" s="40">
        <v>997.16000000000008</v>
      </c>
      <c r="M35" s="40">
        <v>5</v>
      </c>
      <c r="N35" s="49">
        <v>8</v>
      </c>
      <c r="R35" s="55" t="s">
        <v>714</v>
      </c>
      <c r="S35" s="40">
        <v>13074.39</v>
      </c>
      <c r="T35" s="49">
        <v>3550.23</v>
      </c>
    </row>
    <row r="36" spans="1:20" x14ac:dyDescent="0.25">
      <c r="A36" s="40" t="s">
        <v>28</v>
      </c>
      <c r="B36" s="40" t="s">
        <v>716</v>
      </c>
      <c r="C36" s="40">
        <v>2680.99</v>
      </c>
      <c r="D36" s="40">
        <v>567.59</v>
      </c>
      <c r="E36" s="40">
        <v>4</v>
      </c>
      <c r="F36" s="40">
        <v>1</v>
      </c>
      <c r="I36" s="48" t="s">
        <v>28</v>
      </c>
      <c r="J36" s="40" t="s">
        <v>716</v>
      </c>
      <c r="K36" s="40">
        <v>2680.99</v>
      </c>
      <c r="L36" s="40">
        <v>567.59</v>
      </c>
      <c r="M36" s="40">
        <v>4</v>
      </c>
      <c r="N36" s="49">
        <v>1</v>
      </c>
      <c r="R36" s="55" t="s">
        <v>714</v>
      </c>
      <c r="S36" s="40">
        <v>10623.02</v>
      </c>
      <c r="T36" s="49">
        <v>3155.49</v>
      </c>
    </row>
    <row r="37" spans="1:20" x14ac:dyDescent="0.25">
      <c r="A37" s="40" t="s">
        <v>28</v>
      </c>
      <c r="B37" s="40" t="s">
        <v>715</v>
      </c>
      <c r="C37" s="40">
        <v>15432.12</v>
      </c>
      <c r="D37" s="40">
        <v>4593.17</v>
      </c>
      <c r="E37" s="40">
        <v>16</v>
      </c>
      <c r="F37" s="40">
        <v>1</v>
      </c>
      <c r="I37" s="48" t="s">
        <v>28</v>
      </c>
      <c r="J37" s="40" t="s">
        <v>715</v>
      </c>
      <c r="K37" s="40">
        <v>15432.12</v>
      </c>
      <c r="L37" s="40">
        <v>4593.17</v>
      </c>
      <c r="M37" s="40">
        <v>16</v>
      </c>
      <c r="N37" s="49">
        <v>1</v>
      </c>
      <c r="R37" s="55" t="s">
        <v>714</v>
      </c>
      <c r="S37" s="40">
        <v>2262.48</v>
      </c>
      <c r="T37" s="49">
        <v>463.63</v>
      </c>
    </row>
    <row r="38" spans="1:20" x14ac:dyDescent="0.25">
      <c r="A38" s="40" t="s">
        <v>28</v>
      </c>
      <c r="B38" s="40" t="s">
        <v>714</v>
      </c>
      <c r="C38" s="40">
        <v>10623.02</v>
      </c>
      <c r="D38" s="40">
        <v>3155.49</v>
      </c>
      <c r="E38" s="40">
        <v>15</v>
      </c>
      <c r="F38" s="40">
        <v>8</v>
      </c>
      <c r="I38" s="48" t="s">
        <v>28</v>
      </c>
      <c r="J38" s="40" t="s">
        <v>714</v>
      </c>
      <c r="K38" s="40">
        <v>10623.02</v>
      </c>
      <c r="L38" s="40">
        <v>3155.49</v>
      </c>
      <c r="M38" s="40">
        <v>15</v>
      </c>
      <c r="N38" s="49">
        <v>8</v>
      </c>
      <c r="R38" s="55" t="s">
        <v>714</v>
      </c>
      <c r="S38" s="40">
        <v>2376.6799999999998</v>
      </c>
      <c r="T38" s="49">
        <v>773.68</v>
      </c>
    </row>
    <row r="39" spans="1:20" x14ac:dyDescent="0.25">
      <c r="A39" s="40" t="s">
        <v>28</v>
      </c>
      <c r="B39" s="40" t="s">
        <v>713</v>
      </c>
      <c r="C39" s="40">
        <v>6538.51</v>
      </c>
      <c r="D39" s="40">
        <v>1686.63</v>
      </c>
      <c r="E39" s="40">
        <v>10</v>
      </c>
      <c r="F39" s="40">
        <v>1</v>
      </c>
      <c r="I39" s="48" t="s">
        <v>28</v>
      </c>
      <c r="J39" s="40" t="s">
        <v>713</v>
      </c>
      <c r="K39" s="40">
        <v>6538.51</v>
      </c>
      <c r="L39" s="40">
        <v>1686.63</v>
      </c>
      <c r="M39" s="40">
        <v>10</v>
      </c>
      <c r="N39" s="49">
        <v>1</v>
      </c>
      <c r="R39" s="55" t="s">
        <v>714</v>
      </c>
      <c r="S39" s="40">
        <v>1201.2</v>
      </c>
      <c r="T39" s="49">
        <v>329.23</v>
      </c>
    </row>
    <row r="40" spans="1:20" x14ac:dyDescent="0.25">
      <c r="A40" s="40" t="s">
        <v>28</v>
      </c>
      <c r="B40" s="40" t="s">
        <v>712</v>
      </c>
      <c r="C40" s="40">
        <v>4338.0200000000004</v>
      </c>
      <c r="D40" s="40">
        <v>941.58999999999992</v>
      </c>
      <c r="E40" s="40">
        <v>5</v>
      </c>
      <c r="F40" s="40">
        <v>6</v>
      </c>
      <c r="I40" s="48" t="s">
        <v>28</v>
      </c>
      <c r="J40" s="40" t="s">
        <v>712</v>
      </c>
      <c r="K40" s="40">
        <v>4338.0200000000004</v>
      </c>
      <c r="L40" s="40">
        <v>941.58999999999992</v>
      </c>
      <c r="M40" s="40">
        <v>5</v>
      </c>
      <c r="N40" s="49">
        <v>6</v>
      </c>
      <c r="R40" s="55" t="s">
        <v>713</v>
      </c>
      <c r="S40" s="40">
        <v>12111.05</v>
      </c>
      <c r="T40" s="49">
        <v>3346.91</v>
      </c>
    </row>
    <row r="41" spans="1:20" x14ac:dyDescent="0.25">
      <c r="A41" s="40" t="s">
        <v>28</v>
      </c>
      <c r="B41" s="40" t="s">
        <v>711</v>
      </c>
      <c r="C41" s="40">
        <v>6894.59</v>
      </c>
      <c r="D41" s="40">
        <v>2046.19</v>
      </c>
      <c r="E41" s="40">
        <v>11</v>
      </c>
      <c r="F41" s="40">
        <v>2</v>
      </c>
      <c r="I41" s="48" t="s">
        <v>28</v>
      </c>
      <c r="J41" s="40" t="s">
        <v>711</v>
      </c>
      <c r="K41" s="40">
        <v>6894.59</v>
      </c>
      <c r="L41" s="40">
        <v>2046.19</v>
      </c>
      <c r="M41" s="40">
        <v>11</v>
      </c>
      <c r="N41" s="49">
        <v>2</v>
      </c>
      <c r="R41" s="55" t="s">
        <v>713</v>
      </c>
      <c r="S41" s="40">
        <v>6538.51</v>
      </c>
      <c r="T41" s="49">
        <v>1686.63</v>
      </c>
    </row>
    <row r="42" spans="1:20" x14ac:dyDescent="0.25">
      <c r="A42" s="40" t="s">
        <v>28</v>
      </c>
      <c r="B42" s="40" t="s">
        <v>710</v>
      </c>
      <c r="C42" s="40">
        <v>6006.6500000000005</v>
      </c>
      <c r="D42" s="40">
        <v>1368.08</v>
      </c>
      <c r="E42" s="40">
        <v>7</v>
      </c>
      <c r="F42" s="40">
        <v>6</v>
      </c>
      <c r="I42" s="48" t="s">
        <v>28</v>
      </c>
      <c r="J42" s="40" t="s">
        <v>710</v>
      </c>
      <c r="K42" s="40">
        <v>6006.6500000000005</v>
      </c>
      <c r="L42" s="40">
        <v>1368.08</v>
      </c>
      <c r="M42" s="40">
        <v>7</v>
      </c>
      <c r="N42" s="49">
        <v>6</v>
      </c>
      <c r="R42" s="55" t="s">
        <v>713</v>
      </c>
      <c r="S42" s="40">
        <v>2443.42</v>
      </c>
      <c r="T42" s="49">
        <v>578.91999999999996</v>
      </c>
    </row>
    <row r="43" spans="1:20" x14ac:dyDescent="0.25">
      <c r="A43" s="40" t="s">
        <v>28</v>
      </c>
      <c r="B43" s="40" t="s">
        <v>709</v>
      </c>
      <c r="C43" s="40">
        <v>5718.61</v>
      </c>
      <c r="D43" s="40">
        <v>1342.18</v>
      </c>
      <c r="E43" s="40">
        <v>7</v>
      </c>
      <c r="F43" s="40">
        <v>6</v>
      </c>
      <c r="I43" s="48" t="s">
        <v>28</v>
      </c>
      <c r="J43" s="40" t="s">
        <v>709</v>
      </c>
      <c r="K43" s="40">
        <v>5718.61</v>
      </c>
      <c r="L43" s="40">
        <v>1342.18</v>
      </c>
      <c r="M43" s="40">
        <v>7</v>
      </c>
      <c r="N43" s="49">
        <v>6</v>
      </c>
      <c r="R43" s="55" t="s">
        <v>713</v>
      </c>
      <c r="S43" s="40">
        <v>7486.09</v>
      </c>
      <c r="T43" s="49">
        <v>2363.9299999999998</v>
      </c>
    </row>
    <row r="44" spans="1:20" x14ac:dyDescent="0.25">
      <c r="A44" s="40" t="s">
        <v>28</v>
      </c>
      <c r="B44" s="40" t="s">
        <v>708</v>
      </c>
      <c r="C44" s="40">
        <v>8016.39</v>
      </c>
      <c r="D44" s="40">
        <v>2485.71</v>
      </c>
      <c r="E44" s="40">
        <v>8</v>
      </c>
      <c r="F44" s="40">
        <v>9</v>
      </c>
      <c r="I44" s="48" t="s">
        <v>28</v>
      </c>
      <c r="J44" s="40" t="s">
        <v>708</v>
      </c>
      <c r="K44" s="40">
        <v>8016.39</v>
      </c>
      <c r="L44" s="40">
        <v>2485.71</v>
      </c>
      <c r="M44" s="40">
        <v>8</v>
      </c>
      <c r="N44" s="49">
        <v>9</v>
      </c>
      <c r="R44" s="55" t="s">
        <v>712</v>
      </c>
      <c r="S44" s="40">
        <v>2704.41</v>
      </c>
      <c r="T44" s="49">
        <v>772.61</v>
      </c>
    </row>
    <row r="45" spans="1:20" x14ac:dyDescent="0.25">
      <c r="A45" s="40" t="s">
        <v>28</v>
      </c>
      <c r="B45" s="40" t="s">
        <v>707</v>
      </c>
      <c r="C45" s="40">
        <v>5431.37</v>
      </c>
      <c r="D45" s="40">
        <v>1032.25</v>
      </c>
      <c r="E45" s="40">
        <v>5</v>
      </c>
      <c r="F45" s="40">
        <v>3</v>
      </c>
      <c r="I45" s="48" t="s">
        <v>28</v>
      </c>
      <c r="J45" s="40" t="s">
        <v>707</v>
      </c>
      <c r="K45" s="40">
        <v>5431.37</v>
      </c>
      <c r="L45" s="40">
        <v>1032.25</v>
      </c>
      <c r="M45" s="40">
        <v>5</v>
      </c>
      <c r="N45" s="49">
        <v>3</v>
      </c>
      <c r="R45" s="55" t="s">
        <v>712</v>
      </c>
      <c r="S45" s="40">
        <v>14892.08</v>
      </c>
      <c r="T45" s="49">
        <v>4197.32</v>
      </c>
    </row>
    <row r="46" spans="1:20" x14ac:dyDescent="0.25">
      <c r="A46" s="40" t="s">
        <v>28</v>
      </c>
      <c r="B46" s="40" t="s">
        <v>721</v>
      </c>
      <c r="C46" s="40">
        <v>9021.380000000001</v>
      </c>
      <c r="D46" s="40">
        <v>3026.61</v>
      </c>
      <c r="E46" s="40">
        <v>7</v>
      </c>
      <c r="F46" s="40">
        <v>5</v>
      </c>
      <c r="I46" s="48" t="s">
        <v>28</v>
      </c>
      <c r="J46" s="40" t="s">
        <v>721</v>
      </c>
      <c r="K46" s="40">
        <v>9021.380000000001</v>
      </c>
      <c r="L46" s="40">
        <v>3026.61</v>
      </c>
      <c r="M46" s="40">
        <v>7</v>
      </c>
      <c r="N46" s="49">
        <v>5</v>
      </c>
      <c r="R46" s="55" t="s">
        <v>712</v>
      </c>
      <c r="S46" s="40">
        <v>4338.0200000000004</v>
      </c>
      <c r="T46" s="49">
        <v>941.58999999999992</v>
      </c>
    </row>
    <row r="47" spans="1:20" x14ac:dyDescent="0.25">
      <c r="A47" s="40" t="s">
        <v>28</v>
      </c>
      <c r="B47" s="40" t="s">
        <v>706</v>
      </c>
      <c r="C47" s="40">
        <v>7453.18</v>
      </c>
      <c r="D47" s="40">
        <v>1835.78</v>
      </c>
      <c r="E47" s="40">
        <v>8</v>
      </c>
      <c r="F47" s="40">
        <v>6</v>
      </c>
      <c r="I47" s="48" t="s">
        <v>28</v>
      </c>
      <c r="J47" s="40" t="s">
        <v>706</v>
      </c>
      <c r="K47" s="40">
        <v>7453.18</v>
      </c>
      <c r="L47" s="40">
        <v>1835.78</v>
      </c>
      <c r="M47" s="40">
        <v>8</v>
      </c>
      <c r="N47" s="49">
        <v>6</v>
      </c>
      <c r="R47" s="55" t="s">
        <v>712</v>
      </c>
      <c r="S47" s="40">
        <v>5589.5999999999995</v>
      </c>
      <c r="T47" s="49">
        <v>1545.11</v>
      </c>
    </row>
    <row r="48" spans="1:20" x14ac:dyDescent="0.25">
      <c r="A48" s="40" t="s">
        <v>28</v>
      </c>
      <c r="B48" s="40" t="s">
        <v>705</v>
      </c>
      <c r="C48" s="40">
        <v>1425.71</v>
      </c>
      <c r="D48" s="40">
        <v>356.57</v>
      </c>
      <c r="E48" s="40">
        <v>5</v>
      </c>
      <c r="F48" s="40">
        <v>5</v>
      </c>
      <c r="I48" s="48" t="s">
        <v>28</v>
      </c>
      <c r="J48" s="40" t="s">
        <v>705</v>
      </c>
      <c r="K48" s="40">
        <v>1425.71</v>
      </c>
      <c r="L48" s="40">
        <v>356.57</v>
      </c>
      <c r="M48" s="40">
        <v>5</v>
      </c>
      <c r="N48" s="49">
        <v>5</v>
      </c>
      <c r="R48" s="55" t="s">
        <v>712</v>
      </c>
      <c r="S48" s="40">
        <v>2832.86</v>
      </c>
      <c r="T48" s="49">
        <v>661.32999999999993</v>
      </c>
    </row>
    <row r="49" spans="1:20" x14ac:dyDescent="0.25">
      <c r="A49" s="40" t="s">
        <v>21</v>
      </c>
      <c r="B49" s="40" t="s">
        <v>720</v>
      </c>
      <c r="C49" s="40">
        <v>4059.57</v>
      </c>
      <c r="D49" s="40">
        <v>1247.83</v>
      </c>
      <c r="E49" s="40">
        <v>5</v>
      </c>
      <c r="F49" s="40">
        <v>1</v>
      </c>
      <c r="I49" s="48" t="s">
        <v>21</v>
      </c>
      <c r="J49" s="40" t="s">
        <v>720</v>
      </c>
      <c r="K49" s="40">
        <v>4059.57</v>
      </c>
      <c r="L49" s="40">
        <v>1247.83</v>
      </c>
      <c r="M49" s="40">
        <v>5</v>
      </c>
      <c r="N49" s="49">
        <v>1</v>
      </c>
      <c r="R49" s="55" t="s">
        <v>712</v>
      </c>
      <c r="S49" s="40">
        <v>1381.76</v>
      </c>
      <c r="T49" s="49">
        <v>269.22000000000003</v>
      </c>
    </row>
    <row r="50" spans="1:20" x14ac:dyDescent="0.25">
      <c r="A50" s="40" t="s">
        <v>21</v>
      </c>
      <c r="B50" s="40" t="s">
        <v>719</v>
      </c>
      <c r="C50" s="40">
        <v>5390.3499999999995</v>
      </c>
      <c r="D50" s="40">
        <v>1662.29</v>
      </c>
      <c r="E50" s="40">
        <v>5</v>
      </c>
      <c r="F50" s="40">
        <v>5</v>
      </c>
      <c r="I50" s="48" t="s">
        <v>21</v>
      </c>
      <c r="J50" s="40" t="s">
        <v>719</v>
      </c>
      <c r="K50" s="40">
        <v>5390.3499999999995</v>
      </c>
      <c r="L50" s="40">
        <v>1662.29</v>
      </c>
      <c r="M50" s="40">
        <v>5</v>
      </c>
      <c r="N50" s="49">
        <v>5</v>
      </c>
      <c r="R50" s="55" t="s">
        <v>711</v>
      </c>
      <c r="S50" s="40">
        <v>908.84</v>
      </c>
      <c r="T50" s="49">
        <v>264.43</v>
      </c>
    </row>
    <row r="51" spans="1:20" x14ac:dyDescent="0.25">
      <c r="A51" s="40" t="s">
        <v>21</v>
      </c>
      <c r="B51" s="40" t="s">
        <v>718</v>
      </c>
      <c r="C51" s="40">
        <v>1064.19</v>
      </c>
      <c r="D51" s="40">
        <v>388.91</v>
      </c>
      <c r="E51" s="40">
        <v>3</v>
      </c>
      <c r="F51" s="40">
        <v>1</v>
      </c>
      <c r="I51" s="48" t="s">
        <v>21</v>
      </c>
      <c r="J51" s="40" t="s">
        <v>718</v>
      </c>
      <c r="K51" s="40">
        <v>1064.19</v>
      </c>
      <c r="L51" s="40">
        <v>388.91</v>
      </c>
      <c r="M51" s="40">
        <v>3</v>
      </c>
      <c r="N51" s="49">
        <v>1</v>
      </c>
      <c r="R51" s="55" t="s">
        <v>711</v>
      </c>
      <c r="S51" s="40">
        <v>8946.65</v>
      </c>
      <c r="T51" s="49">
        <v>3064.47</v>
      </c>
    </row>
    <row r="52" spans="1:20" x14ac:dyDescent="0.25">
      <c r="A52" s="40" t="s">
        <v>21</v>
      </c>
      <c r="B52" s="40" t="s">
        <v>717</v>
      </c>
      <c r="C52" s="40">
        <v>1721.74</v>
      </c>
      <c r="D52" s="40">
        <v>465.98</v>
      </c>
      <c r="E52" s="40">
        <v>3</v>
      </c>
      <c r="F52" s="40">
        <v>5</v>
      </c>
      <c r="I52" s="48" t="s">
        <v>21</v>
      </c>
      <c r="J52" s="40" t="s">
        <v>717</v>
      </c>
      <c r="K52" s="40">
        <v>1721.74</v>
      </c>
      <c r="L52" s="40">
        <v>465.98</v>
      </c>
      <c r="M52" s="40">
        <v>3</v>
      </c>
      <c r="N52" s="49">
        <v>5</v>
      </c>
      <c r="R52" s="55" t="s">
        <v>711</v>
      </c>
      <c r="S52" s="40">
        <v>6894.59</v>
      </c>
      <c r="T52" s="49">
        <v>2046.19</v>
      </c>
    </row>
    <row r="53" spans="1:20" x14ac:dyDescent="0.25">
      <c r="A53" s="40" t="s">
        <v>21</v>
      </c>
      <c r="B53" s="40" t="s">
        <v>716</v>
      </c>
      <c r="C53" s="40">
        <v>8874.1</v>
      </c>
      <c r="D53" s="40">
        <v>2315.96</v>
      </c>
      <c r="E53" s="40">
        <v>8</v>
      </c>
      <c r="F53" s="40">
        <v>3</v>
      </c>
      <c r="I53" s="48" t="s">
        <v>21</v>
      </c>
      <c r="J53" s="40" t="s">
        <v>716</v>
      </c>
      <c r="K53" s="40">
        <v>8874.1</v>
      </c>
      <c r="L53" s="40">
        <v>2315.96</v>
      </c>
      <c r="M53" s="40">
        <v>8</v>
      </c>
      <c r="N53" s="49">
        <v>3</v>
      </c>
      <c r="R53" s="55" t="s">
        <v>711</v>
      </c>
      <c r="S53" s="40">
        <v>7347.76</v>
      </c>
      <c r="T53" s="49">
        <v>1856.14</v>
      </c>
    </row>
    <row r="54" spans="1:20" x14ac:dyDescent="0.25">
      <c r="A54" s="40" t="s">
        <v>21</v>
      </c>
      <c r="B54" s="40" t="s">
        <v>715</v>
      </c>
      <c r="C54" s="40">
        <v>4737.55</v>
      </c>
      <c r="D54" s="40">
        <v>1543.71</v>
      </c>
      <c r="E54" s="40">
        <v>4</v>
      </c>
      <c r="F54" s="40">
        <v>1</v>
      </c>
      <c r="I54" s="48" t="s">
        <v>21</v>
      </c>
      <c r="J54" s="40" t="s">
        <v>715</v>
      </c>
      <c r="K54" s="40">
        <v>4737.55</v>
      </c>
      <c r="L54" s="40">
        <v>1543.71</v>
      </c>
      <c r="M54" s="40">
        <v>4</v>
      </c>
      <c r="N54" s="49">
        <v>1</v>
      </c>
      <c r="R54" s="55" t="s">
        <v>711</v>
      </c>
      <c r="S54" s="40">
        <v>935.88</v>
      </c>
      <c r="T54" s="49">
        <v>186.51</v>
      </c>
    </row>
    <row r="55" spans="1:20" x14ac:dyDescent="0.25">
      <c r="A55" s="40" t="s">
        <v>21</v>
      </c>
      <c r="B55" s="40" t="s">
        <v>714</v>
      </c>
      <c r="C55" s="40">
        <v>2262.48</v>
      </c>
      <c r="D55" s="40">
        <v>463.63</v>
      </c>
      <c r="E55" s="40">
        <v>2</v>
      </c>
      <c r="F55" s="40">
        <v>1</v>
      </c>
      <c r="I55" s="48" t="s">
        <v>21</v>
      </c>
      <c r="J55" s="40" t="s">
        <v>714</v>
      </c>
      <c r="K55" s="40">
        <v>2262.48</v>
      </c>
      <c r="L55" s="40">
        <v>463.63</v>
      </c>
      <c r="M55" s="40">
        <v>2</v>
      </c>
      <c r="N55" s="49">
        <v>1</v>
      </c>
      <c r="R55" s="55" t="s">
        <v>711</v>
      </c>
      <c r="S55" s="40">
        <v>338.16</v>
      </c>
      <c r="T55" s="49">
        <v>134.77000000000001</v>
      </c>
    </row>
    <row r="56" spans="1:20" x14ac:dyDescent="0.25">
      <c r="A56" s="40" t="s">
        <v>21</v>
      </c>
      <c r="B56" s="40" t="s">
        <v>713</v>
      </c>
      <c r="C56" s="40">
        <v>2443.42</v>
      </c>
      <c r="D56" s="40">
        <v>578.91999999999996</v>
      </c>
      <c r="E56" s="40">
        <v>2</v>
      </c>
      <c r="F56" s="40">
        <v>7</v>
      </c>
      <c r="I56" s="48" t="s">
        <v>21</v>
      </c>
      <c r="J56" s="40" t="s">
        <v>713</v>
      </c>
      <c r="K56" s="40">
        <v>2443.42</v>
      </c>
      <c r="L56" s="40">
        <v>578.91999999999996</v>
      </c>
      <c r="M56" s="40">
        <v>2</v>
      </c>
      <c r="N56" s="49">
        <v>7</v>
      </c>
      <c r="R56" s="55" t="s">
        <v>710</v>
      </c>
      <c r="S56" s="40">
        <v>794.82</v>
      </c>
      <c r="T56" s="49">
        <v>255.37</v>
      </c>
    </row>
    <row r="57" spans="1:20" x14ac:dyDescent="0.25">
      <c r="A57" s="40" t="s">
        <v>21</v>
      </c>
      <c r="B57" s="40" t="s">
        <v>712</v>
      </c>
      <c r="C57" s="40">
        <v>5589.5999999999995</v>
      </c>
      <c r="D57" s="40">
        <v>1545.11</v>
      </c>
      <c r="E57" s="40">
        <v>7</v>
      </c>
      <c r="F57" s="40">
        <v>1</v>
      </c>
      <c r="I57" s="48" t="s">
        <v>21</v>
      </c>
      <c r="J57" s="40" t="s">
        <v>712</v>
      </c>
      <c r="K57" s="40">
        <v>5589.5999999999995</v>
      </c>
      <c r="L57" s="40">
        <v>1545.11</v>
      </c>
      <c r="M57" s="40">
        <v>7</v>
      </c>
      <c r="N57" s="49">
        <v>1</v>
      </c>
      <c r="R57" s="55" t="s">
        <v>710</v>
      </c>
      <c r="S57" s="40">
        <v>13730.81</v>
      </c>
      <c r="T57" s="49">
        <v>3430.89</v>
      </c>
    </row>
    <row r="58" spans="1:20" x14ac:dyDescent="0.25">
      <c r="A58" s="40" t="s">
        <v>21</v>
      </c>
      <c r="B58" s="40" t="s">
        <v>711</v>
      </c>
      <c r="C58" s="40">
        <v>7347.76</v>
      </c>
      <c r="D58" s="40">
        <v>1856.14</v>
      </c>
      <c r="E58" s="40">
        <v>7</v>
      </c>
      <c r="F58" s="40">
        <v>2</v>
      </c>
      <c r="I58" s="48" t="s">
        <v>21</v>
      </c>
      <c r="J58" s="40" t="s">
        <v>711</v>
      </c>
      <c r="K58" s="40">
        <v>7347.76</v>
      </c>
      <c r="L58" s="40">
        <v>1856.14</v>
      </c>
      <c r="M58" s="40">
        <v>7</v>
      </c>
      <c r="N58" s="49">
        <v>2</v>
      </c>
      <c r="R58" s="55" t="s">
        <v>710</v>
      </c>
      <c r="S58" s="40">
        <v>6006.6500000000005</v>
      </c>
      <c r="T58" s="49">
        <v>1368.08</v>
      </c>
    </row>
    <row r="59" spans="1:20" x14ac:dyDescent="0.25">
      <c r="A59" s="40" t="s">
        <v>21</v>
      </c>
      <c r="B59" s="40" t="s">
        <v>710</v>
      </c>
      <c r="C59" s="40">
        <v>6488.83</v>
      </c>
      <c r="D59" s="40">
        <v>1394.89</v>
      </c>
      <c r="E59" s="40">
        <v>5</v>
      </c>
      <c r="F59" s="40">
        <v>5</v>
      </c>
      <c r="I59" s="48" t="s">
        <v>21</v>
      </c>
      <c r="J59" s="40" t="s">
        <v>710</v>
      </c>
      <c r="K59" s="40">
        <v>6488.83</v>
      </c>
      <c r="L59" s="40">
        <v>1394.89</v>
      </c>
      <c r="M59" s="40">
        <v>5</v>
      </c>
      <c r="N59" s="49">
        <v>5</v>
      </c>
      <c r="R59" s="55" t="s">
        <v>710</v>
      </c>
      <c r="S59" s="40">
        <v>6488.83</v>
      </c>
      <c r="T59" s="49">
        <v>1394.89</v>
      </c>
    </row>
    <row r="60" spans="1:20" x14ac:dyDescent="0.25">
      <c r="A60" s="40" t="s">
        <v>21</v>
      </c>
      <c r="B60" s="40" t="s">
        <v>709</v>
      </c>
      <c r="C60" s="40">
        <v>13213.87</v>
      </c>
      <c r="D60" s="40">
        <v>3606.27</v>
      </c>
      <c r="E60" s="40">
        <v>12</v>
      </c>
      <c r="F60" s="40">
        <v>7</v>
      </c>
      <c r="I60" s="48" t="s">
        <v>21</v>
      </c>
      <c r="J60" s="40" t="s">
        <v>709</v>
      </c>
      <c r="K60" s="40">
        <v>13213.87</v>
      </c>
      <c r="L60" s="40">
        <v>3606.27</v>
      </c>
      <c r="M60" s="40">
        <v>12</v>
      </c>
      <c r="N60" s="49">
        <v>7</v>
      </c>
      <c r="R60" s="55" t="s">
        <v>710</v>
      </c>
      <c r="S60" s="40">
        <v>1719.38</v>
      </c>
      <c r="T60" s="49">
        <v>447.82000000000011</v>
      </c>
    </row>
    <row r="61" spans="1:20" x14ac:dyDescent="0.25">
      <c r="A61" s="40" t="s">
        <v>21</v>
      </c>
      <c r="B61" s="40" t="s">
        <v>708</v>
      </c>
      <c r="C61" s="40">
        <v>2048.6</v>
      </c>
      <c r="D61" s="40">
        <v>626.04999999999995</v>
      </c>
      <c r="E61" s="40">
        <v>3</v>
      </c>
      <c r="F61" s="40">
        <v>1</v>
      </c>
      <c r="I61" s="48" t="s">
        <v>21</v>
      </c>
      <c r="J61" s="40" t="s">
        <v>708</v>
      </c>
      <c r="K61" s="40">
        <v>2048.6</v>
      </c>
      <c r="L61" s="40">
        <v>626.04999999999995</v>
      </c>
      <c r="M61" s="40">
        <v>3</v>
      </c>
      <c r="N61" s="49">
        <v>1</v>
      </c>
      <c r="R61" s="55" t="s">
        <v>710</v>
      </c>
      <c r="S61" s="40">
        <v>3025.92</v>
      </c>
      <c r="T61" s="49">
        <v>866.08</v>
      </c>
    </row>
    <row r="62" spans="1:20" x14ac:dyDescent="0.25">
      <c r="A62" s="40" t="s">
        <v>21</v>
      </c>
      <c r="B62" s="40" t="s">
        <v>707</v>
      </c>
      <c r="C62" s="40">
        <v>9137.09</v>
      </c>
      <c r="D62" s="40">
        <v>3200.92</v>
      </c>
      <c r="E62" s="40">
        <v>8</v>
      </c>
      <c r="F62" s="40">
        <v>7</v>
      </c>
      <c r="I62" s="48" t="s">
        <v>21</v>
      </c>
      <c r="J62" s="40" t="s">
        <v>707</v>
      </c>
      <c r="K62" s="40">
        <v>9137.09</v>
      </c>
      <c r="L62" s="40">
        <v>3200.92</v>
      </c>
      <c r="M62" s="40">
        <v>8</v>
      </c>
      <c r="N62" s="49">
        <v>7</v>
      </c>
      <c r="R62" s="55" t="s">
        <v>709</v>
      </c>
      <c r="S62" s="40">
        <v>1882.75</v>
      </c>
      <c r="T62" s="49">
        <v>346.8</v>
      </c>
    </row>
    <row r="63" spans="1:20" x14ac:dyDescent="0.25">
      <c r="A63" s="40" t="s">
        <v>21</v>
      </c>
      <c r="B63" s="40" t="s">
        <v>721</v>
      </c>
      <c r="C63" s="40">
        <v>3271.86</v>
      </c>
      <c r="D63" s="40">
        <v>762.28</v>
      </c>
      <c r="E63" s="40">
        <v>4</v>
      </c>
      <c r="F63" s="40">
        <v>7</v>
      </c>
      <c r="I63" s="48" t="s">
        <v>21</v>
      </c>
      <c r="J63" s="40" t="s">
        <v>721</v>
      </c>
      <c r="K63" s="40">
        <v>3271.86</v>
      </c>
      <c r="L63" s="40">
        <v>762.28</v>
      </c>
      <c r="M63" s="40">
        <v>4</v>
      </c>
      <c r="N63" s="49">
        <v>7</v>
      </c>
      <c r="R63" s="55" t="s">
        <v>709</v>
      </c>
      <c r="S63" s="40">
        <v>11679.03</v>
      </c>
      <c r="T63" s="49">
        <v>3081.7</v>
      </c>
    </row>
    <row r="64" spans="1:20" x14ac:dyDescent="0.25">
      <c r="A64" s="40" t="s">
        <v>21</v>
      </c>
      <c r="B64" s="40" t="s">
        <v>706</v>
      </c>
      <c r="C64" s="40">
        <v>6394.1900000000014</v>
      </c>
      <c r="D64" s="40">
        <v>1658.61</v>
      </c>
      <c r="E64" s="40">
        <v>7</v>
      </c>
      <c r="F64" s="40">
        <v>4</v>
      </c>
      <c r="I64" s="48" t="s">
        <v>21</v>
      </c>
      <c r="J64" s="40" t="s">
        <v>706</v>
      </c>
      <c r="K64" s="40">
        <v>6394.1900000000014</v>
      </c>
      <c r="L64" s="40">
        <v>1658.61</v>
      </c>
      <c r="M64" s="40">
        <v>7</v>
      </c>
      <c r="N64" s="49">
        <v>4</v>
      </c>
      <c r="R64" s="55" t="s">
        <v>709</v>
      </c>
      <c r="S64" s="40">
        <v>5718.61</v>
      </c>
      <c r="T64" s="49">
        <v>1342.18</v>
      </c>
    </row>
    <row r="65" spans="1:20" x14ac:dyDescent="0.25">
      <c r="A65" s="40" t="s">
        <v>21</v>
      </c>
      <c r="B65" s="40" t="s">
        <v>705</v>
      </c>
      <c r="C65" s="40">
        <v>2899.87</v>
      </c>
      <c r="D65" s="40">
        <v>735.74</v>
      </c>
      <c r="E65" s="40">
        <v>2</v>
      </c>
      <c r="F65" s="40">
        <v>9</v>
      </c>
      <c r="I65" s="48" t="s">
        <v>21</v>
      </c>
      <c r="J65" s="40" t="s">
        <v>705</v>
      </c>
      <c r="K65" s="40">
        <v>2899.87</v>
      </c>
      <c r="L65" s="40">
        <v>735.74</v>
      </c>
      <c r="M65" s="40">
        <v>2</v>
      </c>
      <c r="N65" s="49">
        <v>9</v>
      </c>
      <c r="R65" s="55" t="s">
        <v>709</v>
      </c>
      <c r="S65" s="40">
        <v>13213.87</v>
      </c>
      <c r="T65" s="49">
        <v>3606.27</v>
      </c>
    </row>
    <row r="66" spans="1:20" x14ac:dyDescent="0.25">
      <c r="A66" s="40" t="s">
        <v>130</v>
      </c>
      <c r="B66" s="40" t="s">
        <v>720</v>
      </c>
      <c r="C66" s="40">
        <v>656.88</v>
      </c>
      <c r="D66" s="40">
        <v>167.02</v>
      </c>
      <c r="E66" s="40">
        <v>1</v>
      </c>
      <c r="F66" s="40">
        <v>9</v>
      </c>
      <c r="I66" s="48" t="s">
        <v>130</v>
      </c>
      <c r="J66" s="40" t="s">
        <v>720</v>
      </c>
      <c r="K66" s="40">
        <v>656.88</v>
      </c>
      <c r="L66" s="40">
        <v>167.02</v>
      </c>
      <c r="M66" s="40">
        <v>1</v>
      </c>
      <c r="N66" s="49">
        <v>9</v>
      </c>
      <c r="R66" s="55" t="s">
        <v>709</v>
      </c>
      <c r="S66" s="40">
        <v>3220</v>
      </c>
      <c r="T66" s="49">
        <v>1219.8900000000001</v>
      </c>
    </row>
    <row r="67" spans="1:20" x14ac:dyDescent="0.25">
      <c r="A67" s="40" t="s">
        <v>130</v>
      </c>
      <c r="B67" s="40" t="s">
        <v>718</v>
      </c>
      <c r="C67" s="40">
        <v>6450.38</v>
      </c>
      <c r="D67" s="40">
        <v>1428.65</v>
      </c>
      <c r="E67" s="40">
        <v>4</v>
      </c>
      <c r="F67" s="40">
        <v>3</v>
      </c>
      <c r="I67" s="48" t="s">
        <v>130</v>
      </c>
      <c r="J67" s="40" t="s">
        <v>718</v>
      </c>
      <c r="K67" s="40">
        <v>6450.38</v>
      </c>
      <c r="L67" s="40">
        <v>1428.65</v>
      </c>
      <c r="M67" s="40">
        <v>4</v>
      </c>
      <c r="N67" s="49">
        <v>3</v>
      </c>
      <c r="R67" s="55" t="s">
        <v>709</v>
      </c>
      <c r="S67" s="40">
        <v>3405.03</v>
      </c>
      <c r="T67" s="49">
        <v>884.06</v>
      </c>
    </row>
    <row r="68" spans="1:20" x14ac:dyDescent="0.25">
      <c r="A68" s="40" t="s">
        <v>130</v>
      </c>
      <c r="B68" s="40" t="s">
        <v>716</v>
      </c>
      <c r="C68" s="40">
        <v>2045.91</v>
      </c>
      <c r="D68" s="40">
        <v>418.73</v>
      </c>
      <c r="E68" s="40">
        <v>3</v>
      </c>
      <c r="F68" s="40">
        <v>3</v>
      </c>
      <c r="I68" s="48" t="s">
        <v>130</v>
      </c>
      <c r="J68" s="40" t="s">
        <v>716</v>
      </c>
      <c r="K68" s="40">
        <v>2045.91</v>
      </c>
      <c r="L68" s="40">
        <v>418.73</v>
      </c>
      <c r="M68" s="40">
        <v>3</v>
      </c>
      <c r="N68" s="49">
        <v>3</v>
      </c>
      <c r="R68" s="55" t="s">
        <v>708</v>
      </c>
      <c r="S68" s="40">
        <v>3269.37</v>
      </c>
      <c r="T68" s="49">
        <v>1085.4100000000001</v>
      </c>
    </row>
    <row r="69" spans="1:20" x14ac:dyDescent="0.25">
      <c r="A69" s="40" t="s">
        <v>130</v>
      </c>
      <c r="B69" s="40" t="s">
        <v>715</v>
      </c>
      <c r="C69" s="40">
        <v>2355.85</v>
      </c>
      <c r="D69" s="40">
        <v>356.88</v>
      </c>
      <c r="E69" s="40">
        <v>2</v>
      </c>
      <c r="F69" s="40">
        <v>1</v>
      </c>
      <c r="I69" s="48" t="s">
        <v>130</v>
      </c>
      <c r="J69" s="40" t="s">
        <v>715</v>
      </c>
      <c r="K69" s="40">
        <v>2355.85</v>
      </c>
      <c r="L69" s="40">
        <v>356.88</v>
      </c>
      <c r="M69" s="40">
        <v>2</v>
      </c>
      <c r="N69" s="49">
        <v>1</v>
      </c>
      <c r="R69" s="55" t="s">
        <v>708</v>
      </c>
      <c r="S69" s="40">
        <v>9897.75</v>
      </c>
      <c r="T69" s="49">
        <v>2652.22</v>
      </c>
    </row>
    <row r="70" spans="1:20" x14ac:dyDescent="0.25">
      <c r="A70" s="40" t="s">
        <v>130</v>
      </c>
      <c r="B70" s="40" t="s">
        <v>714</v>
      </c>
      <c r="C70" s="40">
        <v>2376.6799999999998</v>
      </c>
      <c r="D70" s="40">
        <v>773.68</v>
      </c>
      <c r="E70" s="40">
        <v>3</v>
      </c>
      <c r="F70" s="40">
        <v>6</v>
      </c>
      <c r="I70" s="48" t="s">
        <v>130</v>
      </c>
      <c r="J70" s="40" t="s">
        <v>714</v>
      </c>
      <c r="K70" s="40">
        <v>2376.6799999999998</v>
      </c>
      <c r="L70" s="40">
        <v>773.68</v>
      </c>
      <c r="M70" s="40">
        <v>3</v>
      </c>
      <c r="N70" s="49">
        <v>6</v>
      </c>
      <c r="R70" s="55" t="s">
        <v>708</v>
      </c>
      <c r="S70" s="40">
        <v>8016.39</v>
      </c>
      <c r="T70" s="49">
        <v>2485.71</v>
      </c>
    </row>
    <row r="71" spans="1:20" x14ac:dyDescent="0.25">
      <c r="A71" s="40" t="s">
        <v>130</v>
      </c>
      <c r="B71" s="40" t="s">
        <v>712</v>
      </c>
      <c r="C71" s="40">
        <v>2832.86</v>
      </c>
      <c r="D71" s="40">
        <v>661.32999999999993</v>
      </c>
      <c r="E71" s="40">
        <v>3</v>
      </c>
      <c r="F71" s="40">
        <v>9</v>
      </c>
      <c r="I71" s="48" t="s">
        <v>130</v>
      </c>
      <c r="J71" s="40" t="s">
        <v>712</v>
      </c>
      <c r="K71" s="40">
        <v>2832.86</v>
      </c>
      <c r="L71" s="40">
        <v>661.32999999999993</v>
      </c>
      <c r="M71" s="40">
        <v>3</v>
      </c>
      <c r="N71" s="49">
        <v>9</v>
      </c>
      <c r="R71" s="55" t="s">
        <v>708</v>
      </c>
      <c r="S71" s="40">
        <v>2048.6</v>
      </c>
      <c r="T71" s="49">
        <v>626.04999999999995</v>
      </c>
    </row>
    <row r="72" spans="1:20" x14ac:dyDescent="0.25">
      <c r="A72" s="40" t="s">
        <v>130</v>
      </c>
      <c r="B72" s="40" t="s">
        <v>711</v>
      </c>
      <c r="C72" s="40">
        <v>935.88</v>
      </c>
      <c r="D72" s="40">
        <v>186.51</v>
      </c>
      <c r="E72" s="40">
        <v>1</v>
      </c>
      <c r="F72" s="40">
        <v>4</v>
      </c>
      <c r="I72" s="48" t="s">
        <v>130</v>
      </c>
      <c r="J72" s="40" t="s">
        <v>711</v>
      </c>
      <c r="K72" s="40">
        <v>935.88</v>
      </c>
      <c r="L72" s="40">
        <v>186.51</v>
      </c>
      <c r="M72" s="40">
        <v>1</v>
      </c>
      <c r="N72" s="49">
        <v>4</v>
      </c>
      <c r="R72" s="55" t="s">
        <v>708</v>
      </c>
      <c r="S72" s="40">
        <v>1567.87</v>
      </c>
      <c r="T72" s="49">
        <v>518.99</v>
      </c>
    </row>
    <row r="73" spans="1:20" x14ac:dyDescent="0.25">
      <c r="A73" s="40" t="s">
        <v>130</v>
      </c>
      <c r="B73" s="40" t="s">
        <v>710</v>
      </c>
      <c r="C73" s="40">
        <v>1719.38</v>
      </c>
      <c r="D73" s="40">
        <v>447.82000000000011</v>
      </c>
      <c r="E73" s="40">
        <v>2</v>
      </c>
      <c r="F73" s="40">
        <v>1</v>
      </c>
      <c r="I73" s="48" t="s">
        <v>130</v>
      </c>
      <c r="J73" s="40" t="s">
        <v>710</v>
      </c>
      <c r="K73" s="40">
        <v>1719.38</v>
      </c>
      <c r="L73" s="40">
        <v>447.82000000000011</v>
      </c>
      <c r="M73" s="40">
        <v>2</v>
      </c>
      <c r="N73" s="49">
        <v>1</v>
      </c>
      <c r="R73" s="55" t="s">
        <v>708</v>
      </c>
      <c r="S73" s="40">
        <v>263.04000000000002</v>
      </c>
      <c r="T73" s="49">
        <v>41.4</v>
      </c>
    </row>
    <row r="74" spans="1:20" x14ac:dyDescent="0.25">
      <c r="A74" s="40" t="s">
        <v>130</v>
      </c>
      <c r="B74" s="40" t="s">
        <v>709</v>
      </c>
      <c r="C74" s="40">
        <v>3220</v>
      </c>
      <c r="D74" s="40">
        <v>1219.8900000000001</v>
      </c>
      <c r="E74" s="40">
        <v>1</v>
      </c>
      <c r="F74" s="40">
        <v>7</v>
      </c>
      <c r="I74" s="48" t="s">
        <v>130</v>
      </c>
      <c r="J74" s="40" t="s">
        <v>709</v>
      </c>
      <c r="K74" s="40">
        <v>3220</v>
      </c>
      <c r="L74" s="40">
        <v>1219.8900000000001</v>
      </c>
      <c r="M74" s="40">
        <v>1</v>
      </c>
      <c r="N74" s="49">
        <v>7</v>
      </c>
      <c r="R74" s="55" t="s">
        <v>707</v>
      </c>
      <c r="S74" s="40">
        <v>412.62</v>
      </c>
      <c r="T74" s="49">
        <v>155.44</v>
      </c>
    </row>
    <row r="75" spans="1:20" x14ac:dyDescent="0.25">
      <c r="A75" s="40" t="s">
        <v>130</v>
      </c>
      <c r="B75" s="40" t="s">
        <v>708</v>
      </c>
      <c r="C75" s="40">
        <v>1567.87</v>
      </c>
      <c r="D75" s="40">
        <v>518.99</v>
      </c>
      <c r="E75" s="40">
        <v>3</v>
      </c>
      <c r="F75" s="40">
        <v>9</v>
      </c>
      <c r="I75" s="48" t="s">
        <v>130</v>
      </c>
      <c r="J75" s="40" t="s">
        <v>708</v>
      </c>
      <c r="K75" s="40">
        <v>1567.87</v>
      </c>
      <c r="L75" s="40">
        <v>518.99</v>
      </c>
      <c r="M75" s="40">
        <v>3</v>
      </c>
      <c r="N75" s="49">
        <v>9</v>
      </c>
      <c r="R75" s="55" t="s">
        <v>707</v>
      </c>
      <c r="S75" s="40">
        <v>5404.6900000000014</v>
      </c>
      <c r="T75" s="49">
        <v>1469.09</v>
      </c>
    </row>
    <row r="76" spans="1:20" x14ac:dyDescent="0.25">
      <c r="A76" s="40" t="s">
        <v>130</v>
      </c>
      <c r="B76" s="40" t="s">
        <v>707</v>
      </c>
      <c r="C76" s="40">
        <v>4977.83</v>
      </c>
      <c r="D76" s="40">
        <v>1410.15</v>
      </c>
      <c r="E76" s="40">
        <v>3</v>
      </c>
      <c r="F76" s="40">
        <v>3</v>
      </c>
      <c r="I76" s="48" t="s">
        <v>130</v>
      </c>
      <c r="J76" s="40" t="s">
        <v>707</v>
      </c>
      <c r="K76" s="40">
        <v>4977.83</v>
      </c>
      <c r="L76" s="40">
        <v>1410.15</v>
      </c>
      <c r="M76" s="40">
        <v>3</v>
      </c>
      <c r="N76" s="49">
        <v>3</v>
      </c>
      <c r="R76" s="55" t="s">
        <v>707</v>
      </c>
      <c r="S76" s="40">
        <v>5431.37</v>
      </c>
      <c r="T76" s="49">
        <v>1032.25</v>
      </c>
    </row>
    <row r="77" spans="1:20" x14ac:dyDescent="0.25">
      <c r="A77" s="40" t="s">
        <v>130</v>
      </c>
      <c r="B77" s="40" t="s">
        <v>721</v>
      </c>
      <c r="C77" s="40">
        <v>5111.88</v>
      </c>
      <c r="D77" s="40">
        <v>1879.68</v>
      </c>
      <c r="E77" s="40">
        <v>3</v>
      </c>
      <c r="F77" s="40">
        <v>6</v>
      </c>
      <c r="I77" s="48" t="s">
        <v>130</v>
      </c>
      <c r="J77" s="40" t="s">
        <v>721</v>
      </c>
      <c r="K77" s="40">
        <v>5111.88</v>
      </c>
      <c r="L77" s="40">
        <v>1879.68</v>
      </c>
      <c r="M77" s="40">
        <v>3</v>
      </c>
      <c r="N77" s="49">
        <v>6</v>
      </c>
      <c r="R77" s="55" t="s">
        <v>707</v>
      </c>
      <c r="S77" s="40">
        <v>9137.09</v>
      </c>
      <c r="T77" s="49">
        <v>3200.92</v>
      </c>
    </row>
    <row r="78" spans="1:20" x14ac:dyDescent="0.25">
      <c r="A78" s="40" t="s">
        <v>130</v>
      </c>
      <c r="B78" s="40" t="s">
        <v>706</v>
      </c>
      <c r="C78" s="40">
        <v>2766.06</v>
      </c>
      <c r="D78" s="40">
        <v>693.37</v>
      </c>
      <c r="E78" s="40">
        <v>3</v>
      </c>
      <c r="F78" s="40">
        <v>5</v>
      </c>
      <c r="I78" s="48" t="s">
        <v>130</v>
      </c>
      <c r="J78" s="40" t="s">
        <v>706</v>
      </c>
      <c r="K78" s="40">
        <v>2766.06</v>
      </c>
      <c r="L78" s="40">
        <v>693.37</v>
      </c>
      <c r="M78" s="40">
        <v>3</v>
      </c>
      <c r="N78" s="49">
        <v>5</v>
      </c>
      <c r="R78" s="55" t="s">
        <v>707</v>
      </c>
      <c r="S78" s="40">
        <v>4977.83</v>
      </c>
      <c r="T78" s="49">
        <v>1410.15</v>
      </c>
    </row>
    <row r="79" spans="1:20" x14ac:dyDescent="0.25">
      <c r="A79" s="40" t="s">
        <v>39</v>
      </c>
      <c r="B79" s="40" t="s">
        <v>720</v>
      </c>
      <c r="C79" s="40">
        <v>843.2</v>
      </c>
      <c r="D79" s="40">
        <v>266.39</v>
      </c>
      <c r="E79" s="40">
        <v>1</v>
      </c>
      <c r="F79" s="40">
        <v>3</v>
      </c>
      <c r="I79" s="48" t="s">
        <v>39</v>
      </c>
      <c r="J79" s="40" t="s">
        <v>720</v>
      </c>
      <c r="K79" s="40">
        <v>843.2</v>
      </c>
      <c r="L79" s="40">
        <v>266.39</v>
      </c>
      <c r="M79" s="40">
        <v>1</v>
      </c>
      <c r="N79" s="49">
        <v>3</v>
      </c>
      <c r="R79" s="55" t="s">
        <v>707</v>
      </c>
      <c r="S79" s="40">
        <v>168.63</v>
      </c>
      <c r="T79" s="49">
        <v>41.07</v>
      </c>
    </row>
    <row r="80" spans="1:20" x14ac:dyDescent="0.25">
      <c r="A80" s="40" t="s">
        <v>39</v>
      </c>
      <c r="B80" s="40" t="s">
        <v>719</v>
      </c>
      <c r="C80" s="40">
        <v>1171.42</v>
      </c>
      <c r="D80" s="40">
        <v>372.47</v>
      </c>
      <c r="E80" s="40">
        <v>1</v>
      </c>
      <c r="F80" s="40">
        <v>7</v>
      </c>
      <c r="I80" s="48" t="s">
        <v>39</v>
      </c>
      <c r="J80" s="40" t="s">
        <v>719</v>
      </c>
      <c r="K80" s="40">
        <v>1171.42</v>
      </c>
      <c r="L80" s="40">
        <v>372.47</v>
      </c>
      <c r="M80" s="40">
        <v>1</v>
      </c>
      <c r="N80" s="49">
        <v>7</v>
      </c>
      <c r="R80" s="55" t="s">
        <v>721</v>
      </c>
      <c r="S80" s="40">
        <v>2964.8</v>
      </c>
      <c r="T80" s="49">
        <v>920.04</v>
      </c>
    </row>
    <row r="81" spans="1:20" x14ac:dyDescent="0.25">
      <c r="A81" s="40" t="s">
        <v>39</v>
      </c>
      <c r="B81" s="40" t="s">
        <v>718</v>
      </c>
      <c r="C81" s="40">
        <v>3043.92</v>
      </c>
      <c r="D81" s="40">
        <v>836.17000000000007</v>
      </c>
      <c r="E81" s="40">
        <v>3</v>
      </c>
      <c r="F81" s="40">
        <v>5</v>
      </c>
      <c r="I81" s="48" t="s">
        <v>39</v>
      </c>
      <c r="J81" s="40" t="s">
        <v>718</v>
      </c>
      <c r="K81" s="40">
        <v>3043.92</v>
      </c>
      <c r="L81" s="40">
        <v>836.17000000000007</v>
      </c>
      <c r="M81" s="40">
        <v>3</v>
      </c>
      <c r="N81" s="49">
        <v>5</v>
      </c>
      <c r="R81" s="55" t="s">
        <v>721</v>
      </c>
      <c r="S81" s="40">
        <v>11784.96</v>
      </c>
      <c r="T81" s="49">
        <v>3759.57</v>
      </c>
    </row>
    <row r="82" spans="1:20" x14ac:dyDescent="0.25">
      <c r="A82" s="40" t="s">
        <v>39</v>
      </c>
      <c r="B82" s="40" t="s">
        <v>717</v>
      </c>
      <c r="C82" s="40">
        <v>1269.94</v>
      </c>
      <c r="D82" s="40">
        <v>439</v>
      </c>
      <c r="E82" s="40">
        <v>2</v>
      </c>
      <c r="F82" s="40">
        <v>5</v>
      </c>
      <c r="I82" s="48" t="s">
        <v>39</v>
      </c>
      <c r="J82" s="40" t="s">
        <v>717</v>
      </c>
      <c r="K82" s="40">
        <v>1269.94</v>
      </c>
      <c r="L82" s="40">
        <v>439</v>
      </c>
      <c r="M82" s="40">
        <v>2</v>
      </c>
      <c r="N82" s="49">
        <v>5</v>
      </c>
      <c r="R82" s="55" t="s">
        <v>721</v>
      </c>
      <c r="S82" s="40">
        <v>9021.380000000001</v>
      </c>
      <c r="T82" s="49">
        <v>3026.61</v>
      </c>
    </row>
    <row r="83" spans="1:20" x14ac:dyDescent="0.25">
      <c r="A83" s="40" t="s">
        <v>39</v>
      </c>
      <c r="B83" s="40" t="s">
        <v>716</v>
      </c>
      <c r="C83" s="40">
        <v>6434.71</v>
      </c>
      <c r="D83" s="40">
        <v>1817.21</v>
      </c>
      <c r="E83" s="40">
        <v>7</v>
      </c>
      <c r="F83" s="40">
        <v>7</v>
      </c>
      <c r="I83" s="48" t="s">
        <v>39</v>
      </c>
      <c r="J83" s="40" t="s">
        <v>716</v>
      </c>
      <c r="K83" s="40">
        <v>6434.71</v>
      </c>
      <c r="L83" s="40">
        <v>1817.21</v>
      </c>
      <c r="M83" s="40">
        <v>7</v>
      </c>
      <c r="N83" s="49">
        <v>7</v>
      </c>
      <c r="R83" s="55" t="s">
        <v>721</v>
      </c>
      <c r="S83" s="40">
        <v>3271.86</v>
      </c>
      <c r="T83" s="49">
        <v>762.28</v>
      </c>
    </row>
    <row r="84" spans="1:20" x14ac:dyDescent="0.25">
      <c r="A84" s="40" t="s">
        <v>39</v>
      </c>
      <c r="B84" s="40" t="s">
        <v>715</v>
      </c>
      <c r="C84" s="40">
        <v>2631.25</v>
      </c>
      <c r="D84" s="40">
        <v>942.72</v>
      </c>
      <c r="E84" s="40">
        <v>2</v>
      </c>
      <c r="F84" s="40">
        <v>4</v>
      </c>
      <c r="I84" s="48" t="s">
        <v>39</v>
      </c>
      <c r="J84" s="40" t="s">
        <v>715</v>
      </c>
      <c r="K84" s="40">
        <v>2631.25</v>
      </c>
      <c r="L84" s="40">
        <v>942.72</v>
      </c>
      <c r="M84" s="40">
        <v>2</v>
      </c>
      <c r="N84" s="49">
        <v>4</v>
      </c>
      <c r="R84" s="55" t="s">
        <v>721</v>
      </c>
      <c r="S84" s="40">
        <v>5111.88</v>
      </c>
      <c r="T84" s="49">
        <v>1879.68</v>
      </c>
    </row>
    <row r="85" spans="1:20" x14ac:dyDescent="0.25">
      <c r="A85" s="40" t="s">
        <v>39</v>
      </c>
      <c r="B85" s="40" t="s">
        <v>714</v>
      </c>
      <c r="C85" s="40">
        <v>1201.2</v>
      </c>
      <c r="D85" s="40">
        <v>329.23</v>
      </c>
      <c r="E85" s="40">
        <v>1</v>
      </c>
      <c r="F85" s="40">
        <v>8</v>
      </c>
      <c r="I85" s="48" t="s">
        <v>39</v>
      </c>
      <c r="J85" s="40" t="s">
        <v>714</v>
      </c>
      <c r="K85" s="40">
        <v>1201.2</v>
      </c>
      <c r="L85" s="40">
        <v>329.23</v>
      </c>
      <c r="M85" s="40">
        <v>1</v>
      </c>
      <c r="N85" s="49">
        <v>8</v>
      </c>
      <c r="R85" s="55" t="s">
        <v>706</v>
      </c>
      <c r="S85" s="40">
        <v>1974.31</v>
      </c>
      <c r="T85" s="49">
        <v>627.41</v>
      </c>
    </row>
    <row r="86" spans="1:20" x14ac:dyDescent="0.25">
      <c r="A86" s="40" t="s">
        <v>39</v>
      </c>
      <c r="B86" s="40" t="s">
        <v>713</v>
      </c>
      <c r="C86" s="40">
        <v>7486.09</v>
      </c>
      <c r="D86" s="40">
        <v>2363.9299999999998</v>
      </c>
      <c r="E86" s="40">
        <v>5</v>
      </c>
      <c r="F86" s="40">
        <v>3</v>
      </c>
      <c r="I86" s="48" t="s">
        <v>39</v>
      </c>
      <c r="J86" s="40" t="s">
        <v>713</v>
      </c>
      <c r="K86" s="40">
        <v>7486.09</v>
      </c>
      <c r="L86" s="40">
        <v>2363.9299999999998</v>
      </c>
      <c r="M86" s="40">
        <v>5</v>
      </c>
      <c r="N86" s="49">
        <v>3</v>
      </c>
      <c r="R86" s="55" t="s">
        <v>706</v>
      </c>
      <c r="S86" s="40">
        <v>16779.43</v>
      </c>
      <c r="T86" s="49">
        <v>5047.63</v>
      </c>
    </row>
    <row r="87" spans="1:20" x14ac:dyDescent="0.25">
      <c r="A87" s="40" t="s">
        <v>39</v>
      </c>
      <c r="B87" s="40" t="s">
        <v>712</v>
      </c>
      <c r="C87" s="40">
        <v>1381.76</v>
      </c>
      <c r="D87" s="40">
        <v>269.22000000000003</v>
      </c>
      <c r="E87" s="40">
        <v>1</v>
      </c>
      <c r="F87" s="40">
        <v>6</v>
      </c>
      <c r="I87" s="48" t="s">
        <v>39</v>
      </c>
      <c r="J87" s="40" t="s">
        <v>712</v>
      </c>
      <c r="K87" s="40">
        <v>1381.76</v>
      </c>
      <c r="L87" s="40">
        <v>269.22000000000003</v>
      </c>
      <c r="M87" s="40">
        <v>1</v>
      </c>
      <c r="N87" s="49">
        <v>6</v>
      </c>
      <c r="R87" s="55" t="s">
        <v>706</v>
      </c>
      <c r="S87" s="40">
        <v>7453.18</v>
      </c>
      <c r="T87" s="49">
        <v>1835.78</v>
      </c>
    </row>
    <row r="88" spans="1:20" x14ac:dyDescent="0.25">
      <c r="A88" s="40" t="s">
        <v>39</v>
      </c>
      <c r="B88" s="40" t="s">
        <v>711</v>
      </c>
      <c r="C88" s="40">
        <v>338.16</v>
      </c>
      <c r="D88" s="40">
        <v>134.77000000000001</v>
      </c>
      <c r="E88" s="40">
        <v>1</v>
      </c>
      <c r="F88" s="40">
        <v>4</v>
      </c>
      <c r="I88" s="48" t="s">
        <v>39</v>
      </c>
      <c r="J88" s="40" t="s">
        <v>711</v>
      </c>
      <c r="K88" s="40">
        <v>338.16</v>
      </c>
      <c r="L88" s="40">
        <v>134.77000000000001</v>
      </c>
      <c r="M88" s="40">
        <v>1</v>
      </c>
      <c r="N88" s="49">
        <v>4</v>
      </c>
      <c r="R88" s="55" t="s">
        <v>706</v>
      </c>
      <c r="S88" s="40">
        <v>6394.1900000000014</v>
      </c>
      <c r="T88" s="49">
        <v>1658.61</v>
      </c>
    </row>
    <row r="89" spans="1:20" x14ac:dyDescent="0.25">
      <c r="A89" s="40" t="s">
        <v>39</v>
      </c>
      <c r="B89" s="40" t="s">
        <v>710</v>
      </c>
      <c r="C89" s="40">
        <v>3025.92</v>
      </c>
      <c r="D89" s="40">
        <v>866.08</v>
      </c>
      <c r="E89" s="40">
        <v>3</v>
      </c>
      <c r="F89" s="40">
        <v>7</v>
      </c>
      <c r="I89" s="48" t="s">
        <v>39</v>
      </c>
      <c r="J89" s="40" t="s">
        <v>710</v>
      </c>
      <c r="K89" s="40">
        <v>3025.92</v>
      </c>
      <c r="L89" s="40">
        <v>866.08</v>
      </c>
      <c r="M89" s="40">
        <v>3</v>
      </c>
      <c r="N89" s="49">
        <v>7</v>
      </c>
      <c r="R89" s="55" t="s">
        <v>706</v>
      </c>
      <c r="S89" s="40">
        <v>2766.06</v>
      </c>
      <c r="T89" s="49">
        <v>693.37</v>
      </c>
    </row>
    <row r="90" spans="1:20" x14ac:dyDescent="0.25">
      <c r="A90" s="40" t="s">
        <v>39</v>
      </c>
      <c r="B90" s="40" t="s">
        <v>709</v>
      </c>
      <c r="C90" s="40">
        <v>3405.03</v>
      </c>
      <c r="D90" s="40">
        <v>884.06</v>
      </c>
      <c r="E90" s="40">
        <v>4</v>
      </c>
      <c r="F90" s="40">
        <v>7</v>
      </c>
      <c r="I90" s="48" t="s">
        <v>39</v>
      </c>
      <c r="J90" s="40" t="s">
        <v>709</v>
      </c>
      <c r="K90" s="40">
        <v>3405.03</v>
      </c>
      <c r="L90" s="40">
        <v>884.06</v>
      </c>
      <c r="M90" s="40">
        <v>4</v>
      </c>
      <c r="N90" s="49">
        <v>7</v>
      </c>
      <c r="R90" s="55" t="s">
        <v>706</v>
      </c>
      <c r="S90" s="40">
        <v>1172.08</v>
      </c>
      <c r="T90" s="49">
        <v>375.08</v>
      </c>
    </row>
    <row r="91" spans="1:20" x14ac:dyDescent="0.25">
      <c r="A91" s="40" t="s">
        <v>39</v>
      </c>
      <c r="B91" s="40" t="s">
        <v>708</v>
      </c>
      <c r="C91" s="40">
        <v>263.04000000000002</v>
      </c>
      <c r="D91" s="40">
        <v>41.4</v>
      </c>
      <c r="E91" s="40">
        <v>1</v>
      </c>
      <c r="F91" s="40">
        <v>8</v>
      </c>
      <c r="I91" s="48" t="s">
        <v>39</v>
      </c>
      <c r="J91" s="40" t="s">
        <v>708</v>
      </c>
      <c r="K91" s="40">
        <v>263.04000000000002</v>
      </c>
      <c r="L91" s="40">
        <v>41.4</v>
      </c>
      <c r="M91" s="40">
        <v>1</v>
      </c>
      <c r="N91" s="49">
        <v>8</v>
      </c>
      <c r="R91" s="55" t="s">
        <v>705</v>
      </c>
      <c r="S91" s="40">
        <v>4379.2</v>
      </c>
      <c r="T91" s="49">
        <v>1129.18</v>
      </c>
    </row>
    <row r="92" spans="1:20" x14ac:dyDescent="0.25">
      <c r="A92" s="40" t="s">
        <v>39</v>
      </c>
      <c r="B92" s="40" t="s">
        <v>707</v>
      </c>
      <c r="C92" s="40">
        <v>168.63</v>
      </c>
      <c r="D92" s="40">
        <v>41.07</v>
      </c>
      <c r="E92" s="40">
        <v>1</v>
      </c>
      <c r="F92" s="40">
        <v>9</v>
      </c>
      <c r="I92" s="48" t="s">
        <v>39</v>
      </c>
      <c r="J92" s="40" t="s">
        <v>707</v>
      </c>
      <c r="K92" s="40">
        <v>168.63</v>
      </c>
      <c r="L92" s="40">
        <v>41.07</v>
      </c>
      <c r="M92" s="40">
        <v>1</v>
      </c>
      <c r="N92" s="49">
        <v>9</v>
      </c>
      <c r="R92" s="55" t="s">
        <v>705</v>
      </c>
      <c r="S92" s="40">
        <v>1425.71</v>
      </c>
      <c r="T92" s="49">
        <v>356.57</v>
      </c>
    </row>
    <row r="93" spans="1:20" x14ac:dyDescent="0.25">
      <c r="A93" s="40" t="s">
        <v>39</v>
      </c>
      <c r="B93" s="40" t="s">
        <v>706</v>
      </c>
      <c r="C93" s="40">
        <v>1172.08</v>
      </c>
      <c r="D93" s="40">
        <v>375.08</v>
      </c>
      <c r="E93" s="40">
        <v>1</v>
      </c>
      <c r="F93" s="40">
        <v>7</v>
      </c>
      <c r="I93" s="48" t="s">
        <v>39</v>
      </c>
      <c r="J93" s="40" t="s">
        <v>706</v>
      </c>
      <c r="K93" s="40">
        <v>1172.08</v>
      </c>
      <c r="L93" s="40">
        <v>375.08</v>
      </c>
      <c r="M93" s="40">
        <v>1</v>
      </c>
      <c r="N93" s="49">
        <v>7</v>
      </c>
      <c r="R93" s="55" t="s">
        <v>705</v>
      </c>
      <c r="S93" s="40">
        <v>2899.87</v>
      </c>
      <c r="T93" s="49">
        <v>735.74</v>
      </c>
    </row>
    <row r="94" spans="1:20" x14ac:dyDescent="0.25">
      <c r="A94" s="40" t="s">
        <v>39</v>
      </c>
      <c r="B94" s="40" t="s">
        <v>705</v>
      </c>
      <c r="C94" s="40">
        <v>1027.68</v>
      </c>
      <c r="D94" s="40">
        <v>357.73</v>
      </c>
      <c r="E94" s="40">
        <v>1</v>
      </c>
      <c r="F94" s="40">
        <v>1</v>
      </c>
      <c r="I94" s="26" t="s">
        <v>39</v>
      </c>
      <c r="J94" s="44" t="s">
        <v>705</v>
      </c>
      <c r="K94" s="44">
        <v>1027.68</v>
      </c>
      <c r="L94" s="44">
        <v>357.73</v>
      </c>
      <c r="M94" s="44">
        <v>1</v>
      </c>
      <c r="N94" s="25">
        <v>1</v>
      </c>
      <c r="R94" s="56" t="s">
        <v>705</v>
      </c>
      <c r="S94" s="44">
        <v>1027.68</v>
      </c>
      <c r="T94" s="25">
        <v>357.73</v>
      </c>
    </row>
  </sheetData>
  <pageMargins left="0.7" right="0.7" top="0.75" bottom="0.75" header="0.3" footer="0.3"/>
  <tableParts count="2">
    <tablePart r:id="rId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4176A6-3D86-4093-AA14-6DE58BF396A3}">
  <sheetPr codeName="Sheet4"/>
  <dimension ref="A1:N501"/>
  <sheetViews>
    <sheetView topLeftCell="J1" zoomScale="77" zoomScaleNormal="116" workbookViewId="0">
      <selection activeCell="D2" sqref="D2"/>
    </sheetView>
  </sheetViews>
  <sheetFormatPr defaultRowHeight="15" x14ac:dyDescent="0.25"/>
  <cols>
    <col min="1" max="1" width="16.28515625" bestFit="1" customWidth="1"/>
    <col min="2" max="2" width="19.28515625" style="18" customWidth="1"/>
    <col min="3" max="3" width="18.7109375" bestFit="1" customWidth="1"/>
    <col min="4" max="4" width="11.5703125" bestFit="1" customWidth="1"/>
    <col min="5" max="5" width="17" bestFit="1" customWidth="1"/>
    <col min="6" max="6" width="13.42578125" bestFit="1" customWidth="1"/>
    <col min="7" max="7" width="11.140625" customWidth="1"/>
    <col min="8" max="8" width="12.42578125" style="2" customWidth="1"/>
    <col min="9" max="9" width="24.7109375" style="88" customWidth="1"/>
    <col min="10" max="10" width="15.7109375" style="2" customWidth="1"/>
    <col min="11" max="11" width="25.7109375" style="2" customWidth="1"/>
    <col min="12" max="12" width="15.7109375" bestFit="1" customWidth="1"/>
    <col min="13" max="13" width="18.42578125" bestFit="1" customWidth="1"/>
    <col min="14" max="14" width="25.7109375" customWidth="1"/>
  </cols>
  <sheetData>
    <row r="1" spans="1:14" x14ac:dyDescent="0.25">
      <c r="A1" s="3" t="s">
        <v>0</v>
      </c>
      <c r="B1" s="15" t="s">
        <v>1</v>
      </c>
      <c r="C1" s="4" t="s">
        <v>2</v>
      </c>
      <c r="D1" s="4" t="s">
        <v>3</v>
      </c>
      <c r="E1" s="4" t="s">
        <v>4</v>
      </c>
      <c r="F1" s="4" t="s">
        <v>5</v>
      </c>
      <c r="G1" s="4" t="s">
        <v>6</v>
      </c>
      <c r="H1" s="5" t="s">
        <v>7</v>
      </c>
      <c r="I1" s="86" t="s">
        <v>8</v>
      </c>
      <c r="J1" s="5" t="s">
        <v>9</v>
      </c>
      <c r="K1" s="5" t="s">
        <v>10</v>
      </c>
      <c r="L1" s="4" t="s">
        <v>11</v>
      </c>
      <c r="M1" s="4" t="s">
        <v>12</v>
      </c>
      <c r="N1" s="6" t="s">
        <v>13</v>
      </c>
    </row>
    <row r="2" spans="1:14" x14ac:dyDescent="0.25">
      <c r="A2" s="7" t="s">
        <v>14</v>
      </c>
      <c r="B2" s="16">
        <v>45677</v>
      </c>
      <c r="C2" s="8" t="str">
        <f>TRIM(Sales_Data!C2)</f>
        <v>Smith, Emily</v>
      </c>
      <c r="D2" s="8" t="str">
        <f>PROPER(TRIM(Sales_Data!D2))</f>
        <v>Usa</v>
      </c>
      <c r="E2" s="8" t="s">
        <v>17</v>
      </c>
      <c r="F2" s="8" t="s">
        <v>18</v>
      </c>
      <c r="G2" s="8">
        <v>20</v>
      </c>
      <c r="H2" s="9">
        <v>55.22</v>
      </c>
      <c r="I2" s="87">
        <f>PRODUCT(Table1[[#This Row],[Quantity]],Table1[[#This Row],[Unit_Price]])</f>
        <v>1104.4000000000001</v>
      </c>
      <c r="J2" s="9">
        <v>49.36</v>
      </c>
      <c r="K2" s="47">
        <v>355.04</v>
      </c>
      <c r="L2" s="8" t="s">
        <v>19</v>
      </c>
      <c r="M2" s="8" t="s">
        <v>20</v>
      </c>
      <c r="N2" s="10" t="s">
        <v>21</v>
      </c>
    </row>
    <row r="3" spans="1:14" x14ac:dyDescent="0.25">
      <c r="A3" s="7" t="s">
        <v>22</v>
      </c>
      <c r="B3" s="16">
        <v>45702</v>
      </c>
      <c r="C3" s="8" t="str">
        <f>TRIM(Sales_Data!C3)</f>
        <v>Brown, Laura</v>
      </c>
      <c r="D3" s="8" t="str">
        <f>PROPER(TRIM(Sales_Data!D3))</f>
        <v>Uk</v>
      </c>
      <c r="E3" s="8" t="s">
        <v>25</v>
      </c>
      <c r="F3" s="8" t="s">
        <v>18</v>
      </c>
      <c r="G3" s="8">
        <v>33</v>
      </c>
      <c r="H3" s="9">
        <v>32.03</v>
      </c>
      <c r="I3" s="87">
        <f>PRODUCT(Table1[[#This Row],[Quantity]],Table1[[#This Row],[Unit_Price]])</f>
        <v>1056.99</v>
      </c>
      <c r="J3" s="9">
        <v>59.59</v>
      </c>
      <c r="K3" s="47">
        <v>403.4</v>
      </c>
      <c r="L3" s="8" t="s">
        <v>26</v>
      </c>
      <c r="M3" s="8" t="s">
        <v>27</v>
      </c>
      <c r="N3" s="10" t="s">
        <v>28</v>
      </c>
    </row>
    <row r="4" spans="1:14" x14ac:dyDescent="0.25">
      <c r="A4" s="7" t="s">
        <v>29</v>
      </c>
      <c r="B4" s="16">
        <v>45411</v>
      </c>
      <c r="C4" s="8" t="str">
        <f>TRIM(Sales_Data!C4)</f>
        <v>Davis, John</v>
      </c>
      <c r="D4" s="8" t="str">
        <f>PROPER(TRIM(Sales_Data!D4))</f>
        <v>Italy</v>
      </c>
      <c r="E4" s="8" t="s">
        <v>25</v>
      </c>
      <c r="F4" s="8" t="s">
        <v>18</v>
      </c>
      <c r="G4" s="8">
        <v>34</v>
      </c>
      <c r="H4" s="9">
        <v>28.48</v>
      </c>
      <c r="I4" s="87">
        <f>PRODUCT(Table1[[#This Row],[Quantity]],Table1[[#This Row],[Unit_Price]])</f>
        <v>968.32</v>
      </c>
      <c r="J4" s="9">
        <v>73.95</v>
      </c>
      <c r="K4" s="47">
        <v>282.37</v>
      </c>
      <c r="L4" s="8" t="s">
        <v>19</v>
      </c>
      <c r="M4" s="8" t="s">
        <v>32</v>
      </c>
      <c r="N4" s="10" t="s">
        <v>28</v>
      </c>
    </row>
    <row r="5" spans="1:14" x14ac:dyDescent="0.25">
      <c r="A5" s="7" t="s">
        <v>33</v>
      </c>
      <c r="B5" s="16">
        <v>45566</v>
      </c>
      <c r="C5" s="8" t="str">
        <f>TRIM(Sales_Data!C5)</f>
        <v>Miller, Daniel</v>
      </c>
      <c r="D5" s="8" t="str">
        <f>PROPER(TRIM(Sales_Data!D5))</f>
        <v>Brazil</v>
      </c>
      <c r="E5" s="8" t="s">
        <v>36</v>
      </c>
      <c r="F5" s="8" t="s">
        <v>37</v>
      </c>
      <c r="G5" s="8">
        <v>6</v>
      </c>
      <c r="H5" s="9">
        <v>56.36</v>
      </c>
      <c r="I5" s="87">
        <f>PRODUCT(Table1[[#This Row],[Quantity]],Table1[[#This Row],[Unit_Price]])</f>
        <v>338.15999999999997</v>
      </c>
      <c r="J5" s="9">
        <v>11.39</v>
      </c>
      <c r="K5" s="47">
        <v>134.77000000000001</v>
      </c>
      <c r="L5" s="8" t="s">
        <v>38</v>
      </c>
      <c r="M5" s="8" t="s">
        <v>27</v>
      </c>
      <c r="N5" s="10" t="s">
        <v>39</v>
      </c>
    </row>
    <row r="6" spans="1:14" x14ac:dyDescent="0.25">
      <c r="A6" s="7" t="s">
        <v>40</v>
      </c>
      <c r="B6" s="16">
        <v>45703</v>
      </c>
      <c r="C6" s="8" t="str">
        <f>TRIM(Sales_Data!C6)</f>
        <v>Johnson, Emma</v>
      </c>
      <c r="D6" s="8" t="str">
        <f>PROPER(TRIM(Sales_Data!D6))</f>
        <v>Canada</v>
      </c>
      <c r="E6" s="8" t="s">
        <v>43</v>
      </c>
      <c r="F6" s="8" t="s">
        <v>44</v>
      </c>
      <c r="G6" s="8">
        <v>17</v>
      </c>
      <c r="H6" s="9">
        <v>69.22</v>
      </c>
      <c r="I6" s="87">
        <f>PRODUCT(Table1[[#This Row],[Quantity]],Table1[[#This Row],[Unit_Price]])</f>
        <v>1176.74</v>
      </c>
      <c r="J6" s="9">
        <v>65.94</v>
      </c>
      <c r="K6" s="47">
        <v>430.8</v>
      </c>
      <c r="L6" s="8" t="s">
        <v>26</v>
      </c>
      <c r="M6" s="8" t="s">
        <v>20</v>
      </c>
      <c r="N6" s="10" t="s">
        <v>21</v>
      </c>
    </row>
    <row r="7" spans="1:14" x14ac:dyDescent="0.25">
      <c r="A7" s="7" t="s">
        <v>45</v>
      </c>
      <c r="B7" s="16">
        <v>45714</v>
      </c>
      <c r="C7" s="8" t="str">
        <f>TRIM(Sales_Data!C7)</f>
        <v>Johnson, Michael</v>
      </c>
      <c r="D7" s="8" t="str">
        <f>PROPER(TRIM(Sales_Data!D7))</f>
        <v>Mexico</v>
      </c>
      <c r="E7" s="8" t="s">
        <v>48</v>
      </c>
      <c r="F7" s="8" t="s">
        <v>37</v>
      </c>
      <c r="G7" s="8">
        <v>13</v>
      </c>
      <c r="H7" s="9">
        <v>27.94</v>
      </c>
      <c r="I7" s="87">
        <f>PRODUCT(Table1[[#This Row],[Quantity]],Table1[[#This Row],[Unit_Price]])</f>
        <v>363.22</v>
      </c>
      <c r="J7" s="9">
        <v>15.36</v>
      </c>
      <c r="K7" s="47">
        <v>87.86</v>
      </c>
      <c r="L7" s="8" t="s">
        <v>26</v>
      </c>
      <c r="M7" s="8" t="s">
        <v>20</v>
      </c>
      <c r="N7" s="10" t="s">
        <v>21</v>
      </c>
    </row>
    <row r="8" spans="1:14" x14ac:dyDescent="0.25">
      <c r="A8" s="7" t="s">
        <v>49</v>
      </c>
      <c r="B8" s="16">
        <v>45456</v>
      </c>
      <c r="C8" s="8" t="str">
        <f>TRIM(Sales_Data!C8)</f>
        <v>Hernandez, Emma</v>
      </c>
      <c r="D8" s="8" t="str">
        <f>PROPER(TRIM(Sales_Data!D8))</f>
        <v>Uk</v>
      </c>
      <c r="E8" s="8" t="s">
        <v>51</v>
      </c>
      <c r="F8" s="8" t="s">
        <v>52</v>
      </c>
      <c r="G8" s="8">
        <v>3</v>
      </c>
      <c r="H8" s="9">
        <v>31.52</v>
      </c>
      <c r="I8" s="87">
        <f>PRODUCT(Table1[[#This Row],[Quantity]],Table1[[#This Row],[Unit_Price]])</f>
        <v>94.56</v>
      </c>
      <c r="J8" s="9">
        <v>6.98</v>
      </c>
      <c r="K8" s="47">
        <v>20.079999999999998</v>
      </c>
      <c r="L8" s="8" t="s">
        <v>19</v>
      </c>
      <c r="M8" s="8" t="s">
        <v>32</v>
      </c>
      <c r="N8" s="10" t="s">
        <v>28</v>
      </c>
    </row>
    <row r="9" spans="1:14" x14ac:dyDescent="0.25">
      <c r="A9" s="7" t="s">
        <v>53</v>
      </c>
      <c r="B9" s="16">
        <v>45778</v>
      </c>
      <c r="C9" s="8" t="str">
        <f>TRIM(Sales_Data!C9)</f>
        <v>Miller, John</v>
      </c>
      <c r="D9" s="8" t="str">
        <f>PROPER(TRIM(Sales_Data!D9))</f>
        <v>China</v>
      </c>
      <c r="E9" s="8" t="s">
        <v>56</v>
      </c>
      <c r="F9" s="8" t="s">
        <v>57</v>
      </c>
      <c r="G9" s="8">
        <v>14</v>
      </c>
      <c r="H9" s="9">
        <v>30.71</v>
      </c>
      <c r="I9" s="87">
        <f>PRODUCT(Table1[[#This Row],[Quantity]],Table1[[#This Row],[Unit_Price]])</f>
        <v>429.94</v>
      </c>
      <c r="J9" s="9">
        <v>13.03</v>
      </c>
      <c r="K9" s="47">
        <v>66.91</v>
      </c>
      <c r="L9" s="8" t="s">
        <v>26</v>
      </c>
      <c r="M9" s="8" t="s">
        <v>20</v>
      </c>
      <c r="N9" s="10" t="s">
        <v>58</v>
      </c>
    </row>
    <row r="10" spans="1:14" x14ac:dyDescent="0.25">
      <c r="A10" s="7" t="s">
        <v>59</v>
      </c>
      <c r="B10" s="16">
        <v>45548</v>
      </c>
      <c r="C10" s="8" t="str">
        <f>TRIM(Sales_Data!C10)</f>
        <v>Davis, John</v>
      </c>
      <c r="D10" s="8" t="str">
        <f>PROPER(TRIM(Sales_Data!D10))</f>
        <v>Usa</v>
      </c>
      <c r="E10" s="8" t="s">
        <v>60</v>
      </c>
      <c r="F10" s="8" t="s">
        <v>52</v>
      </c>
      <c r="G10" s="8">
        <v>47</v>
      </c>
      <c r="H10" s="9">
        <v>24.47</v>
      </c>
      <c r="I10" s="87">
        <f>PRODUCT(Table1[[#This Row],[Quantity]],Table1[[#This Row],[Unit_Price]])</f>
        <v>1150.0899999999999</v>
      </c>
      <c r="J10" s="9">
        <v>61.3</v>
      </c>
      <c r="K10" s="47">
        <v>360.29</v>
      </c>
      <c r="L10" s="8" t="s">
        <v>26</v>
      </c>
      <c r="M10" s="8" t="s">
        <v>20</v>
      </c>
      <c r="N10" s="10" t="s">
        <v>21</v>
      </c>
    </row>
    <row r="11" spans="1:14" x14ac:dyDescent="0.25">
      <c r="A11" s="7" t="s">
        <v>61</v>
      </c>
      <c r="B11" s="16">
        <v>45531</v>
      </c>
      <c r="C11" s="8" t="str">
        <f>TRIM(Sales_Data!C11)</f>
        <v>Martinez, Laura</v>
      </c>
      <c r="D11" s="8" t="str">
        <f>PROPER(TRIM(Sales_Data!D11))</f>
        <v>Italy</v>
      </c>
      <c r="E11" s="8" t="s">
        <v>63</v>
      </c>
      <c r="F11" s="8" t="s">
        <v>37</v>
      </c>
      <c r="G11" s="8">
        <v>27</v>
      </c>
      <c r="H11" s="9">
        <v>18.98</v>
      </c>
      <c r="I11" s="87">
        <f>PRODUCT(Table1[[#This Row],[Quantity]],Table1[[#This Row],[Unit_Price]])</f>
        <v>512.46</v>
      </c>
      <c r="J11" s="9">
        <v>28.89</v>
      </c>
      <c r="K11" s="47">
        <v>139.32</v>
      </c>
      <c r="L11" s="8" t="s">
        <v>26</v>
      </c>
      <c r="M11" s="8" t="s">
        <v>32</v>
      </c>
      <c r="N11" s="10" t="s">
        <v>28</v>
      </c>
    </row>
    <row r="12" spans="1:14" x14ac:dyDescent="0.25">
      <c r="A12" s="7" t="s">
        <v>64</v>
      </c>
      <c r="B12" s="16">
        <v>45754</v>
      </c>
      <c r="C12" s="8" t="str">
        <f>TRIM(Sales_Data!C12)</f>
        <v>Martinez, James</v>
      </c>
      <c r="D12" s="8" t="str">
        <f>PROPER(TRIM(Sales_Data!D12))</f>
        <v>China</v>
      </c>
      <c r="E12" s="8" t="s">
        <v>17</v>
      </c>
      <c r="F12" s="8" t="s">
        <v>18</v>
      </c>
      <c r="G12" s="8">
        <v>32</v>
      </c>
      <c r="H12" s="9">
        <v>57.84</v>
      </c>
      <c r="I12" s="87">
        <f>PRODUCT(Table1[[#This Row],[Quantity]],Table1[[#This Row],[Unit_Price]])</f>
        <v>1850.88</v>
      </c>
      <c r="J12" s="9">
        <v>55.15</v>
      </c>
      <c r="K12" s="47">
        <v>675.73</v>
      </c>
      <c r="L12" s="8" t="s">
        <v>19</v>
      </c>
      <c r="M12" s="8" t="s">
        <v>20</v>
      </c>
      <c r="N12" s="10" t="s">
        <v>58</v>
      </c>
    </row>
    <row r="13" spans="1:14" x14ac:dyDescent="0.25">
      <c r="A13" s="7" t="s">
        <v>66</v>
      </c>
      <c r="B13" s="16">
        <v>45634</v>
      </c>
      <c r="C13" s="8" t="str">
        <f>TRIM(Sales_Data!C13)</f>
        <v>Davis, James</v>
      </c>
      <c r="D13" s="8" t="str">
        <f>PROPER(TRIM(Sales_Data!D13))</f>
        <v>Canada</v>
      </c>
      <c r="E13" s="8" t="s">
        <v>43</v>
      </c>
      <c r="F13" s="8" t="s">
        <v>44</v>
      </c>
      <c r="G13" s="8">
        <v>49</v>
      </c>
      <c r="H13" s="9">
        <v>58.77</v>
      </c>
      <c r="I13" s="87">
        <f>PRODUCT(Table1[[#This Row],[Quantity]],Table1[[#This Row],[Unit_Price]])</f>
        <v>2879.73</v>
      </c>
      <c r="J13" s="9">
        <v>140.29</v>
      </c>
      <c r="K13" s="47">
        <v>779.44</v>
      </c>
      <c r="L13" s="8" t="s">
        <v>38</v>
      </c>
      <c r="M13" s="8" t="s">
        <v>32</v>
      </c>
      <c r="N13" s="10" t="s">
        <v>21</v>
      </c>
    </row>
    <row r="14" spans="1:14" x14ac:dyDescent="0.25">
      <c r="A14" s="7" t="s">
        <v>68</v>
      </c>
      <c r="B14" s="16">
        <v>45547</v>
      </c>
      <c r="C14" s="8" t="str">
        <f>TRIM(Sales_Data!C14)</f>
        <v>Martinez, James</v>
      </c>
      <c r="D14" s="8" t="str">
        <f>PROPER(TRIM(Sales_Data!D14))</f>
        <v>Singapore</v>
      </c>
      <c r="E14" s="8" t="s">
        <v>17</v>
      </c>
      <c r="F14" s="8" t="s">
        <v>18</v>
      </c>
      <c r="G14" s="8">
        <v>43</v>
      </c>
      <c r="H14" s="9">
        <v>56.92</v>
      </c>
      <c r="I14" s="87">
        <f>PRODUCT(Table1[[#This Row],[Quantity]],Table1[[#This Row],[Unit_Price]])</f>
        <v>2447.56</v>
      </c>
      <c r="J14" s="9">
        <v>140.4</v>
      </c>
      <c r="K14" s="47">
        <v>802.16</v>
      </c>
      <c r="L14" s="8" t="s">
        <v>19</v>
      </c>
      <c r="M14" s="8" t="s">
        <v>27</v>
      </c>
      <c r="N14" s="10" t="s">
        <v>58</v>
      </c>
    </row>
    <row r="15" spans="1:14" x14ac:dyDescent="0.25">
      <c r="A15" s="7" t="s">
        <v>70</v>
      </c>
      <c r="B15" s="16">
        <v>45350</v>
      </c>
      <c r="C15" s="8" t="str">
        <f>TRIM(Sales_Data!C15)</f>
        <v>Smith, Emma</v>
      </c>
      <c r="D15" s="8" t="str">
        <f>PROPER(TRIM(Sales_Data!D15))</f>
        <v>Italy</v>
      </c>
      <c r="E15" s="8" t="s">
        <v>56</v>
      </c>
      <c r="F15" s="8" t="s">
        <v>57</v>
      </c>
      <c r="G15" s="8">
        <v>32</v>
      </c>
      <c r="H15" s="9">
        <v>43.45</v>
      </c>
      <c r="I15" s="87">
        <f>PRODUCT(Table1[[#This Row],[Quantity]],Table1[[#This Row],[Unit_Price]])</f>
        <v>1390.4</v>
      </c>
      <c r="J15" s="9">
        <v>30.04</v>
      </c>
      <c r="K15" s="47">
        <v>560.36</v>
      </c>
      <c r="L15" s="8" t="s">
        <v>19</v>
      </c>
      <c r="M15" s="8" t="s">
        <v>32</v>
      </c>
      <c r="N15" s="10" t="s">
        <v>28</v>
      </c>
    </row>
    <row r="16" spans="1:14" x14ac:dyDescent="0.25">
      <c r="A16" s="7" t="s">
        <v>72</v>
      </c>
      <c r="B16" s="16">
        <v>45378</v>
      </c>
      <c r="C16" s="8" t="str">
        <f>TRIM(Sales_Data!C16)</f>
        <v>Davis, Sarah</v>
      </c>
      <c r="D16" s="8" t="str">
        <f>PROPER(TRIM(Sales_Data!D16))</f>
        <v>Uae</v>
      </c>
      <c r="E16" s="8" t="s">
        <v>56</v>
      </c>
      <c r="F16" s="8" t="s">
        <v>57</v>
      </c>
      <c r="G16" s="8">
        <v>22</v>
      </c>
      <c r="H16" s="9">
        <v>42.59</v>
      </c>
      <c r="I16" s="87">
        <f>PRODUCT(Table1[[#This Row],[Quantity]],Table1[[#This Row],[Unit_Price]])</f>
        <v>936.98</v>
      </c>
      <c r="J16" s="9">
        <v>29.87</v>
      </c>
      <c r="K16" s="47">
        <v>357.11</v>
      </c>
      <c r="L16" s="8" t="s">
        <v>26</v>
      </c>
      <c r="M16" s="8" t="s">
        <v>32</v>
      </c>
      <c r="N16" s="10" t="s">
        <v>58</v>
      </c>
    </row>
    <row r="17" spans="1:14" x14ac:dyDescent="0.25">
      <c r="A17" s="7" t="s">
        <v>75</v>
      </c>
      <c r="B17" s="16">
        <v>45556</v>
      </c>
      <c r="C17" s="8" t="str">
        <f>TRIM(Sales_Data!C17)</f>
        <v>Williams, David</v>
      </c>
      <c r="D17" s="8" t="str">
        <f>PROPER(TRIM(Sales_Data!D17))</f>
        <v>Japan</v>
      </c>
      <c r="E17" s="8" t="s">
        <v>48</v>
      </c>
      <c r="F17" s="8" t="s">
        <v>37</v>
      </c>
      <c r="G17" s="8">
        <v>48</v>
      </c>
      <c r="H17" s="9">
        <v>25.36</v>
      </c>
      <c r="I17" s="87">
        <f>PRODUCT(Table1[[#This Row],[Quantity]],Table1[[#This Row],[Unit_Price]])</f>
        <v>1217.28</v>
      </c>
      <c r="J17" s="9">
        <v>49.68</v>
      </c>
      <c r="K17" s="47">
        <v>207.6</v>
      </c>
      <c r="L17" s="8" t="s">
        <v>26</v>
      </c>
      <c r="M17" s="8" t="s">
        <v>20</v>
      </c>
      <c r="N17" s="10" t="s">
        <v>58</v>
      </c>
    </row>
    <row r="18" spans="1:14" x14ac:dyDescent="0.25">
      <c r="A18" s="7" t="s">
        <v>78</v>
      </c>
      <c r="B18" s="16">
        <v>45506</v>
      </c>
      <c r="C18" s="8" t="str">
        <f>TRIM(Sales_Data!C18)</f>
        <v>Martinez, James</v>
      </c>
      <c r="D18" s="8" t="str">
        <f>PROPER(TRIM(Sales_Data!D18))</f>
        <v>Uae</v>
      </c>
      <c r="E18" s="8" t="s">
        <v>25</v>
      </c>
      <c r="F18" s="8" t="s">
        <v>18</v>
      </c>
      <c r="G18" s="8">
        <v>48</v>
      </c>
      <c r="H18" s="9">
        <v>30.07</v>
      </c>
      <c r="I18" s="87">
        <f>PRODUCT(Table1[[#This Row],[Quantity]],Table1[[#This Row],[Unit_Price]])</f>
        <v>1443.3600000000001</v>
      </c>
      <c r="J18" s="9">
        <v>102.31</v>
      </c>
      <c r="K18" s="47">
        <v>477.05</v>
      </c>
      <c r="L18" s="8" t="s">
        <v>38</v>
      </c>
      <c r="M18" s="8" t="s">
        <v>20</v>
      </c>
      <c r="N18" s="10" t="s">
        <v>58</v>
      </c>
    </row>
    <row r="19" spans="1:14" x14ac:dyDescent="0.25">
      <c r="A19" s="7" t="s">
        <v>79</v>
      </c>
      <c r="B19" s="16">
        <v>45564</v>
      </c>
      <c r="C19" s="8" t="str">
        <f>TRIM(Sales_Data!C19)</f>
        <v>Johnson, Michael</v>
      </c>
      <c r="D19" s="8" t="str">
        <f>PROPER(TRIM(Sales_Data!D19))</f>
        <v>Uae</v>
      </c>
      <c r="E19" s="8" t="s">
        <v>48</v>
      </c>
      <c r="F19" s="8" t="s">
        <v>37</v>
      </c>
      <c r="G19" s="8">
        <v>6</v>
      </c>
      <c r="H19" s="9">
        <v>32.17</v>
      </c>
      <c r="I19" s="87">
        <f>PRODUCT(Table1[[#This Row],[Quantity]],Table1[[#This Row],[Unit_Price]])</f>
        <v>193.02</v>
      </c>
      <c r="J19" s="9">
        <v>14.45</v>
      </c>
      <c r="K19" s="47">
        <v>58.57</v>
      </c>
      <c r="L19" s="8" t="s">
        <v>38</v>
      </c>
      <c r="M19" s="8" t="s">
        <v>20</v>
      </c>
      <c r="N19" s="10" t="s">
        <v>58</v>
      </c>
    </row>
    <row r="20" spans="1:14" x14ac:dyDescent="0.25">
      <c r="A20" s="7" t="s">
        <v>80</v>
      </c>
      <c r="B20" s="16">
        <v>45476</v>
      </c>
      <c r="C20" s="8" t="str">
        <f>TRIM(Sales_Data!C20)</f>
        <v>Smith, Sarah</v>
      </c>
      <c r="D20" s="8" t="str">
        <f>PROPER(TRIM(Sales_Data!D20))</f>
        <v>Singapore</v>
      </c>
      <c r="E20" s="8" t="s">
        <v>25</v>
      </c>
      <c r="F20" s="8" t="s">
        <v>18</v>
      </c>
      <c r="G20" s="8">
        <v>37</v>
      </c>
      <c r="H20" s="9">
        <v>24.14</v>
      </c>
      <c r="I20" s="87">
        <f>PRODUCT(Table1[[#This Row],[Quantity]],Table1[[#This Row],[Unit_Price]])</f>
        <v>893.18000000000006</v>
      </c>
      <c r="J20" s="9">
        <v>31.39</v>
      </c>
      <c r="K20" s="47">
        <v>195.79</v>
      </c>
      <c r="L20" s="8" t="s">
        <v>26</v>
      </c>
      <c r="M20" s="8" t="s">
        <v>27</v>
      </c>
      <c r="N20" s="10" t="s">
        <v>58</v>
      </c>
    </row>
    <row r="21" spans="1:14" x14ac:dyDescent="0.25">
      <c r="A21" s="7" t="s">
        <v>82</v>
      </c>
      <c r="B21" s="16">
        <v>45770</v>
      </c>
      <c r="C21" s="8" t="str">
        <f>TRIM(Sales_Data!C21)</f>
        <v>Johnson, Emma</v>
      </c>
      <c r="D21" s="8" t="str">
        <f>PROPER(TRIM(Sales_Data!D21))</f>
        <v>Uk</v>
      </c>
      <c r="E21" s="8" t="s">
        <v>83</v>
      </c>
      <c r="F21" s="8" t="s">
        <v>52</v>
      </c>
      <c r="G21" s="8">
        <v>39</v>
      </c>
      <c r="H21" s="9">
        <v>37.840000000000003</v>
      </c>
      <c r="I21" s="87">
        <f>PRODUCT(Table1[[#This Row],[Quantity]],Table1[[#This Row],[Unit_Price]])</f>
        <v>1475.7600000000002</v>
      </c>
      <c r="J21" s="9">
        <v>73.400000000000006</v>
      </c>
      <c r="K21" s="47">
        <v>310.36</v>
      </c>
      <c r="L21" s="8" t="s">
        <v>26</v>
      </c>
      <c r="M21" s="8" t="s">
        <v>32</v>
      </c>
      <c r="N21" s="10" t="s">
        <v>28</v>
      </c>
    </row>
    <row r="22" spans="1:14" x14ac:dyDescent="0.25">
      <c r="A22" s="7" t="s">
        <v>84</v>
      </c>
      <c r="B22" s="16">
        <v>45715</v>
      </c>
      <c r="C22" s="8" t="str">
        <f>TRIM(Sales_Data!C22)</f>
        <v>Miller, Michael</v>
      </c>
      <c r="D22" s="8" t="str">
        <f>PROPER(TRIM(Sales_Data!D22))</f>
        <v>South Africa</v>
      </c>
      <c r="E22" s="8" t="s">
        <v>43</v>
      </c>
      <c r="F22" s="8" t="s">
        <v>44</v>
      </c>
      <c r="G22" s="8">
        <v>6</v>
      </c>
      <c r="H22" s="9">
        <v>68.77</v>
      </c>
      <c r="I22" s="87">
        <f>PRODUCT(Table1[[#This Row],[Quantity]],Table1[[#This Row],[Unit_Price]])</f>
        <v>412.62</v>
      </c>
      <c r="J22" s="9">
        <v>17.18</v>
      </c>
      <c r="K22" s="47">
        <v>155.44</v>
      </c>
      <c r="L22" s="8" t="s">
        <v>26</v>
      </c>
      <c r="M22" s="8" t="s">
        <v>20</v>
      </c>
      <c r="N22" s="10" t="s">
        <v>87</v>
      </c>
    </row>
    <row r="23" spans="1:14" x14ac:dyDescent="0.25">
      <c r="A23" s="7" t="s">
        <v>88</v>
      </c>
      <c r="B23" s="16">
        <v>45741</v>
      </c>
      <c r="C23" s="8" t="str">
        <f>TRIM(Sales_Data!C23)</f>
        <v>Davis, David</v>
      </c>
      <c r="D23" s="8" t="str">
        <f>PROPER(TRIM(Sales_Data!D23))</f>
        <v>Canada</v>
      </c>
      <c r="E23" s="8" t="s">
        <v>63</v>
      </c>
      <c r="F23" s="8" t="s">
        <v>37</v>
      </c>
      <c r="G23" s="8">
        <v>6</v>
      </c>
      <c r="H23" s="9">
        <v>18.5</v>
      </c>
      <c r="I23" s="87">
        <f>PRODUCT(Table1[[#This Row],[Quantity]],Table1[[#This Row],[Unit_Price]])</f>
        <v>111</v>
      </c>
      <c r="J23" s="9">
        <v>5.26</v>
      </c>
      <c r="K23" s="47">
        <v>29.24</v>
      </c>
      <c r="L23" s="8" t="s">
        <v>38</v>
      </c>
      <c r="M23" s="8" t="s">
        <v>27</v>
      </c>
      <c r="N23" s="10" t="s">
        <v>21</v>
      </c>
    </row>
    <row r="24" spans="1:14" x14ac:dyDescent="0.25">
      <c r="A24" s="7" t="s">
        <v>90</v>
      </c>
      <c r="B24" s="16">
        <v>45426</v>
      </c>
      <c r="C24" s="8" t="str">
        <f>TRIM(Sales_Data!C24)</f>
        <v>Johnson, Sarah</v>
      </c>
      <c r="D24" s="8" t="str">
        <f>PROPER(TRIM(Sales_Data!D24))</f>
        <v>Italy</v>
      </c>
      <c r="E24" s="8" t="s">
        <v>51</v>
      </c>
      <c r="F24" s="8" t="s">
        <v>52</v>
      </c>
      <c r="G24" s="8">
        <v>33</v>
      </c>
      <c r="H24" s="9">
        <v>28.96</v>
      </c>
      <c r="I24" s="87">
        <f>PRODUCT(Table1[[#This Row],[Quantity]],Table1[[#This Row],[Unit_Price]])</f>
        <v>955.68000000000006</v>
      </c>
      <c r="J24" s="9">
        <v>49.07</v>
      </c>
      <c r="K24" s="47">
        <v>164.11</v>
      </c>
      <c r="L24" s="8" t="s">
        <v>26</v>
      </c>
      <c r="M24" s="8" t="s">
        <v>20</v>
      </c>
      <c r="N24" s="10" t="s">
        <v>28</v>
      </c>
    </row>
    <row r="25" spans="1:14" x14ac:dyDescent="0.25">
      <c r="A25" s="7" t="s">
        <v>92</v>
      </c>
      <c r="B25" s="16">
        <v>45336</v>
      </c>
      <c r="C25" s="8" t="str">
        <f>TRIM(Sales_Data!C25)</f>
        <v>Hernandez, Sophia</v>
      </c>
      <c r="D25" s="8" t="str">
        <f>PROPER(TRIM(Sales_Data!D25))</f>
        <v>Canada</v>
      </c>
      <c r="E25" s="8" t="s">
        <v>51</v>
      </c>
      <c r="F25" s="8" t="s">
        <v>52</v>
      </c>
      <c r="G25" s="8">
        <v>31</v>
      </c>
      <c r="H25" s="9">
        <v>35.020000000000003</v>
      </c>
      <c r="I25" s="87">
        <f>PRODUCT(Table1[[#This Row],[Quantity]],Table1[[#This Row],[Unit_Price]])</f>
        <v>1085.6200000000001</v>
      </c>
      <c r="J25" s="9">
        <v>74.650000000000006</v>
      </c>
      <c r="K25" s="47">
        <v>313.47000000000003</v>
      </c>
      <c r="L25" s="8" t="s">
        <v>38</v>
      </c>
      <c r="M25" s="8" t="s">
        <v>20</v>
      </c>
      <c r="N25" s="10" t="s">
        <v>21</v>
      </c>
    </row>
    <row r="26" spans="1:14" x14ac:dyDescent="0.25">
      <c r="A26" s="7" t="s">
        <v>94</v>
      </c>
      <c r="B26" s="16">
        <v>45771</v>
      </c>
      <c r="C26" s="8" t="str">
        <f>TRIM(Sales_Data!C26)</f>
        <v>Williams, Daniel</v>
      </c>
      <c r="D26" s="8" t="str">
        <f>PROPER(TRIM(Sales_Data!D26))</f>
        <v>Canada</v>
      </c>
      <c r="E26" s="8" t="s">
        <v>48</v>
      </c>
      <c r="F26" s="8" t="s">
        <v>37</v>
      </c>
      <c r="G26" s="8">
        <v>25</v>
      </c>
      <c r="H26" s="9">
        <v>31.57</v>
      </c>
      <c r="I26" s="87">
        <f>PRODUCT(Table1[[#This Row],[Quantity]],Table1[[#This Row],[Unit_Price]])</f>
        <v>789.25</v>
      </c>
      <c r="J26" s="9">
        <v>56.47</v>
      </c>
      <c r="K26" s="47">
        <v>232.78</v>
      </c>
      <c r="L26" s="8" t="s">
        <v>26</v>
      </c>
      <c r="M26" s="8" t="s">
        <v>27</v>
      </c>
      <c r="N26" s="10" t="s">
        <v>21</v>
      </c>
    </row>
    <row r="27" spans="1:14" x14ac:dyDescent="0.25">
      <c r="A27" s="7" t="s">
        <v>96</v>
      </c>
      <c r="B27" s="16">
        <v>45648</v>
      </c>
      <c r="C27" s="8" t="str">
        <f>TRIM(Sales_Data!C27)</f>
        <v>Martinez, Michael</v>
      </c>
      <c r="D27" s="8" t="str">
        <f>PROPER(TRIM(Sales_Data!D27))</f>
        <v>Italy</v>
      </c>
      <c r="E27" s="8" t="s">
        <v>60</v>
      </c>
      <c r="F27" s="8" t="s">
        <v>52</v>
      </c>
      <c r="G27" s="8">
        <v>14</v>
      </c>
      <c r="H27" s="9">
        <v>27.08</v>
      </c>
      <c r="I27" s="87">
        <f>PRODUCT(Table1[[#This Row],[Quantity]],Table1[[#This Row],[Unit_Price]])</f>
        <v>379.12</v>
      </c>
      <c r="J27" s="9">
        <v>11.12</v>
      </c>
      <c r="K27" s="47">
        <v>151</v>
      </c>
      <c r="L27" s="8" t="s">
        <v>26</v>
      </c>
      <c r="M27" s="8" t="s">
        <v>32</v>
      </c>
      <c r="N27" s="10" t="s">
        <v>28</v>
      </c>
    </row>
    <row r="28" spans="1:14" x14ac:dyDescent="0.25">
      <c r="A28" s="7" t="s">
        <v>98</v>
      </c>
      <c r="B28" s="16">
        <v>45445</v>
      </c>
      <c r="C28" s="8" t="str">
        <f>TRIM(Sales_Data!C28)</f>
        <v>Miller, Daniel</v>
      </c>
      <c r="D28" s="8" t="str">
        <f>PROPER(TRIM(Sales_Data!D28))</f>
        <v>Italy</v>
      </c>
      <c r="E28" s="8" t="s">
        <v>83</v>
      </c>
      <c r="F28" s="8" t="s">
        <v>52</v>
      </c>
      <c r="G28" s="8">
        <v>39</v>
      </c>
      <c r="H28" s="9">
        <v>35.32</v>
      </c>
      <c r="I28" s="87">
        <f>PRODUCT(Table1[[#This Row],[Quantity]],Table1[[#This Row],[Unit_Price]])</f>
        <v>1377.48</v>
      </c>
      <c r="J28" s="9">
        <v>63.72</v>
      </c>
      <c r="K28" s="47">
        <v>221.76</v>
      </c>
      <c r="L28" s="8" t="s">
        <v>26</v>
      </c>
      <c r="M28" s="8" t="s">
        <v>27</v>
      </c>
      <c r="N28" s="10" t="s">
        <v>28</v>
      </c>
    </row>
    <row r="29" spans="1:14" x14ac:dyDescent="0.25">
      <c r="A29" s="7" t="s">
        <v>99</v>
      </c>
      <c r="B29" s="16">
        <v>45527</v>
      </c>
      <c r="C29" s="8" t="str">
        <f>TRIM(Sales_Data!C29)</f>
        <v>Jones, Laura</v>
      </c>
      <c r="D29" s="8" t="str">
        <f>PROPER(TRIM(Sales_Data!D29))</f>
        <v>China</v>
      </c>
      <c r="E29" s="8" t="s">
        <v>51</v>
      </c>
      <c r="F29" s="8" t="s">
        <v>52</v>
      </c>
      <c r="G29" s="8">
        <v>6</v>
      </c>
      <c r="H29" s="9">
        <v>39.630000000000003</v>
      </c>
      <c r="I29" s="87">
        <f>PRODUCT(Table1[[#This Row],[Quantity]],Table1[[#This Row],[Unit_Price]])</f>
        <v>237.78000000000003</v>
      </c>
      <c r="J29" s="9">
        <v>8.08</v>
      </c>
      <c r="K29" s="47">
        <v>94.7</v>
      </c>
      <c r="L29" s="8" t="s">
        <v>19</v>
      </c>
      <c r="M29" s="8" t="s">
        <v>32</v>
      </c>
      <c r="N29" s="10" t="s">
        <v>58</v>
      </c>
    </row>
    <row r="30" spans="1:14" x14ac:dyDescent="0.25">
      <c r="A30" s="7" t="s">
        <v>101</v>
      </c>
      <c r="B30" s="16">
        <v>45687</v>
      </c>
      <c r="C30" s="8" t="str">
        <f>TRIM(Sales_Data!C30)</f>
        <v>Brown, Michael</v>
      </c>
      <c r="D30" s="8" t="str">
        <f>PROPER(TRIM(Sales_Data!D30))</f>
        <v>South Africa</v>
      </c>
      <c r="E30" s="8" t="s">
        <v>43</v>
      </c>
      <c r="F30" s="8" t="s">
        <v>44</v>
      </c>
      <c r="G30" s="8">
        <v>36</v>
      </c>
      <c r="H30" s="9">
        <v>68.400000000000006</v>
      </c>
      <c r="I30" s="87">
        <f>PRODUCT(Table1[[#This Row],[Quantity]],Table1[[#This Row],[Unit_Price]])</f>
        <v>2462.4</v>
      </c>
      <c r="J30" s="9">
        <v>150.83000000000001</v>
      </c>
      <c r="K30" s="47">
        <v>871.57</v>
      </c>
      <c r="L30" s="8" t="s">
        <v>26</v>
      </c>
      <c r="M30" s="8" t="s">
        <v>20</v>
      </c>
      <c r="N30" s="10" t="s">
        <v>87</v>
      </c>
    </row>
    <row r="31" spans="1:14" x14ac:dyDescent="0.25">
      <c r="A31" s="7" t="s">
        <v>103</v>
      </c>
      <c r="B31" s="16">
        <v>45488</v>
      </c>
      <c r="C31" s="8" t="str">
        <f>TRIM(Sales_Data!C31)</f>
        <v>Williams, David</v>
      </c>
      <c r="D31" s="8" t="str">
        <f>PROPER(TRIM(Sales_Data!D31))</f>
        <v>Italy</v>
      </c>
      <c r="E31" s="8" t="s">
        <v>56</v>
      </c>
      <c r="F31" s="8" t="s">
        <v>57</v>
      </c>
      <c r="G31" s="8">
        <v>1</v>
      </c>
      <c r="H31" s="9">
        <v>44.98</v>
      </c>
      <c r="I31" s="87">
        <f>PRODUCT(Table1[[#This Row],[Quantity]],Table1[[#This Row],[Unit_Price]])</f>
        <v>44.98</v>
      </c>
      <c r="J31" s="9">
        <v>2.81</v>
      </c>
      <c r="K31" s="47">
        <v>17.170000000000002</v>
      </c>
      <c r="L31" s="8" t="s">
        <v>26</v>
      </c>
      <c r="M31" s="8" t="s">
        <v>27</v>
      </c>
      <c r="N31" s="10" t="s">
        <v>28</v>
      </c>
    </row>
    <row r="32" spans="1:14" x14ac:dyDescent="0.25">
      <c r="A32" s="7" t="s">
        <v>104</v>
      </c>
      <c r="B32" s="16">
        <v>45769</v>
      </c>
      <c r="C32" s="8" t="str">
        <f>TRIM(Sales_Data!C32)</f>
        <v>Miller, Laura</v>
      </c>
      <c r="D32" s="8" t="str">
        <f>PROPER(TRIM(Sales_Data!D32))</f>
        <v>France</v>
      </c>
      <c r="E32" s="8" t="s">
        <v>83</v>
      </c>
      <c r="F32" s="8" t="s">
        <v>52</v>
      </c>
      <c r="G32" s="8">
        <v>3</v>
      </c>
      <c r="H32" s="9">
        <v>37.74</v>
      </c>
      <c r="I32" s="87">
        <f>PRODUCT(Table1[[#This Row],[Quantity]],Table1[[#This Row],[Unit_Price]])</f>
        <v>113.22</v>
      </c>
      <c r="J32" s="9">
        <v>4.04</v>
      </c>
      <c r="K32" s="47">
        <v>25.18</v>
      </c>
      <c r="L32" s="8" t="s">
        <v>26</v>
      </c>
      <c r="M32" s="8" t="s">
        <v>27</v>
      </c>
      <c r="N32" s="10" t="s">
        <v>28</v>
      </c>
    </row>
    <row r="33" spans="1:14" x14ac:dyDescent="0.25">
      <c r="A33" s="7" t="s">
        <v>107</v>
      </c>
      <c r="B33" s="16">
        <v>45417</v>
      </c>
      <c r="C33" s="8" t="str">
        <f>TRIM(Sales_Data!C33)</f>
        <v>Garcia, Sophia</v>
      </c>
      <c r="D33" s="8" t="str">
        <f>PROPER(TRIM(Sales_Data!D33))</f>
        <v>France</v>
      </c>
      <c r="E33" s="8" t="s">
        <v>56</v>
      </c>
      <c r="F33" s="8" t="s">
        <v>57</v>
      </c>
      <c r="G33" s="8">
        <v>12</v>
      </c>
      <c r="H33" s="9">
        <v>39.799999999999997</v>
      </c>
      <c r="I33" s="87">
        <f>PRODUCT(Table1[[#This Row],[Quantity]],Table1[[#This Row],[Unit_Price]])</f>
        <v>477.59999999999997</v>
      </c>
      <c r="J33" s="9">
        <v>20.54</v>
      </c>
      <c r="K33" s="47">
        <v>157.06</v>
      </c>
      <c r="L33" s="8" t="s">
        <v>38</v>
      </c>
      <c r="M33" s="8" t="s">
        <v>27</v>
      </c>
      <c r="N33" s="10" t="s">
        <v>28</v>
      </c>
    </row>
    <row r="34" spans="1:14" x14ac:dyDescent="0.25">
      <c r="A34" s="7" t="s">
        <v>109</v>
      </c>
      <c r="B34" s="16">
        <v>45409</v>
      </c>
      <c r="C34" s="8" t="str">
        <f>TRIM(Sales_Data!C34)</f>
        <v>Smith, Sophia</v>
      </c>
      <c r="D34" s="8" t="str">
        <f>PROPER(TRIM(Sales_Data!D34))</f>
        <v>China</v>
      </c>
      <c r="E34" s="8" t="s">
        <v>36</v>
      </c>
      <c r="F34" s="8" t="s">
        <v>37</v>
      </c>
      <c r="G34" s="8">
        <v>26</v>
      </c>
      <c r="H34" s="9">
        <v>43.23</v>
      </c>
      <c r="I34" s="87">
        <f>PRODUCT(Table1[[#This Row],[Quantity]],Table1[[#This Row],[Unit_Price]])</f>
        <v>1123.98</v>
      </c>
      <c r="J34" s="9">
        <v>57.2</v>
      </c>
      <c r="K34" s="47">
        <v>234.78</v>
      </c>
      <c r="L34" s="8" t="s">
        <v>26</v>
      </c>
      <c r="M34" s="8" t="s">
        <v>32</v>
      </c>
      <c r="N34" s="10" t="s">
        <v>58</v>
      </c>
    </row>
    <row r="35" spans="1:14" x14ac:dyDescent="0.25">
      <c r="A35" s="7" t="s">
        <v>111</v>
      </c>
      <c r="B35" s="16">
        <v>45668</v>
      </c>
      <c r="C35" s="8" t="str">
        <f>TRIM(Sales_Data!C35)</f>
        <v>Miller, Daniel</v>
      </c>
      <c r="D35" s="8" t="str">
        <f>PROPER(TRIM(Sales_Data!D35))</f>
        <v>Italy</v>
      </c>
      <c r="E35" s="8" t="s">
        <v>43</v>
      </c>
      <c r="F35" s="8" t="s">
        <v>44</v>
      </c>
      <c r="G35" s="8">
        <v>17</v>
      </c>
      <c r="H35" s="9">
        <v>66.34</v>
      </c>
      <c r="I35" s="87">
        <f>PRODUCT(Table1[[#This Row],[Quantity]],Table1[[#This Row],[Unit_Price]])</f>
        <v>1127.78</v>
      </c>
      <c r="J35" s="9">
        <v>81.150000000000006</v>
      </c>
      <c r="K35" s="47">
        <v>366.63</v>
      </c>
      <c r="L35" s="8" t="s">
        <v>26</v>
      </c>
      <c r="M35" s="8" t="s">
        <v>32</v>
      </c>
      <c r="N35" s="10" t="s">
        <v>28</v>
      </c>
    </row>
    <row r="36" spans="1:14" x14ac:dyDescent="0.25">
      <c r="A36" s="7" t="s">
        <v>112</v>
      </c>
      <c r="B36" s="16">
        <v>45578</v>
      </c>
      <c r="C36" s="8" t="str">
        <f>TRIM(Sales_Data!C36)</f>
        <v>Hernandez, John</v>
      </c>
      <c r="D36" s="8" t="str">
        <f>PROPER(TRIM(Sales_Data!D36))</f>
        <v>Singapore</v>
      </c>
      <c r="E36" s="8" t="s">
        <v>56</v>
      </c>
      <c r="F36" s="8" t="s">
        <v>57</v>
      </c>
      <c r="G36" s="8">
        <v>4</v>
      </c>
      <c r="H36" s="9">
        <v>33.869999999999997</v>
      </c>
      <c r="I36" s="87">
        <f>PRODUCT(Table1[[#This Row],[Quantity]],Table1[[#This Row],[Unit_Price]])</f>
        <v>135.47999999999999</v>
      </c>
      <c r="J36" s="9">
        <v>6.59</v>
      </c>
      <c r="K36" s="47">
        <v>28.89</v>
      </c>
      <c r="L36" s="8" t="s">
        <v>19</v>
      </c>
      <c r="M36" s="8" t="s">
        <v>32</v>
      </c>
      <c r="N36" s="10" t="s">
        <v>58</v>
      </c>
    </row>
    <row r="37" spans="1:14" x14ac:dyDescent="0.25">
      <c r="A37" s="7" t="s">
        <v>114</v>
      </c>
      <c r="B37" s="16">
        <v>45606</v>
      </c>
      <c r="C37" s="8" t="str">
        <f>TRIM(Sales_Data!C37)</f>
        <v>Williams, Laura</v>
      </c>
      <c r="D37" s="8" t="str">
        <f>PROPER(TRIM(Sales_Data!D37))</f>
        <v>Italy</v>
      </c>
      <c r="E37" s="8" t="s">
        <v>43</v>
      </c>
      <c r="F37" s="8" t="s">
        <v>44</v>
      </c>
      <c r="G37" s="8">
        <v>10</v>
      </c>
      <c r="H37" s="9">
        <v>64.650000000000006</v>
      </c>
      <c r="I37" s="87">
        <f>PRODUCT(Table1[[#This Row],[Quantity]],Table1[[#This Row],[Unit_Price]])</f>
        <v>646.5</v>
      </c>
      <c r="J37" s="9">
        <v>17.89</v>
      </c>
      <c r="K37" s="47">
        <v>228.61</v>
      </c>
      <c r="L37" s="8" t="s">
        <v>38</v>
      </c>
      <c r="M37" s="8" t="s">
        <v>20</v>
      </c>
      <c r="N37" s="10" t="s">
        <v>28</v>
      </c>
    </row>
    <row r="38" spans="1:14" x14ac:dyDescent="0.25">
      <c r="A38" s="7" t="s">
        <v>116</v>
      </c>
      <c r="B38" s="16">
        <v>45638</v>
      </c>
      <c r="C38" s="8" t="str">
        <f>TRIM(Sales_Data!C38)</f>
        <v>Miller, David</v>
      </c>
      <c r="D38" s="8" t="str">
        <f>PROPER(TRIM(Sales_Data!D38))</f>
        <v>South Africa</v>
      </c>
      <c r="E38" s="8" t="s">
        <v>51</v>
      </c>
      <c r="F38" s="8" t="s">
        <v>52</v>
      </c>
      <c r="G38" s="8">
        <v>12</v>
      </c>
      <c r="H38" s="9">
        <v>29.56</v>
      </c>
      <c r="I38" s="87">
        <f>PRODUCT(Table1[[#This Row],[Quantity]],Table1[[#This Row],[Unit_Price]])</f>
        <v>354.71999999999997</v>
      </c>
      <c r="J38" s="9">
        <v>21.4</v>
      </c>
      <c r="K38" s="47">
        <v>63.32</v>
      </c>
      <c r="L38" s="8" t="s">
        <v>26</v>
      </c>
      <c r="M38" s="8" t="s">
        <v>20</v>
      </c>
      <c r="N38" s="10" t="s">
        <v>87</v>
      </c>
    </row>
    <row r="39" spans="1:14" x14ac:dyDescent="0.25">
      <c r="A39" s="7" t="s">
        <v>118</v>
      </c>
      <c r="B39" s="16">
        <v>45413</v>
      </c>
      <c r="C39" s="8" t="str">
        <f>TRIM(Sales_Data!C39)</f>
        <v>Smith, Michael</v>
      </c>
      <c r="D39" s="8" t="str">
        <f>PROPER(TRIM(Sales_Data!D39))</f>
        <v>Usa</v>
      </c>
      <c r="E39" s="8" t="s">
        <v>56</v>
      </c>
      <c r="F39" s="8" t="s">
        <v>57</v>
      </c>
      <c r="G39" s="8">
        <v>4</v>
      </c>
      <c r="H39" s="9">
        <v>35.36</v>
      </c>
      <c r="I39" s="87">
        <f>PRODUCT(Table1[[#This Row],[Quantity]],Table1[[#This Row],[Unit_Price]])</f>
        <v>141.44</v>
      </c>
      <c r="J39" s="9">
        <v>8.66</v>
      </c>
      <c r="K39" s="47">
        <v>32.78</v>
      </c>
      <c r="L39" s="8" t="s">
        <v>38</v>
      </c>
      <c r="M39" s="8" t="s">
        <v>27</v>
      </c>
      <c r="N39" s="10" t="s">
        <v>21</v>
      </c>
    </row>
    <row r="40" spans="1:14" x14ac:dyDescent="0.25">
      <c r="A40" s="7" t="s">
        <v>120</v>
      </c>
      <c r="B40" s="16">
        <v>45684</v>
      </c>
      <c r="C40" s="8" t="str">
        <f>TRIM(Sales_Data!C40)</f>
        <v>Martinez, Sarah</v>
      </c>
      <c r="D40" s="8" t="str">
        <f>PROPER(TRIM(Sales_Data!D40))</f>
        <v>Italy</v>
      </c>
      <c r="E40" s="8" t="s">
        <v>48</v>
      </c>
      <c r="F40" s="8" t="s">
        <v>37</v>
      </c>
      <c r="G40" s="8">
        <v>28</v>
      </c>
      <c r="H40" s="9">
        <v>31.42</v>
      </c>
      <c r="I40" s="87">
        <f>PRODUCT(Table1[[#This Row],[Quantity]],Table1[[#This Row],[Unit_Price]])</f>
        <v>879.76</v>
      </c>
      <c r="J40" s="9">
        <v>69.319999999999993</v>
      </c>
      <c r="K40" s="47">
        <v>250.44</v>
      </c>
      <c r="L40" s="8" t="s">
        <v>19</v>
      </c>
      <c r="M40" s="8" t="s">
        <v>32</v>
      </c>
      <c r="N40" s="10" t="s">
        <v>28</v>
      </c>
    </row>
    <row r="41" spans="1:14" x14ac:dyDescent="0.25">
      <c r="A41" s="7" t="s">
        <v>122</v>
      </c>
      <c r="B41" s="16">
        <v>45414</v>
      </c>
      <c r="C41" s="8" t="str">
        <f>TRIM(Sales_Data!C41)</f>
        <v>Garcia, Emily</v>
      </c>
      <c r="D41" s="8" t="str">
        <f>PROPER(TRIM(Sales_Data!D41))</f>
        <v>Usa</v>
      </c>
      <c r="E41" s="8" t="s">
        <v>17</v>
      </c>
      <c r="F41" s="8" t="s">
        <v>18</v>
      </c>
      <c r="G41" s="8">
        <v>35</v>
      </c>
      <c r="H41" s="9">
        <v>55.12</v>
      </c>
      <c r="I41" s="87">
        <f>PRODUCT(Table1[[#This Row],[Quantity]],Table1[[#This Row],[Unit_Price]])</f>
        <v>1929.1999999999998</v>
      </c>
      <c r="J41" s="9">
        <v>58.22</v>
      </c>
      <c r="K41" s="47">
        <v>645.98</v>
      </c>
      <c r="L41" s="8" t="s">
        <v>19</v>
      </c>
      <c r="M41" s="8" t="s">
        <v>20</v>
      </c>
      <c r="N41" s="10" t="s">
        <v>21</v>
      </c>
    </row>
    <row r="42" spans="1:14" x14ac:dyDescent="0.25">
      <c r="A42" s="7" t="s">
        <v>124</v>
      </c>
      <c r="B42" s="16">
        <v>45762</v>
      </c>
      <c r="C42" s="8" t="str">
        <f>TRIM(Sales_Data!C42)</f>
        <v>Williams, Emma</v>
      </c>
      <c r="D42" s="8" t="str">
        <f>PROPER(TRIM(Sales_Data!D42))</f>
        <v>Uae</v>
      </c>
      <c r="E42" s="8" t="s">
        <v>51</v>
      </c>
      <c r="F42" s="8" t="s">
        <v>52</v>
      </c>
      <c r="G42" s="8">
        <v>41</v>
      </c>
      <c r="H42" s="9">
        <v>33.94</v>
      </c>
      <c r="I42" s="87">
        <f>PRODUCT(Table1[[#This Row],[Quantity]],Table1[[#This Row],[Unit_Price]])</f>
        <v>1391.54</v>
      </c>
      <c r="J42" s="9">
        <v>33.26</v>
      </c>
      <c r="K42" s="47">
        <v>435.78</v>
      </c>
      <c r="L42" s="8" t="s">
        <v>19</v>
      </c>
      <c r="M42" s="8" t="s">
        <v>32</v>
      </c>
      <c r="N42" s="10" t="s">
        <v>58</v>
      </c>
    </row>
    <row r="43" spans="1:14" x14ac:dyDescent="0.25">
      <c r="A43" s="7" t="s">
        <v>126</v>
      </c>
      <c r="B43" s="16">
        <v>45531</v>
      </c>
      <c r="C43" s="8" t="str">
        <f>TRIM(Sales_Data!C43)</f>
        <v>Smith, Emma</v>
      </c>
      <c r="D43" s="8" t="str">
        <f>PROPER(TRIM(Sales_Data!D43))</f>
        <v>Singapore</v>
      </c>
      <c r="E43" s="8" t="s">
        <v>51</v>
      </c>
      <c r="F43" s="8" t="s">
        <v>52</v>
      </c>
      <c r="G43" s="8">
        <v>20</v>
      </c>
      <c r="H43" s="9">
        <v>38.43</v>
      </c>
      <c r="I43" s="87">
        <f>PRODUCT(Table1[[#This Row],[Quantity]],Table1[[#This Row],[Unit_Price]])</f>
        <v>768.6</v>
      </c>
      <c r="J43" s="9">
        <v>60.07</v>
      </c>
      <c r="K43" s="47">
        <v>258.52999999999997</v>
      </c>
      <c r="L43" s="8" t="s">
        <v>38</v>
      </c>
      <c r="M43" s="8" t="s">
        <v>32</v>
      </c>
      <c r="N43" s="10" t="s">
        <v>58</v>
      </c>
    </row>
    <row r="44" spans="1:14" x14ac:dyDescent="0.25">
      <c r="A44" s="7" t="s">
        <v>127</v>
      </c>
      <c r="B44" s="16">
        <v>45441</v>
      </c>
      <c r="C44" s="8" t="str">
        <f>TRIM(Sales_Data!C44)</f>
        <v>Davis, Sarah</v>
      </c>
      <c r="D44" s="8" t="str">
        <f>PROPER(TRIM(Sales_Data!D44))</f>
        <v>Brazil</v>
      </c>
      <c r="E44" s="8" t="s">
        <v>56</v>
      </c>
      <c r="F44" s="8" t="s">
        <v>57</v>
      </c>
      <c r="G44" s="8">
        <v>23</v>
      </c>
      <c r="H44" s="9">
        <v>35.07</v>
      </c>
      <c r="I44" s="87">
        <f>PRODUCT(Table1[[#This Row],[Quantity]],Table1[[#This Row],[Unit_Price]])</f>
        <v>806.61</v>
      </c>
      <c r="J44" s="9">
        <v>21.23</v>
      </c>
      <c r="K44" s="47">
        <v>210.38</v>
      </c>
      <c r="L44" s="8" t="s">
        <v>19</v>
      </c>
      <c r="M44" s="8" t="s">
        <v>32</v>
      </c>
      <c r="N44" s="10" t="s">
        <v>39</v>
      </c>
    </row>
    <row r="45" spans="1:14" x14ac:dyDescent="0.25">
      <c r="A45" s="7" t="s">
        <v>128</v>
      </c>
      <c r="B45" s="16">
        <v>45745</v>
      </c>
      <c r="C45" s="8" t="str">
        <f>TRIM(Sales_Data!C45)</f>
        <v>Davis, James</v>
      </c>
      <c r="D45" s="8" t="str">
        <f>PROPER(TRIM(Sales_Data!D45))</f>
        <v>Australia</v>
      </c>
      <c r="E45" s="8" t="s">
        <v>43</v>
      </c>
      <c r="F45" s="8" t="s">
        <v>44</v>
      </c>
      <c r="G45" s="8">
        <v>35</v>
      </c>
      <c r="H45" s="9">
        <v>71.44</v>
      </c>
      <c r="I45" s="87">
        <f>PRODUCT(Table1[[#This Row],[Quantity]],Table1[[#This Row],[Unit_Price]])</f>
        <v>2500.4</v>
      </c>
      <c r="J45" s="9">
        <v>166.81</v>
      </c>
      <c r="K45" s="47">
        <v>933.59</v>
      </c>
      <c r="L45" s="8" t="s">
        <v>26</v>
      </c>
      <c r="M45" s="8" t="s">
        <v>27</v>
      </c>
      <c r="N45" s="10" t="s">
        <v>130</v>
      </c>
    </row>
    <row r="46" spans="1:14" x14ac:dyDescent="0.25">
      <c r="A46" s="7" t="s">
        <v>131</v>
      </c>
      <c r="B46" s="16">
        <v>45632</v>
      </c>
      <c r="C46" s="8" t="str">
        <f>TRIM(Sales_Data!C46)</f>
        <v>Williams, Laura</v>
      </c>
      <c r="D46" s="8" t="str">
        <f>PROPER(TRIM(Sales_Data!D46))</f>
        <v>Canada</v>
      </c>
      <c r="E46" s="8" t="s">
        <v>25</v>
      </c>
      <c r="F46" s="8" t="s">
        <v>18</v>
      </c>
      <c r="G46" s="8">
        <v>11</v>
      </c>
      <c r="H46" s="9">
        <v>26.05</v>
      </c>
      <c r="I46" s="87">
        <f>PRODUCT(Table1[[#This Row],[Quantity]],Table1[[#This Row],[Unit_Price]])</f>
        <v>286.55</v>
      </c>
      <c r="J46" s="9">
        <v>13.39</v>
      </c>
      <c r="K46" s="47">
        <v>75.16</v>
      </c>
      <c r="L46" s="8" t="s">
        <v>26</v>
      </c>
      <c r="M46" s="8" t="s">
        <v>20</v>
      </c>
      <c r="N46" s="10" t="s">
        <v>21</v>
      </c>
    </row>
    <row r="47" spans="1:14" x14ac:dyDescent="0.25">
      <c r="A47" s="7" t="s">
        <v>132</v>
      </c>
      <c r="B47" s="16">
        <v>45349</v>
      </c>
      <c r="C47" s="8" t="str">
        <f>TRIM(Sales_Data!C47)</f>
        <v>Johnson, Emma</v>
      </c>
      <c r="D47" s="8" t="str">
        <f>PROPER(TRIM(Sales_Data!D47))</f>
        <v>Uk</v>
      </c>
      <c r="E47" s="8" t="s">
        <v>60</v>
      </c>
      <c r="F47" s="8" t="s">
        <v>52</v>
      </c>
      <c r="G47" s="8">
        <v>46</v>
      </c>
      <c r="H47" s="9">
        <v>26.67</v>
      </c>
      <c r="I47" s="87">
        <f>PRODUCT(Table1[[#This Row],[Quantity]],Table1[[#This Row],[Unit_Price]])</f>
        <v>1226.8200000000002</v>
      </c>
      <c r="J47" s="9">
        <v>83.55</v>
      </c>
      <c r="K47" s="47">
        <v>430.27</v>
      </c>
      <c r="L47" s="8" t="s">
        <v>19</v>
      </c>
      <c r="M47" s="8" t="s">
        <v>32</v>
      </c>
      <c r="N47" s="10" t="s">
        <v>28</v>
      </c>
    </row>
    <row r="48" spans="1:14" x14ac:dyDescent="0.25">
      <c r="A48" s="7" t="s">
        <v>133</v>
      </c>
      <c r="B48" s="16">
        <v>45622</v>
      </c>
      <c r="C48" s="8" t="str">
        <f>TRIM(Sales_Data!C48)</f>
        <v>Johnson, Sarah</v>
      </c>
      <c r="D48" s="8" t="str">
        <f>PROPER(TRIM(Sales_Data!D48))</f>
        <v>Uk</v>
      </c>
      <c r="E48" s="8" t="s">
        <v>83</v>
      </c>
      <c r="F48" s="8" t="s">
        <v>52</v>
      </c>
      <c r="G48" s="8">
        <v>12</v>
      </c>
      <c r="H48" s="9">
        <v>42.84</v>
      </c>
      <c r="I48" s="87">
        <f>PRODUCT(Table1[[#This Row],[Quantity]],Table1[[#This Row],[Unit_Price]])</f>
        <v>514.08000000000004</v>
      </c>
      <c r="J48" s="9">
        <v>22.74</v>
      </c>
      <c r="K48" s="47">
        <v>155.34</v>
      </c>
      <c r="L48" s="8" t="s">
        <v>38</v>
      </c>
      <c r="M48" s="8" t="s">
        <v>20</v>
      </c>
      <c r="N48" s="10" t="s">
        <v>28</v>
      </c>
    </row>
    <row r="49" spans="1:14" x14ac:dyDescent="0.25">
      <c r="A49" s="7" t="s">
        <v>134</v>
      </c>
      <c r="B49" s="16">
        <v>45496</v>
      </c>
      <c r="C49" s="8" t="str">
        <f>TRIM(Sales_Data!C49)</f>
        <v>Smith, Daniel</v>
      </c>
      <c r="D49" s="8" t="str">
        <f>PROPER(TRIM(Sales_Data!D49))</f>
        <v>Singapore</v>
      </c>
      <c r="E49" s="8" t="s">
        <v>25</v>
      </c>
      <c r="F49" s="8" t="s">
        <v>18</v>
      </c>
      <c r="G49" s="8">
        <v>18</v>
      </c>
      <c r="H49" s="9">
        <v>30.89</v>
      </c>
      <c r="I49" s="87">
        <f>PRODUCT(Table1[[#This Row],[Quantity]],Table1[[#This Row],[Unit_Price]])</f>
        <v>556.02</v>
      </c>
      <c r="J49" s="9">
        <v>12</v>
      </c>
      <c r="K49" s="47">
        <v>220.02</v>
      </c>
      <c r="L49" s="8" t="s">
        <v>26</v>
      </c>
      <c r="M49" s="8" t="s">
        <v>20</v>
      </c>
      <c r="N49" s="10" t="s">
        <v>58</v>
      </c>
    </row>
    <row r="50" spans="1:14" x14ac:dyDescent="0.25">
      <c r="A50" s="7" t="s">
        <v>136</v>
      </c>
      <c r="B50" s="16">
        <v>45649</v>
      </c>
      <c r="C50" s="8" t="str">
        <f>TRIM(Sales_Data!C50)</f>
        <v>Jones, David</v>
      </c>
      <c r="D50" s="8" t="str">
        <f>PROPER(TRIM(Sales_Data!D50))</f>
        <v>Canada</v>
      </c>
      <c r="E50" s="8" t="s">
        <v>17</v>
      </c>
      <c r="F50" s="8" t="s">
        <v>18</v>
      </c>
      <c r="G50" s="8">
        <v>21</v>
      </c>
      <c r="H50" s="9">
        <v>52.41</v>
      </c>
      <c r="I50" s="87">
        <f>PRODUCT(Table1[[#This Row],[Quantity]],Table1[[#This Row],[Unit_Price]])</f>
        <v>1100.6099999999999</v>
      </c>
      <c r="J50" s="9">
        <v>81.099999999999994</v>
      </c>
      <c r="K50" s="47">
        <v>284.51</v>
      </c>
      <c r="L50" s="8" t="s">
        <v>38</v>
      </c>
      <c r="M50" s="8" t="s">
        <v>27</v>
      </c>
      <c r="N50" s="10" t="s">
        <v>21</v>
      </c>
    </row>
    <row r="51" spans="1:14" x14ac:dyDescent="0.25">
      <c r="A51" s="7" t="s">
        <v>138</v>
      </c>
      <c r="B51" s="16">
        <v>45299</v>
      </c>
      <c r="C51" s="8" t="str">
        <f>TRIM(Sales_Data!C51)</f>
        <v>Brown, Sarah</v>
      </c>
      <c r="D51" s="8" t="str">
        <f>PROPER(TRIM(Sales_Data!D51))</f>
        <v>Australia</v>
      </c>
      <c r="E51" s="8" t="s">
        <v>83</v>
      </c>
      <c r="F51" s="8" t="s">
        <v>52</v>
      </c>
      <c r="G51" s="8">
        <v>17</v>
      </c>
      <c r="H51" s="9">
        <v>38.64</v>
      </c>
      <c r="I51" s="87">
        <f>PRODUCT(Table1[[#This Row],[Quantity]],Table1[[#This Row],[Unit_Price]])</f>
        <v>656.88</v>
      </c>
      <c r="J51" s="9">
        <v>13.86</v>
      </c>
      <c r="K51" s="47">
        <v>167.02</v>
      </c>
      <c r="L51" s="8" t="s">
        <v>26</v>
      </c>
      <c r="M51" s="8" t="s">
        <v>20</v>
      </c>
      <c r="N51" s="10" t="s">
        <v>130</v>
      </c>
    </row>
    <row r="52" spans="1:14" x14ac:dyDescent="0.25">
      <c r="A52" s="7" t="s">
        <v>140</v>
      </c>
      <c r="B52" s="16">
        <v>45767</v>
      </c>
      <c r="C52" s="8" t="str">
        <f>TRIM(Sales_Data!C52)</f>
        <v>Smith, Michael</v>
      </c>
      <c r="D52" s="8" t="str">
        <f>PROPER(TRIM(Sales_Data!D52))</f>
        <v>Japan</v>
      </c>
      <c r="E52" s="8" t="s">
        <v>25</v>
      </c>
      <c r="F52" s="8" t="s">
        <v>18</v>
      </c>
      <c r="G52" s="8">
        <v>41</v>
      </c>
      <c r="H52" s="9">
        <v>25.79</v>
      </c>
      <c r="I52" s="87">
        <f>PRODUCT(Table1[[#This Row],[Quantity]],Table1[[#This Row],[Unit_Price]])</f>
        <v>1057.3899999999999</v>
      </c>
      <c r="J52" s="9">
        <v>71.22</v>
      </c>
      <c r="K52" s="47">
        <v>248.17</v>
      </c>
      <c r="L52" s="8" t="s">
        <v>26</v>
      </c>
      <c r="M52" s="8" t="s">
        <v>27</v>
      </c>
      <c r="N52" s="10" t="s">
        <v>58</v>
      </c>
    </row>
    <row r="53" spans="1:14" x14ac:dyDescent="0.25">
      <c r="A53" s="7" t="s">
        <v>141</v>
      </c>
      <c r="B53" s="16">
        <v>45480</v>
      </c>
      <c r="C53" s="8" t="str">
        <f>TRIM(Sales_Data!C53)</f>
        <v>Martinez, Emma</v>
      </c>
      <c r="D53" s="8" t="str">
        <f>PROPER(TRIM(Sales_Data!D53))</f>
        <v>Japan</v>
      </c>
      <c r="E53" s="8" t="s">
        <v>83</v>
      </c>
      <c r="F53" s="8" t="s">
        <v>52</v>
      </c>
      <c r="G53" s="8">
        <v>41</v>
      </c>
      <c r="H53" s="9">
        <v>41.13</v>
      </c>
      <c r="I53" s="87">
        <f>PRODUCT(Table1[[#This Row],[Quantity]],Table1[[#This Row],[Unit_Price]])</f>
        <v>1686.3300000000002</v>
      </c>
      <c r="J53" s="9">
        <v>80.12</v>
      </c>
      <c r="K53" s="47">
        <v>458.21</v>
      </c>
      <c r="L53" s="8" t="s">
        <v>26</v>
      </c>
      <c r="M53" s="8" t="s">
        <v>32</v>
      </c>
      <c r="N53" s="10" t="s">
        <v>58</v>
      </c>
    </row>
    <row r="54" spans="1:14" x14ac:dyDescent="0.25">
      <c r="A54" s="7" t="s">
        <v>143</v>
      </c>
      <c r="B54" s="16">
        <v>45599</v>
      </c>
      <c r="C54" s="8" t="str">
        <f>TRIM(Sales_Data!C54)</f>
        <v>Davis, James</v>
      </c>
      <c r="D54" s="8" t="str">
        <f>PROPER(TRIM(Sales_Data!D54))</f>
        <v>China</v>
      </c>
      <c r="E54" s="8" t="s">
        <v>43</v>
      </c>
      <c r="F54" s="8" t="s">
        <v>44</v>
      </c>
      <c r="G54" s="8">
        <v>33</v>
      </c>
      <c r="H54" s="9">
        <v>55.67</v>
      </c>
      <c r="I54" s="87">
        <f>PRODUCT(Table1[[#This Row],[Quantity]],Table1[[#This Row],[Unit_Price]])</f>
        <v>1837.1100000000001</v>
      </c>
      <c r="J54" s="9">
        <v>144.32</v>
      </c>
      <c r="K54" s="47">
        <v>372.79</v>
      </c>
      <c r="L54" s="8" t="s">
        <v>19</v>
      </c>
      <c r="M54" s="8" t="s">
        <v>20</v>
      </c>
      <c r="N54" s="10" t="s">
        <v>58</v>
      </c>
    </row>
    <row r="55" spans="1:14" x14ac:dyDescent="0.25">
      <c r="A55" s="7" t="s">
        <v>144</v>
      </c>
      <c r="B55" s="16">
        <v>45602</v>
      </c>
      <c r="C55" s="8" t="str">
        <f>TRIM(Sales_Data!C55)</f>
        <v>Johnson, Daniel</v>
      </c>
      <c r="D55" s="8" t="str">
        <f>PROPER(TRIM(Sales_Data!D55))</f>
        <v>Japan</v>
      </c>
      <c r="E55" s="8" t="s">
        <v>43</v>
      </c>
      <c r="F55" s="8" t="s">
        <v>44</v>
      </c>
      <c r="G55" s="8">
        <v>18</v>
      </c>
      <c r="H55" s="9">
        <v>50.87</v>
      </c>
      <c r="I55" s="87">
        <f>PRODUCT(Table1[[#This Row],[Quantity]],Table1[[#This Row],[Unit_Price]])</f>
        <v>915.66</v>
      </c>
      <c r="J55" s="9">
        <v>49.93</v>
      </c>
      <c r="K55" s="47">
        <v>145.72999999999999</v>
      </c>
      <c r="L55" s="8" t="s">
        <v>19</v>
      </c>
      <c r="M55" s="8" t="s">
        <v>27</v>
      </c>
      <c r="N55" s="10" t="s">
        <v>58</v>
      </c>
    </row>
    <row r="56" spans="1:14" x14ac:dyDescent="0.25">
      <c r="A56" s="7" t="s">
        <v>146</v>
      </c>
      <c r="B56" s="16">
        <v>45765</v>
      </c>
      <c r="C56" s="8" t="str">
        <f>TRIM(Sales_Data!C56)</f>
        <v>Jones, Sophia</v>
      </c>
      <c r="D56" s="8" t="str">
        <f>PROPER(TRIM(Sales_Data!D56))</f>
        <v>South Africa</v>
      </c>
      <c r="E56" s="8" t="s">
        <v>60</v>
      </c>
      <c r="F56" s="8" t="s">
        <v>52</v>
      </c>
      <c r="G56" s="8">
        <v>14</v>
      </c>
      <c r="H56" s="9">
        <v>26.7</v>
      </c>
      <c r="I56" s="87">
        <f>PRODUCT(Table1[[#This Row],[Quantity]],Table1[[#This Row],[Unit_Price]])</f>
        <v>373.8</v>
      </c>
      <c r="J56" s="9">
        <v>11.84</v>
      </c>
      <c r="K56" s="47">
        <v>144.96</v>
      </c>
      <c r="L56" s="8" t="s">
        <v>38</v>
      </c>
      <c r="M56" s="8" t="s">
        <v>20</v>
      </c>
      <c r="N56" s="10" t="s">
        <v>87</v>
      </c>
    </row>
    <row r="57" spans="1:14" x14ac:dyDescent="0.25">
      <c r="A57" s="7" t="s">
        <v>148</v>
      </c>
      <c r="B57" s="16">
        <v>45543</v>
      </c>
      <c r="C57" s="8" t="str">
        <f>TRIM(Sales_Data!C57)</f>
        <v>Garcia, Sarah</v>
      </c>
      <c r="D57" s="8" t="str">
        <f>PROPER(TRIM(Sales_Data!D57))</f>
        <v>Usa</v>
      </c>
      <c r="E57" s="8" t="s">
        <v>25</v>
      </c>
      <c r="F57" s="8" t="s">
        <v>18</v>
      </c>
      <c r="G57" s="8">
        <v>16</v>
      </c>
      <c r="H57" s="9">
        <v>28.96</v>
      </c>
      <c r="I57" s="87">
        <f>PRODUCT(Table1[[#This Row],[Quantity]],Table1[[#This Row],[Unit_Price]])</f>
        <v>463.36</v>
      </c>
      <c r="J57" s="9">
        <v>35.65</v>
      </c>
      <c r="K57" s="47">
        <v>139.71</v>
      </c>
      <c r="L57" s="8" t="s">
        <v>19</v>
      </c>
      <c r="M57" s="8" t="s">
        <v>32</v>
      </c>
      <c r="N57" s="10" t="s">
        <v>21</v>
      </c>
    </row>
    <row r="58" spans="1:14" x14ac:dyDescent="0.25">
      <c r="A58" s="7" t="s">
        <v>150</v>
      </c>
      <c r="B58" s="16">
        <v>45418</v>
      </c>
      <c r="C58" s="8" t="str">
        <f>TRIM(Sales_Data!C58)</f>
        <v>Davis, James</v>
      </c>
      <c r="D58" s="8" t="str">
        <f>PROPER(TRIM(Sales_Data!D58))</f>
        <v>Germany</v>
      </c>
      <c r="E58" s="8" t="s">
        <v>25</v>
      </c>
      <c r="F58" s="8" t="s">
        <v>18</v>
      </c>
      <c r="G58" s="8">
        <v>47</v>
      </c>
      <c r="H58" s="9">
        <v>23.03</v>
      </c>
      <c r="I58" s="87">
        <f>PRODUCT(Table1[[#This Row],[Quantity]],Table1[[#This Row],[Unit_Price]])</f>
        <v>1082.4100000000001</v>
      </c>
      <c r="J58" s="9">
        <v>50.12</v>
      </c>
      <c r="K58" s="47">
        <v>186.29</v>
      </c>
      <c r="L58" s="8" t="s">
        <v>38</v>
      </c>
      <c r="M58" s="8" t="s">
        <v>20</v>
      </c>
      <c r="N58" s="10" t="s">
        <v>28</v>
      </c>
    </row>
    <row r="59" spans="1:14" x14ac:dyDescent="0.25">
      <c r="A59" s="7" t="s">
        <v>152</v>
      </c>
      <c r="B59" s="16">
        <v>45425</v>
      </c>
      <c r="C59" s="8" t="str">
        <f>TRIM(Sales_Data!C59)</f>
        <v>Garcia, Sarah</v>
      </c>
      <c r="D59" s="8" t="str">
        <f>PROPER(TRIM(Sales_Data!D59))</f>
        <v>Australia</v>
      </c>
      <c r="E59" s="8" t="s">
        <v>17</v>
      </c>
      <c r="F59" s="8" t="s">
        <v>18</v>
      </c>
      <c r="G59" s="8">
        <v>18</v>
      </c>
      <c r="H59" s="9">
        <v>50.03</v>
      </c>
      <c r="I59" s="87">
        <f>PRODUCT(Table1[[#This Row],[Quantity]],Table1[[#This Row],[Unit_Price]])</f>
        <v>900.54</v>
      </c>
      <c r="J59" s="9">
        <v>68.44</v>
      </c>
      <c r="K59" s="47">
        <v>202.1</v>
      </c>
      <c r="L59" s="8" t="s">
        <v>38</v>
      </c>
      <c r="M59" s="8" t="s">
        <v>20</v>
      </c>
      <c r="N59" s="10" t="s">
        <v>130</v>
      </c>
    </row>
    <row r="60" spans="1:14" x14ac:dyDescent="0.25">
      <c r="A60" s="7" t="s">
        <v>153</v>
      </c>
      <c r="B60" s="16">
        <v>45493</v>
      </c>
      <c r="C60" s="8" t="str">
        <f>TRIM(Sales_Data!C60)</f>
        <v>Williams, Michael</v>
      </c>
      <c r="D60" s="8" t="str">
        <f>PROPER(TRIM(Sales_Data!D60))</f>
        <v>Uk</v>
      </c>
      <c r="E60" s="8" t="s">
        <v>56</v>
      </c>
      <c r="F60" s="8" t="s">
        <v>57</v>
      </c>
      <c r="G60" s="8">
        <v>38</v>
      </c>
      <c r="H60" s="9">
        <v>32.07</v>
      </c>
      <c r="I60" s="87">
        <f>PRODUCT(Table1[[#This Row],[Quantity]],Table1[[#This Row],[Unit_Price]])</f>
        <v>1218.6600000000001</v>
      </c>
      <c r="J60" s="9">
        <v>54.49</v>
      </c>
      <c r="K60" s="47">
        <v>214.17</v>
      </c>
      <c r="L60" s="8" t="s">
        <v>38</v>
      </c>
      <c r="M60" s="8" t="s">
        <v>32</v>
      </c>
      <c r="N60" s="10" t="s">
        <v>28</v>
      </c>
    </row>
    <row r="61" spans="1:14" x14ac:dyDescent="0.25">
      <c r="A61" s="7" t="s">
        <v>155</v>
      </c>
      <c r="B61" s="16">
        <v>45752</v>
      </c>
      <c r="C61" s="8" t="str">
        <f>TRIM(Sales_Data!C61)</f>
        <v>Hernandez, James</v>
      </c>
      <c r="D61" s="8" t="str">
        <f>PROPER(TRIM(Sales_Data!D61))</f>
        <v>Brazil</v>
      </c>
      <c r="E61" s="8" t="s">
        <v>36</v>
      </c>
      <c r="F61" s="8" t="s">
        <v>37</v>
      </c>
      <c r="G61" s="8">
        <v>23</v>
      </c>
      <c r="H61" s="9">
        <v>50.96</v>
      </c>
      <c r="I61" s="87">
        <f>PRODUCT(Table1[[#This Row],[Quantity]],Table1[[#This Row],[Unit_Price]])</f>
        <v>1172.08</v>
      </c>
      <c r="J61" s="9">
        <v>61</v>
      </c>
      <c r="K61" s="47">
        <v>375.08</v>
      </c>
      <c r="L61" s="8" t="s">
        <v>38</v>
      </c>
      <c r="M61" s="8" t="s">
        <v>27</v>
      </c>
      <c r="N61" s="10" t="s">
        <v>39</v>
      </c>
    </row>
    <row r="62" spans="1:14" x14ac:dyDescent="0.25">
      <c r="A62" s="7" t="s">
        <v>157</v>
      </c>
      <c r="B62" s="16">
        <v>45736</v>
      </c>
      <c r="C62" s="8" t="str">
        <f>TRIM(Sales_Data!C62)</f>
        <v>Williams, Sarah</v>
      </c>
      <c r="D62" s="8" t="str">
        <f>PROPER(TRIM(Sales_Data!D62))</f>
        <v>Japan</v>
      </c>
      <c r="E62" s="8" t="s">
        <v>43</v>
      </c>
      <c r="F62" s="8" t="s">
        <v>44</v>
      </c>
      <c r="G62" s="8">
        <v>46</v>
      </c>
      <c r="H62" s="9">
        <v>70.599999999999994</v>
      </c>
      <c r="I62" s="87">
        <f>PRODUCT(Table1[[#This Row],[Quantity]],Table1[[#This Row],[Unit_Price]])</f>
        <v>3247.6</v>
      </c>
      <c r="J62" s="9">
        <v>166.91</v>
      </c>
      <c r="K62" s="47">
        <v>1240.69</v>
      </c>
      <c r="L62" s="8" t="s">
        <v>38</v>
      </c>
      <c r="M62" s="8" t="s">
        <v>27</v>
      </c>
      <c r="N62" s="10" t="s">
        <v>58</v>
      </c>
    </row>
    <row r="63" spans="1:14" x14ac:dyDescent="0.25">
      <c r="A63" s="7" t="s">
        <v>159</v>
      </c>
      <c r="B63" s="16">
        <v>45515</v>
      </c>
      <c r="C63" s="8" t="str">
        <f>TRIM(Sales_Data!C63)</f>
        <v>Johnson, Sarah</v>
      </c>
      <c r="D63" s="8" t="str">
        <f>PROPER(TRIM(Sales_Data!D63))</f>
        <v>Japan</v>
      </c>
      <c r="E63" s="8" t="s">
        <v>43</v>
      </c>
      <c r="F63" s="8" t="s">
        <v>44</v>
      </c>
      <c r="G63" s="8">
        <v>15</v>
      </c>
      <c r="H63" s="9">
        <v>53.36</v>
      </c>
      <c r="I63" s="87">
        <f>PRODUCT(Table1[[#This Row],[Quantity]],Table1[[#This Row],[Unit_Price]])</f>
        <v>800.4</v>
      </c>
      <c r="J63" s="9">
        <v>56.29</v>
      </c>
      <c r="K63" s="47">
        <v>144.11000000000001</v>
      </c>
      <c r="L63" s="8" t="s">
        <v>19</v>
      </c>
      <c r="M63" s="8" t="s">
        <v>20</v>
      </c>
      <c r="N63" s="10" t="s">
        <v>58</v>
      </c>
    </row>
    <row r="64" spans="1:14" x14ac:dyDescent="0.25">
      <c r="A64" s="7" t="s">
        <v>160</v>
      </c>
      <c r="B64" s="16">
        <v>45369</v>
      </c>
      <c r="C64" s="8" t="str">
        <f>TRIM(Sales_Data!C64)</f>
        <v>Williams, Emily</v>
      </c>
      <c r="D64" s="8" t="str">
        <f>PROPER(TRIM(Sales_Data!D64))</f>
        <v>Australia</v>
      </c>
      <c r="E64" s="8" t="s">
        <v>36</v>
      </c>
      <c r="F64" s="8" t="s">
        <v>37</v>
      </c>
      <c r="G64" s="8">
        <v>42</v>
      </c>
      <c r="H64" s="9">
        <v>39.840000000000003</v>
      </c>
      <c r="I64" s="87">
        <f>PRODUCT(Table1[[#This Row],[Quantity]],Table1[[#This Row],[Unit_Price]])</f>
        <v>1673.2800000000002</v>
      </c>
      <c r="J64" s="9">
        <v>132.74</v>
      </c>
      <c r="K64" s="47">
        <v>196.54</v>
      </c>
      <c r="L64" s="8" t="s">
        <v>19</v>
      </c>
      <c r="M64" s="8" t="s">
        <v>32</v>
      </c>
      <c r="N64" s="10" t="s">
        <v>130</v>
      </c>
    </row>
    <row r="65" spans="1:14" x14ac:dyDescent="0.25">
      <c r="A65" s="7" t="s">
        <v>162</v>
      </c>
      <c r="B65" s="16">
        <v>45756</v>
      </c>
      <c r="C65" s="8" t="str">
        <f>TRIM(Sales_Data!C65)</f>
        <v>Johnson, Daniel</v>
      </c>
      <c r="D65" s="8" t="str">
        <f>PROPER(TRIM(Sales_Data!D65))</f>
        <v>Japan</v>
      </c>
      <c r="E65" s="8" t="s">
        <v>56</v>
      </c>
      <c r="F65" s="8" t="s">
        <v>57</v>
      </c>
      <c r="G65" s="8">
        <v>31</v>
      </c>
      <c r="H65" s="9">
        <v>38.26</v>
      </c>
      <c r="I65" s="87">
        <f>PRODUCT(Table1[[#This Row],[Quantity]],Table1[[#This Row],[Unit_Price]])</f>
        <v>1186.06</v>
      </c>
      <c r="J65" s="9">
        <v>69.33</v>
      </c>
      <c r="K65" s="47">
        <v>341.73</v>
      </c>
      <c r="L65" s="8" t="s">
        <v>26</v>
      </c>
      <c r="M65" s="8" t="s">
        <v>20</v>
      </c>
      <c r="N65" s="10" t="s">
        <v>58</v>
      </c>
    </row>
    <row r="66" spans="1:14" x14ac:dyDescent="0.25">
      <c r="A66" s="7" t="s">
        <v>163</v>
      </c>
      <c r="B66" s="16">
        <v>45579</v>
      </c>
      <c r="C66" s="8" t="str">
        <f>TRIM(Sales_Data!C66)</f>
        <v>Jones, Sophia</v>
      </c>
      <c r="D66" s="8" t="str">
        <f>PROPER(TRIM(Sales_Data!D66))</f>
        <v>France</v>
      </c>
      <c r="E66" s="8" t="s">
        <v>60</v>
      </c>
      <c r="F66" s="8" t="s">
        <v>52</v>
      </c>
      <c r="G66" s="8">
        <v>2</v>
      </c>
      <c r="H66" s="9">
        <v>23.09</v>
      </c>
      <c r="I66" s="87">
        <f>PRODUCT(Table1[[#This Row],[Quantity]],Table1[[#This Row],[Unit_Price]])</f>
        <v>46.18</v>
      </c>
      <c r="J66" s="9">
        <v>2.52</v>
      </c>
      <c r="K66" s="47">
        <v>12.66</v>
      </c>
      <c r="L66" s="8" t="s">
        <v>26</v>
      </c>
      <c r="M66" s="8" t="s">
        <v>27</v>
      </c>
      <c r="N66" s="10" t="s">
        <v>28</v>
      </c>
    </row>
    <row r="67" spans="1:14" x14ac:dyDescent="0.25">
      <c r="A67" s="7" t="s">
        <v>164</v>
      </c>
      <c r="B67" s="16">
        <v>45647</v>
      </c>
      <c r="C67" s="8" t="str">
        <f>TRIM(Sales_Data!C67)</f>
        <v>Hernandez, Emma</v>
      </c>
      <c r="D67" s="8" t="str">
        <f>PROPER(TRIM(Sales_Data!D67))</f>
        <v>Uae</v>
      </c>
      <c r="E67" s="8" t="s">
        <v>36</v>
      </c>
      <c r="F67" s="8" t="s">
        <v>37</v>
      </c>
      <c r="G67" s="8">
        <v>40</v>
      </c>
      <c r="H67" s="9">
        <v>46.81</v>
      </c>
      <c r="I67" s="87">
        <f>PRODUCT(Table1[[#This Row],[Quantity]],Table1[[#This Row],[Unit_Price]])</f>
        <v>1872.4</v>
      </c>
      <c r="J67" s="9">
        <v>43.01</v>
      </c>
      <c r="K67" s="47">
        <v>549.39</v>
      </c>
      <c r="L67" s="8" t="s">
        <v>19</v>
      </c>
      <c r="M67" s="8" t="s">
        <v>32</v>
      </c>
      <c r="N67" s="10" t="s">
        <v>58</v>
      </c>
    </row>
    <row r="68" spans="1:14" x14ac:dyDescent="0.25">
      <c r="A68" s="7" t="s">
        <v>165</v>
      </c>
      <c r="B68" s="16">
        <v>45719</v>
      </c>
      <c r="C68" s="8" t="str">
        <f>TRIM(Sales_Data!C68)</f>
        <v>Brown, Daniel</v>
      </c>
      <c r="D68" s="8" t="str">
        <f>PROPER(TRIM(Sales_Data!D68))</f>
        <v>China</v>
      </c>
      <c r="E68" s="8" t="s">
        <v>36</v>
      </c>
      <c r="F68" s="8" t="s">
        <v>37</v>
      </c>
      <c r="G68" s="8">
        <v>43</v>
      </c>
      <c r="H68" s="9">
        <v>57.01</v>
      </c>
      <c r="I68" s="87">
        <f>PRODUCT(Table1[[#This Row],[Quantity]],Table1[[#This Row],[Unit_Price]])</f>
        <v>2451.4299999999998</v>
      </c>
      <c r="J68" s="9">
        <v>115.04</v>
      </c>
      <c r="K68" s="47">
        <v>960.39</v>
      </c>
      <c r="L68" s="8" t="s">
        <v>26</v>
      </c>
      <c r="M68" s="8" t="s">
        <v>20</v>
      </c>
      <c r="N68" s="10" t="s">
        <v>58</v>
      </c>
    </row>
    <row r="69" spans="1:14" x14ac:dyDescent="0.25">
      <c r="A69" s="7" t="s">
        <v>167</v>
      </c>
      <c r="B69" s="16">
        <v>45362</v>
      </c>
      <c r="C69" s="8" t="str">
        <f>TRIM(Sales_Data!C69)</f>
        <v>Martinez, Daniel</v>
      </c>
      <c r="D69" s="8" t="str">
        <f>PROPER(TRIM(Sales_Data!D69))</f>
        <v>Mexico</v>
      </c>
      <c r="E69" s="8" t="s">
        <v>63</v>
      </c>
      <c r="F69" s="8" t="s">
        <v>37</v>
      </c>
      <c r="G69" s="8">
        <v>15</v>
      </c>
      <c r="H69" s="9">
        <v>22.23</v>
      </c>
      <c r="I69" s="87">
        <f>PRODUCT(Table1[[#This Row],[Quantity]],Table1[[#This Row],[Unit_Price]])</f>
        <v>333.45</v>
      </c>
      <c r="J69" s="9">
        <v>16.89</v>
      </c>
      <c r="K69" s="47">
        <v>125.31</v>
      </c>
      <c r="L69" s="8" t="s">
        <v>38</v>
      </c>
      <c r="M69" s="8" t="s">
        <v>27</v>
      </c>
      <c r="N69" s="10" t="s">
        <v>21</v>
      </c>
    </row>
    <row r="70" spans="1:14" x14ac:dyDescent="0.25">
      <c r="A70" s="7" t="s">
        <v>169</v>
      </c>
      <c r="B70" s="16">
        <v>45532</v>
      </c>
      <c r="C70" s="8" t="str">
        <f>TRIM(Sales_Data!C70)</f>
        <v>Jones, Michael</v>
      </c>
      <c r="D70" s="8" t="str">
        <f>PROPER(TRIM(Sales_Data!D70))</f>
        <v>France</v>
      </c>
      <c r="E70" s="8" t="s">
        <v>60</v>
      </c>
      <c r="F70" s="8" t="s">
        <v>52</v>
      </c>
      <c r="G70" s="8">
        <v>15</v>
      </c>
      <c r="H70" s="9">
        <v>19.23</v>
      </c>
      <c r="I70" s="87">
        <f>PRODUCT(Table1[[#This Row],[Quantity]],Table1[[#This Row],[Unit_Price]])</f>
        <v>288.45</v>
      </c>
      <c r="J70" s="9">
        <v>20.22</v>
      </c>
      <c r="K70" s="47">
        <v>35.729999999999997</v>
      </c>
      <c r="L70" s="8" t="s">
        <v>19</v>
      </c>
      <c r="M70" s="8" t="s">
        <v>20</v>
      </c>
      <c r="N70" s="10" t="s">
        <v>28</v>
      </c>
    </row>
    <row r="71" spans="1:14" x14ac:dyDescent="0.25">
      <c r="A71" s="7" t="s">
        <v>171</v>
      </c>
      <c r="B71" s="16">
        <v>45458</v>
      </c>
      <c r="C71" s="8" t="str">
        <f>TRIM(Sales_Data!C71)</f>
        <v>Hernandez, Sophia</v>
      </c>
      <c r="D71" s="8" t="str">
        <f>PROPER(TRIM(Sales_Data!D71))</f>
        <v>Italy</v>
      </c>
      <c r="E71" s="8" t="s">
        <v>83</v>
      </c>
      <c r="F71" s="8" t="s">
        <v>52</v>
      </c>
      <c r="G71" s="8">
        <v>34</v>
      </c>
      <c r="H71" s="9">
        <v>45.54</v>
      </c>
      <c r="I71" s="87">
        <f>PRODUCT(Table1[[#This Row],[Quantity]],Table1[[#This Row],[Unit_Price]])</f>
        <v>1548.36</v>
      </c>
      <c r="J71" s="9">
        <v>36.76</v>
      </c>
      <c r="K71" s="47">
        <v>559.6</v>
      </c>
      <c r="L71" s="8" t="s">
        <v>19</v>
      </c>
      <c r="M71" s="8" t="s">
        <v>20</v>
      </c>
      <c r="N71" s="10" t="s">
        <v>28</v>
      </c>
    </row>
    <row r="72" spans="1:14" x14ac:dyDescent="0.25">
      <c r="A72" s="7" t="s">
        <v>172</v>
      </c>
      <c r="B72" s="16">
        <v>45518</v>
      </c>
      <c r="C72" s="8" t="str">
        <f>TRIM(Sales_Data!C72)</f>
        <v>Garcia, Michael</v>
      </c>
      <c r="D72" s="8" t="str">
        <f>PROPER(TRIM(Sales_Data!D72))</f>
        <v>France</v>
      </c>
      <c r="E72" s="8" t="s">
        <v>43</v>
      </c>
      <c r="F72" s="8" t="s">
        <v>44</v>
      </c>
      <c r="G72" s="8">
        <v>33</v>
      </c>
      <c r="H72" s="9">
        <v>63.88</v>
      </c>
      <c r="I72" s="87">
        <f>PRODUCT(Table1[[#This Row],[Quantity]],Table1[[#This Row],[Unit_Price]])</f>
        <v>2108.04</v>
      </c>
      <c r="J72" s="9">
        <v>111.7</v>
      </c>
      <c r="K72" s="47">
        <v>676.34</v>
      </c>
      <c r="L72" s="8" t="s">
        <v>19</v>
      </c>
      <c r="M72" s="8" t="s">
        <v>32</v>
      </c>
      <c r="N72" s="10" t="s">
        <v>28</v>
      </c>
    </row>
    <row r="73" spans="1:14" x14ac:dyDescent="0.25">
      <c r="A73" s="7" t="s">
        <v>174</v>
      </c>
      <c r="B73" s="16">
        <v>45446</v>
      </c>
      <c r="C73" s="8" t="str">
        <f>TRIM(Sales_Data!C73)</f>
        <v>Johnson, Sarah</v>
      </c>
      <c r="D73" s="8" t="str">
        <f>PROPER(TRIM(Sales_Data!D73))</f>
        <v>Germany</v>
      </c>
      <c r="E73" s="8" t="s">
        <v>25</v>
      </c>
      <c r="F73" s="8" t="s">
        <v>18</v>
      </c>
      <c r="G73" s="8">
        <v>39</v>
      </c>
      <c r="H73" s="9">
        <v>25.38</v>
      </c>
      <c r="I73" s="87">
        <f>PRODUCT(Table1[[#This Row],[Quantity]],Table1[[#This Row],[Unit_Price]])</f>
        <v>989.81999999999994</v>
      </c>
      <c r="J73" s="9">
        <v>50.82</v>
      </c>
      <c r="K73" s="47">
        <v>237</v>
      </c>
      <c r="L73" s="8" t="s">
        <v>26</v>
      </c>
      <c r="M73" s="8" t="s">
        <v>27</v>
      </c>
      <c r="N73" s="10" t="s">
        <v>28</v>
      </c>
    </row>
    <row r="74" spans="1:14" x14ac:dyDescent="0.25">
      <c r="A74" s="7" t="s">
        <v>175</v>
      </c>
      <c r="B74" s="16">
        <v>45450</v>
      </c>
      <c r="C74" s="8" t="str">
        <f>TRIM(Sales_Data!C74)</f>
        <v>Smith, David</v>
      </c>
      <c r="D74" s="8" t="str">
        <f>PROPER(TRIM(Sales_Data!D74))</f>
        <v>India</v>
      </c>
      <c r="E74" s="8" t="s">
        <v>56</v>
      </c>
      <c r="F74" s="8" t="s">
        <v>57</v>
      </c>
      <c r="G74" s="8">
        <v>9</v>
      </c>
      <c r="H74" s="9">
        <v>38.979999999999997</v>
      </c>
      <c r="I74" s="87">
        <f>PRODUCT(Table1[[#This Row],[Quantity]],Table1[[#This Row],[Unit_Price]])</f>
        <v>350.82</v>
      </c>
      <c r="J74" s="9">
        <v>25.56</v>
      </c>
      <c r="K74" s="47">
        <v>100.26</v>
      </c>
      <c r="L74" s="8" t="s">
        <v>19</v>
      </c>
      <c r="M74" s="8" t="s">
        <v>20</v>
      </c>
      <c r="N74" s="10" t="s">
        <v>58</v>
      </c>
    </row>
    <row r="75" spans="1:14" x14ac:dyDescent="0.25">
      <c r="A75" s="7" t="s">
        <v>178</v>
      </c>
      <c r="B75" s="16">
        <v>45569</v>
      </c>
      <c r="C75" s="8" t="str">
        <f>TRIM(Sales_Data!C75)</f>
        <v>Miller, Sophia</v>
      </c>
      <c r="D75" s="8" t="str">
        <f>PROPER(TRIM(Sales_Data!D75))</f>
        <v>South Africa</v>
      </c>
      <c r="E75" s="8" t="s">
        <v>48</v>
      </c>
      <c r="F75" s="8" t="s">
        <v>37</v>
      </c>
      <c r="G75" s="8">
        <v>14</v>
      </c>
      <c r="H75" s="9">
        <v>35.86</v>
      </c>
      <c r="I75" s="87">
        <f>PRODUCT(Table1[[#This Row],[Quantity]],Table1[[#This Row],[Unit_Price]])</f>
        <v>502.03999999999996</v>
      </c>
      <c r="J75" s="9">
        <v>40.130000000000003</v>
      </c>
      <c r="K75" s="47">
        <v>181.91</v>
      </c>
      <c r="L75" s="8" t="s">
        <v>38</v>
      </c>
      <c r="M75" s="8" t="s">
        <v>32</v>
      </c>
      <c r="N75" s="10" t="s">
        <v>87</v>
      </c>
    </row>
    <row r="76" spans="1:14" x14ac:dyDescent="0.25">
      <c r="A76" s="7" t="s">
        <v>180</v>
      </c>
      <c r="B76" s="16">
        <v>45293</v>
      </c>
      <c r="C76" s="8" t="str">
        <f>TRIM(Sales_Data!C76)</f>
        <v>Garcia, Laura</v>
      </c>
      <c r="D76" s="8" t="str">
        <f>PROPER(TRIM(Sales_Data!D76))</f>
        <v>Japan</v>
      </c>
      <c r="E76" s="8" t="s">
        <v>60</v>
      </c>
      <c r="F76" s="8" t="s">
        <v>52</v>
      </c>
      <c r="G76" s="8">
        <v>49</v>
      </c>
      <c r="H76" s="9">
        <v>21.37</v>
      </c>
      <c r="I76" s="87">
        <f>PRODUCT(Table1[[#This Row],[Quantity]],Table1[[#This Row],[Unit_Price]])</f>
        <v>1047.1300000000001</v>
      </c>
      <c r="J76" s="9">
        <v>65.98</v>
      </c>
      <c r="K76" s="47">
        <v>221.65</v>
      </c>
      <c r="L76" s="8" t="s">
        <v>38</v>
      </c>
      <c r="M76" s="8" t="s">
        <v>32</v>
      </c>
      <c r="N76" s="10" t="s">
        <v>58</v>
      </c>
    </row>
    <row r="77" spans="1:14" x14ac:dyDescent="0.25">
      <c r="A77" s="7" t="s">
        <v>182</v>
      </c>
      <c r="B77" s="16">
        <v>45745</v>
      </c>
      <c r="C77" s="8" t="str">
        <f>TRIM(Sales_Data!C77)</f>
        <v>Davis, Michael</v>
      </c>
      <c r="D77" s="8" t="str">
        <f>PROPER(TRIM(Sales_Data!D77))</f>
        <v>Mexico</v>
      </c>
      <c r="E77" s="8" t="s">
        <v>25</v>
      </c>
      <c r="F77" s="8" t="s">
        <v>18</v>
      </c>
      <c r="G77" s="8">
        <v>42</v>
      </c>
      <c r="H77" s="9">
        <v>24.57</v>
      </c>
      <c r="I77" s="87">
        <f>PRODUCT(Table1[[#This Row],[Quantity]],Table1[[#This Row],[Unit_Price]])</f>
        <v>1031.94</v>
      </c>
      <c r="J77" s="9">
        <v>56.45</v>
      </c>
      <c r="K77" s="47">
        <v>219.49</v>
      </c>
      <c r="L77" s="8" t="s">
        <v>26</v>
      </c>
      <c r="M77" s="8" t="s">
        <v>20</v>
      </c>
      <c r="N77" s="10" t="s">
        <v>21</v>
      </c>
    </row>
    <row r="78" spans="1:14" x14ac:dyDescent="0.25">
      <c r="A78" s="7" t="s">
        <v>184</v>
      </c>
      <c r="B78" s="16">
        <v>45620</v>
      </c>
      <c r="C78" s="8" t="str">
        <f>TRIM(Sales_Data!C78)</f>
        <v>Davis, Michael</v>
      </c>
      <c r="D78" s="8" t="str">
        <f>PROPER(TRIM(Sales_Data!D78))</f>
        <v>Singapore</v>
      </c>
      <c r="E78" s="8" t="s">
        <v>25</v>
      </c>
      <c r="F78" s="8" t="s">
        <v>18</v>
      </c>
      <c r="G78" s="8">
        <v>42</v>
      </c>
      <c r="H78" s="9">
        <v>26.39</v>
      </c>
      <c r="I78" s="87">
        <f>PRODUCT(Table1[[#This Row],[Quantity]],Table1[[#This Row],[Unit_Price]])</f>
        <v>1108.3800000000001</v>
      </c>
      <c r="J78" s="9">
        <v>44.56</v>
      </c>
      <c r="K78" s="47">
        <v>307.82</v>
      </c>
      <c r="L78" s="8" t="s">
        <v>26</v>
      </c>
      <c r="M78" s="8" t="s">
        <v>20</v>
      </c>
      <c r="N78" s="10" t="s">
        <v>58</v>
      </c>
    </row>
    <row r="79" spans="1:14" x14ac:dyDescent="0.25">
      <c r="A79" s="7" t="s">
        <v>185</v>
      </c>
      <c r="B79" s="16">
        <v>45598</v>
      </c>
      <c r="C79" s="8" t="str">
        <f>TRIM(Sales_Data!C79)</f>
        <v>Garcia, Laura</v>
      </c>
      <c r="D79" s="8" t="str">
        <f>PROPER(TRIM(Sales_Data!D79))</f>
        <v>Canada</v>
      </c>
      <c r="E79" s="8" t="s">
        <v>48</v>
      </c>
      <c r="F79" s="8" t="s">
        <v>37</v>
      </c>
      <c r="G79" s="8">
        <v>50</v>
      </c>
      <c r="H79" s="9">
        <v>29.73</v>
      </c>
      <c r="I79" s="87">
        <f>PRODUCT(Table1[[#This Row],[Quantity]],Table1[[#This Row],[Unit_Price]])</f>
        <v>1486.5</v>
      </c>
      <c r="J79" s="9">
        <v>96.77</v>
      </c>
      <c r="K79" s="47">
        <v>389.73</v>
      </c>
      <c r="L79" s="8" t="s">
        <v>38</v>
      </c>
      <c r="M79" s="8" t="s">
        <v>20</v>
      </c>
      <c r="N79" s="10" t="s">
        <v>21</v>
      </c>
    </row>
    <row r="80" spans="1:14" x14ac:dyDescent="0.25">
      <c r="A80" s="7" t="s">
        <v>186</v>
      </c>
      <c r="B80" s="16">
        <v>45737</v>
      </c>
      <c r="C80" s="8" t="str">
        <f>TRIM(Sales_Data!C80)</f>
        <v>Miller, Sophia</v>
      </c>
      <c r="D80" s="8" t="str">
        <f>PROPER(TRIM(Sales_Data!D80))</f>
        <v>China</v>
      </c>
      <c r="E80" s="8" t="s">
        <v>60</v>
      </c>
      <c r="F80" s="8" t="s">
        <v>52</v>
      </c>
      <c r="G80" s="8">
        <v>39</v>
      </c>
      <c r="H80" s="9">
        <v>20.56</v>
      </c>
      <c r="I80" s="87">
        <f>PRODUCT(Table1[[#This Row],[Quantity]],Table1[[#This Row],[Unit_Price]])</f>
        <v>801.83999999999992</v>
      </c>
      <c r="J80" s="9">
        <v>43.55</v>
      </c>
      <c r="K80" s="47">
        <v>153.79</v>
      </c>
      <c r="L80" s="8" t="s">
        <v>19</v>
      </c>
      <c r="M80" s="8" t="s">
        <v>20</v>
      </c>
      <c r="N80" s="10" t="s">
        <v>58</v>
      </c>
    </row>
    <row r="81" spans="1:14" x14ac:dyDescent="0.25">
      <c r="A81" s="7" t="s">
        <v>187</v>
      </c>
      <c r="B81" s="16">
        <v>45297</v>
      </c>
      <c r="C81" s="8" t="str">
        <f>TRIM(Sales_Data!C81)</f>
        <v>Brown, Laura</v>
      </c>
      <c r="D81" s="8" t="str">
        <f>PROPER(TRIM(Sales_Data!D81))</f>
        <v>China</v>
      </c>
      <c r="E81" s="8" t="s">
        <v>60</v>
      </c>
      <c r="F81" s="8" t="s">
        <v>52</v>
      </c>
      <c r="G81" s="8">
        <v>48</v>
      </c>
      <c r="H81" s="9">
        <v>24.36</v>
      </c>
      <c r="I81" s="87">
        <f>PRODUCT(Table1[[#This Row],[Quantity]],Table1[[#This Row],[Unit_Price]])</f>
        <v>1169.28</v>
      </c>
      <c r="J81" s="9">
        <v>81.599999999999994</v>
      </c>
      <c r="K81" s="47">
        <v>343.68</v>
      </c>
      <c r="L81" s="8" t="s">
        <v>38</v>
      </c>
      <c r="M81" s="8" t="s">
        <v>32</v>
      </c>
      <c r="N81" s="10" t="s">
        <v>58</v>
      </c>
    </row>
    <row r="82" spans="1:14" x14ac:dyDescent="0.25">
      <c r="A82" s="7" t="s">
        <v>188</v>
      </c>
      <c r="B82" s="16">
        <v>45563</v>
      </c>
      <c r="C82" s="8" t="str">
        <f>TRIM(Sales_Data!C82)</f>
        <v>Davis, Emma</v>
      </c>
      <c r="D82" s="8" t="str">
        <f>PROPER(TRIM(Sales_Data!D82))</f>
        <v>Germany</v>
      </c>
      <c r="E82" s="8" t="s">
        <v>51</v>
      </c>
      <c r="F82" s="8" t="s">
        <v>52</v>
      </c>
      <c r="G82" s="8">
        <v>40</v>
      </c>
      <c r="H82" s="9">
        <v>27.95</v>
      </c>
      <c r="I82" s="87">
        <f>PRODUCT(Table1[[#This Row],[Quantity]],Table1[[#This Row],[Unit_Price]])</f>
        <v>1118</v>
      </c>
      <c r="J82" s="9">
        <v>37.590000000000003</v>
      </c>
      <c r="K82" s="47">
        <v>180.41</v>
      </c>
      <c r="L82" s="8" t="s">
        <v>38</v>
      </c>
      <c r="M82" s="8" t="s">
        <v>32</v>
      </c>
      <c r="N82" s="10" t="s">
        <v>28</v>
      </c>
    </row>
    <row r="83" spans="1:14" x14ac:dyDescent="0.25">
      <c r="A83" s="7" t="s">
        <v>190</v>
      </c>
      <c r="B83" s="16">
        <v>45716</v>
      </c>
      <c r="C83" s="8" t="str">
        <f>TRIM(Sales_Data!C83)</f>
        <v>Smith, Michael</v>
      </c>
      <c r="D83" s="8" t="str">
        <f>PROPER(TRIM(Sales_Data!D83))</f>
        <v>India</v>
      </c>
      <c r="E83" s="8" t="s">
        <v>83</v>
      </c>
      <c r="F83" s="8" t="s">
        <v>52</v>
      </c>
      <c r="G83" s="8">
        <v>21</v>
      </c>
      <c r="H83" s="9">
        <v>40.19</v>
      </c>
      <c r="I83" s="87">
        <f>PRODUCT(Table1[[#This Row],[Quantity]],Table1[[#This Row],[Unit_Price]])</f>
        <v>843.99</v>
      </c>
      <c r="J83" s="9">
        <v>32.4</v>
      </c>
      <c r="K83" s="47">
        <v>223.59</v>
      </c>
      <c r="L83" s="8" t="s">
        <v>26</v>
      </c>
      <c r="M83" s="8" t="s">
        <v>27</v>
      </c>
      <c r="N83" s="10" t="s">
        <v>58</v>
      </c>
    </row>
    <row r="84" spans="1:14" x14ac:dyDescent="0.25">
      <c r="A84" s="7" t="s">
        <v>191</v>
      </c>
      <c r="B84" s="16">
        <v>45445</v>
      </c>
      <c r="C84" s="8" t="str">
        <f>TRIM(Sales_Data!C84)</f>
        <v>Davis, David</v>
      </c>
      <c r="D84" s="8" t="str">
        <f>PROPER(TRIM(Sales_Data!D84))</f>
        <v>Singapore</v>
      </c>
      <c r="E84" s="8" t="s">
        <v>63</v>
      </c>
      <c r="F84" s="8" t="s">
        <v>37</v>
      </c>
      <c r="G84" s="8">
        <v>26</v>
      </c>
      <c r="H84" s="9">
        <v>16.670000000000002</v>
      </c>
      <c r="I84" s="87">
        <f>PRODUCT(Table1[[#This Row],[Quantity]],Table1[[#This Row],[Unit_Price]])</f>
        <v>433.42000000000007</v>
      </c>
      <c r="J84" s="9">
        <v>32.79</v>
      </c>
      <c r="K84" s="47">
        <v>69.13</v>
      </c>
      <c r="L84" s="8" t="s">
        <v>38</v>
      </c>
      <c r="M84" s="8" t="s">
        <v>27</v>
      </c>
      <c r="N84" s="10" t="s">
        <v>58</v>
      </c>
    </row>
    <row r="85" spans="1:14" x14ac:dyDescent="0.25">
      <c r="A85" s="7" t="s">
        <v>192</v>
      </c>
      <c r="B85" s="16">
        <v>45614</v>
      </c>
      <c r="C85" s="8" t="str">
        <f>TRIM(Sales_Data!C85)</f>
        <v>Hernandez, Laura</v>
      </c>
      <c r="D85" s="8" t="str">
        <f>PROPER(TRIM(Sales_Data!D85))</f>
        <v>Brazil</v>
      </c>
      <c r="E85" s="8" t="s">
        <v>36</v>
      </c>
      <c r="F85" s="8" t="s">
        <v>37</v>
      </c>
      <c r="G85" s="8">
        <v>28</v>
      </c>
      <c r="H85" s="9">
        <v>39.85</v>
      </c>
      <c r="I85" s="87">
        <f>PRODUCT(Table1[[#This Row],[Quantity]],Table1[[#This Row],[Unit_Price]])</f>
        <v>1115.8</v>
      </c>
      <c r="J85" s="9">
        <v>43.87</v>
      </c>
      <c r="K85" s="47">
        <v>175.93</v>
      </c>
      <c r="L85" s="8" t="s">
        <v>38</v>
      </c>
      <c r="M85" s="8" t="s">
        <v>20</v>
      </c>
      <c r="N85" s="10" t="s">
        <v>39</v>
      </c>
    </row>
    <row r="86" spans="1:14" x14ac:dyDescent="0.25">
      <c r="A86" s="7" t="s">
        <v>194</v>
      </c>
      <c r="B86" s="16">
        <v>45608</v>
      </c>
      <c r="C86" s="8" t="str">
        <f>TRIM(Sales_Data!C86)</f>
        <v>Hernandez, Laura</v>
      </c>
      <c r="D86" s="8" t="str">
        <f>PROPER(TRIM(Sales_Data!D86))</f>
        <v>Mexico</v>
      </c>
      <c r="E86" s="8" t="s">
        <v>63</v>
      </c>
      <c r="F86" s="8" t="s">
        <v>37</v>
      </c>
      <c r="G86" s="8">
        <v>47</v>
      </c>
      <c r="H86" s="9">
        <v>15.97</v>
      </c>
      <c r="I86" s="87">
        <f>PRODUCT(Table1[[#This Row],[Quantity]],Table1[[#This Row],[Unit_Price]])</f>
        <v>750.59</v>
      </c>
      <c r="J86" s="9">
        <v>48.55</v>
      </c>
      <c r="K86" s="47">
        <v>102.79</v>
      </c>
      <c r="L86" s="8" t="s">
        <v>38</v>
      </c>
      <c r="M86" s="8" t="s">
        <v>32</v>
      </c>
      <c r="N86" s="10" t="s">
        <v>21</v>
      </c>
    </row>
    <row r="87" spans="1:14" x14ac:dyDescent="0.25">
      <c r="A87" s="7" t="s">
        <v>195</v>
      </c>
      <c r="B87" s="16">
        <v>45597</v>
      </c>
      <c r="C87" s="8" t="str">
        <f>TRIM(Sales_Data!C87)</f>
        <v>Smith, Daniel</v>
      </c>
      <c r="D87" s="8" t="str">
        <f>PROPER(TRIM(Sales_Data!D87))</f>
        <v>China</v>
      </c>
      <c r="E87" s="8" t="s">
        <v>43</v>
      </c>
      <c r="F87" s="8" t="s">
        <v>44</v>
      </c>
      <c r="G87" s="8">
        <v>28</v>
      </c>
      <c r="H87" s="9">
        <v>53.6</v>
      </c>
      <c r="I87" s="87">
        <f>PRODUCT(Table1[[#This Row],[Quantity]],Table1[[#This Row],[Unit_Price]])</f>
        <v>1500.8</v>
      </c>
      <c r="J87" s="9">
        <v>68.55</v>
      </c>
      <c r="K87" s="47">
        <v>312.25</v>
      </c>
      <c r="L87" s="8" t="s">
        <v>26</v>
      </c>
      <c r="M87" s="8" t="s">
        <v>27</v>
      </c>
      <c r="N87" s="10" t="s">
        <v>58</v>
      </c>
    </row>
    <row r="88" spans="1:14" x14ac:dyDescent="0.25">
      <c r="A88" s="7" t="s">
        <v>196</v>
      </c>
      <c r="B88" s="16">
        <v>45647</v>
      </c>
      <c r="C88" s="8" t="str">
        <f>TRIM(Sales_Data!C88)</f>
        <v>Garcia, Sophia</v>
      </c>
      <c r="D88" s="8" t="str">
        <f>PROPER(TRIM(Sales_Data!D88))</f>
        <v>India</v>
      </c>
      <c r="E88" s="8" t="s">
        <v>83</v>
      </c>
      <c r="F88" s="8" t="s">
        <v>52</v>
      </c>
      <c r="G88" s="8">
        <v>37</v>
      </c>
      <c r="H88" s="9">
        <v>40.049999999999997</v>
      </c>
      <c r="I88" s="87">
        <f>PRODUCT(Table1[[#This Row],[Quantity]],Table1[[#This Row],[Unit_Price]])</f>
        <v>1481.85</v>
      </c>
      <c r="J88" s="9">
        <v>45.6</v>
      </c>
      <c r="K88" s="47">
        <v>400.25</v>
      </c>
      <c r="L88" s="8" t="s">
        <v>19</v>
      </c>
      <c r="M88" s="8" t="s">
        <v>32</v>
      </c>
      <c r="N88" s="10" t="s">
        <v>58</v>
      </c>
    </row>
    <row r="89" spans="1:14" x14ac:dyDescent="0.25">
      <c r="A89" s="7" t="s">
        <v>197</v>
      </c>
      <c r="B89" s="16">
        <v>45709</v>
      </c>
      <c r="C89" s="8" t="str">
        <f>TRIM(Sales_Data!C89)</f>
        <v>Brown, Sarah</v>
      </c>
      <c r="D89" s="8" t="str">
        <f>PROPER(TRIM(Sales_Data!D89))</f>
        <v>Italy</v>
      </c>
      <c r="E89" s="8" t="s">
        <v>17</v>
      </c>
      <c r="F89" s="8" t="s">
        <v>18</v>
      </c>
      <c r="G89" s="8">
        <v>45</v>
      </c>
      <c r="H89" s="9">
        <v>43.74</v>
      </c>
      <c r="I89" s="87">
        <f>PRODUCT(Table1[[#This Row],[Quantity]],Table1[[#This Row],[Unit_Price]])</f>
        <v>1968.3000000000002</v>
      </c>
      <c r="J89" s="9">
        <v>80.55</v>
      </c>
      <c r="K89" s="47">
        <v>312.75</v>
      </c>
      <c r="L89" s="8" t="s">
        <v>26</v>
      </c>
      <c r="M89" s="8" t="s">
        <v>32</v>
      </c>
      <c r="N89" s="10" t="s">
        <v>28</v>
      </c>
    </row>
    <row r="90" spans="1:14" x14ac:dyDescent="0.25">
      <c r="A90" s="7" t="s">
        <v>198</v>
      </c>
      <c r="B90" s="16">
        <v>45724</v>
      </c>
      <c r="C90" s="8" t="str">
        <f>TRIM(Sales_Data!C90)</f>
        <v>Davis, Emily</v>
      </c>
      <c r="D90" s="8" t="str">
        <f>PROPER(TRIM(Sales_Data!D90))</f>
        <v>Uk</v>
      </c>
      <c r="E90" s="8" t="s">
        <v>60</v>
      </c>
      <c r="F90" s="8" t="s">
        <v>52</v>
      </c>
      <c r="G90" s="8">
        <v>9</v>
      </c>
      <c r="H90" s="9">
        <v>24.63</v>
      </c>
      <c r="I90" s="87">
        <f>PRODUCT(Table1[[#This Row],[Quantity]],Table1[[#This Row],[Unit_Price]])</f>
        <v>221.67</v>
      </c>
      <c r="J90" s="9">
        <v>13.53</v>
      </c>
      <c r="K90" s="47">
        <v>68.64</v>
      </c>
      <c r="L90" s="8" t="s">
        <v>26</v>
      </c>
      <c r="M90" s="8" t="s">
        <v>32</v>
      </c>
      <c r="N90" s="10" t="s">
        <v>28</v>
      </c>
    </row>
    <row r="91" spans="1:14" x14ac:dyDescent="0.25">
      <c r="A91" s="7" t="s">
        <v>200</v>
      </c>
      <c r="B91" s="16">
        <v>45731</v>
      </c>
      <c r="C91" s="8" t="str">
        <f>TRIM(Sales_Data!C91)</f>
        <v>Johnson, Emma</v>
      </c>
      <c r="D91" s="8" t="str">
        <f>PROPER(TRIM(Sales_Data!D91))</f>
        <v>South Africa</v>
      </c>
      <c r="E91" s="8" t="s">
        <v>60</v>
      </c>
      <c r="F91" s="8" t="s">
        <v>52</v>
      </c>
      <c r="G91" s="8">
        <v>6</v>
      </c>
      <c r="H91" s="9">
        <v>21.79</v>
      </c>
      <c r="I91" s="87">
        <f>PRODUCT(Table1[[#This Row],[Quantity]],Table1[[#This Row],[Unit_Price]])</f>
        <v>130.74</v>
      </c>
      <c r="J91" s="9">
        <v>7.75</v>
      </c>
      <c r="K91" s="47">
        <v>29.99</v>
      </c>
      <c r="L91" s="8" t="s">
        <v>26</v>
      </c>
      <c r="M91" s="8" t="s">
        <v>32</v>
      </c>
      <c r="N91" s="10" t="s">
        <v>87</v>
      </c>
    </row>
    <row r="92" spans="1:14" x14ac:dyDescent="0.25">
      <c r="A92" s="7" t="s">
        <v>201</v>
      </c>
      <c r="B92" s="16">
        <v>45480</v>
      </c>
      <c r="C92" s="8" t="str">
        <f>TRIM(Sales_Data!C92)</f>
        <v>Johnson, James</v>
      </c>
      <c r="D92" s="8" t="str">
        <f>PROPER(TRIM(Sales_Data!D92))</f>
        <v>France</v>
      </c>
      <c r="E92" s="8" t="s">
        <v>17</v>
      </c>
      <c r="F92" s="8" t="s">
        <v>18</v>
      </c>
      <c r="G92" s="8">
        <v>23</v>
      </c>
      <c r="H92" s="9">
        <v>58.43</v>
      </c>
      <c r="I92" s="87">
        <f>PRODUCT(Table1[[#This Row],[Quantity]],Table1[[#This Row],[Unit_Price]])</f>
        <v>1343.89</v>
      </c>
      <c r="J92" s="9">
        <v>38.729999999999997</v>
      </c>
      <c r="K92" s="47">
        <v>500.16</v>
      </c>
      <c r="L92" s="8" t="s">
        <v>26</v>
      </c>
      <c r="M92" s="8" t="s">
        <v>20</v>
      </c>
      <c r="N92" s="10" t="s">
        <v>28</v>
      </c>
    </row>
    <row r="93" spans="1:14" x14ac:dyDescent="0.25">
      <c r="A93" s="7" t="s">
        <v>203</v>
      </c>
      <c r="B93" s="16">
        <v>45547</v>
      </c>
      <c r="C93" s="8" t="str">
        <f>TRIM(Sales_Data!C93)</f>
        <v>Martinez, Sophia</v>
      </c>
      <c r="D93" s="8" t="str">
        <f>PROPER(TRIM(Sales_Data!D93))</f>
        <v>Singapore</v>
      </c>
      <c r="E93" s="8" t="s">
        <v>43</v>
      </c>
      <c r="F93" s="8" t="s">
        <v>44</v>
      </c>
      <c r="G93" s="8">
        <v>19</v>
      </c>
      <c r="H93" s="9">
        <v>67.06</v>
      </c>
      <c r="I93" s="87">
        <f>PRODUCT(Table1[[#This Row],[Quantity]],Table1[[#This Row],[Unit_Price]])</f>
        <v>1274.1400000000001</v>
      </c>
      <c r="J93" s="9">
        <v>85.73</v>
      </c>
      <c r="K93" s="47">
        <v>428.41</v>
      </c>
      <c r="L93" s="8" t="s">
        <v>19</v>
      </c>
      <c r="M93" s="8" t="s">
        <v>27</v>
      </c>
      <c r="N93" s="10" t="s">
        <v>58</v>
      </c>
    </row>
    <row r="94" spans="1:14" x14ac:dyDescent="0.25">
      <c r="A94" s="7" t="s">
        <v>205</v>
      </c>
      <c r="B94" s="16">
        <v>45502</v>
      </c>
      <c r="C94" s="8" t="str">
        <f>TRIM(Sales_Data!C94)</f>
        <v>Davis, Emily</v>
      </c>
      <c r="D94" s="8" t="str">
        <f>PROPER(TRIM(Sales_Data!D94))</f>
        <v>Italy</v>
      </c>
      <c r="E94" s="8" t="s">
        <v>25</v>
      </c>
      <c r="F94" s="8" t="s">
        <v>18</v>
      </c>
      <c r="G94" s="8">
        <v>4</v>
      </c>
      <c r="H94" s="9">
        <v>25.13</v>
      </c>
      <c r="I94" s="87">
        <f>PRODUCT(Table1[[#This Row],[Quantity]],Table1[[#This Row],[Unit_Price]])</f>
        <v>100.52</v>
      </c>
      <c r="J94" s="9">
        <v>5.6</v>
      </c>
      <c r="K94" s="47">
        <v>22.92</v>
      </c>
      <c r="L94" s="8" t="s">
        <v>26</v>
      </c>
      <c r="M94" s="8" t="s">
        <v>32</v>
      </c>
      <c r="N94" s="10" t="s">
        <v>28</v>
      </c>
    </row>
    <row r="95" spans="1:14" x14ac:dyDescent="0.25">
      <c r="A95" s="7" t="s">
        <v>206</v>
      </c>
      <c r="B95" s="16">
        <v>45755</v>
      </c>
      <c r="C95" s="8" t="str">
        <f>TRIM(Sales_Data!C95)</f>
        <v>Miller, Sarah</v>
      </c>
      <c r="D95" s="8" t="str">
        <f>PROPER(TRIM(Sales_Data!D95))</f>
        <v>Italy</v>
      </c>
      <c r="E95" s="8" t="s">
        <v>60</v>
      </c>
      <c r="F95" s="8" t="s">
        <v>52</v>
      </c>
      <c r="G95" s="8">
        <v>26</v>
      </c>
      <c r="H95" s="9">
        <v>19.34</v>
      </c>
      <c r="I95" s="87">
        <f>PRODUCT(Table1[[#This Row],[Quantity]],Table1[[#This Row],[Unit_Price]])</f>
        <v>502.84</v>
      </c>
      <c r="J95" s="9">
        <v>26.51</v>
      </c>
      <c r="K95" s="47">
        <v>73.33</v>
      </c>
      <c r="L95" s="8" t="s">
        <v>26</v>
      </c>
      <c r="M95" s="8" t="s">
        <v>20</v>
      </c>
      <c r="N95" s="10" t="s">
        <v>28</v>
      </c>
    </row>
    <row r="96" spans="1:14" x14ac:dyDescent="0.25">
      <c r="A96" s="7" t="s">
        <v>208</v>
      </c>
      <c r="B96" s="16">
        <v>45549</v>
      </c>
      <c r="C96" s="8" t="str">
        <f>TRIM(Sales_Data!C96)</f>
        <v>Williams, James</v>
      </c>
      <c r="D96" s="8" t="str">
        <f>PROPER(TRIM(Sales_Data!D96))</f>
        <v>South Africa</v>
      </c>
      <c r="E96" s="8" t="s">
        <v>48</v>
      </c>
      <c r="F96" s="8" t="s">
        <v>37</v>
      </c>
      <c r="G96" s="8">
        <v>26</v>
      </c>
      <c r="H96" s="9">
        <v>35.81</v>
      </c>
      <c r="I96" s="87">
        <f>PRODUCT(Table1[[#This Row],[Quantity]],Table1[[#This Row],[Unit_Price]])</f>
        <v>931.06000000000006</v>
      </c>
      <c r="J96" s="9">
        <v>61.06</v>
      </c>
      <c r="K96" s="47">
        <v>350</v>
      </c>
      <c r="L96" s="8" t="s">
        <v>19</v>
      </c>
      <c r="M96" s="8" t="s">
        <v>20</v>
      </c>
      <c r="N96" s="10" t="s">
        <v>87</v>
      </c>
    </row>
    <row r="97" spans="1:14" x14ac:dyDescent="0.25">
      <c r="A97" s="7" t="s">
        <v>210</v>
      </c>
      <c r="B97" s="16">
        <v>45717</v>
      </c>
      <c r="C97" s="8" t="str">
        <f>TRIM(Sales_Data!C97)</f>
        <v>Garcia, Emma</v>
      </c>
      <c r="D97" s="8" t="str">
        <f>PROPER(TRIM(Sales_Data!D97))</f>
        <v>Singapore</v>
      </c>
      <c r="E97" s="8" t="s">
        <v>51</v>
      </c>
      <c r="F97" s="8" t="s">
        <v>52</v>
      </c>
      <c r="G97" s="8">
        <v>42</v>
      </c>
      <c r="H97" s="9">
        <v>39.950000000000003</v>
      </c>
      <c r="I97" s="87">
        <f>PRODUCT(Table1[[#This Row],[Quantity]],Table1[[#This Row],[Unit_Price]])</f>
        <v>1677.9</v>
      </c>
      <c r="J97" s="9">
        <v>93.95</v>
      </c>
      <c r="K97" s="47">
        <v>638.95000000000005</v>
      </c>
      <c r="L97" s="8" t="s">
        <v>26</v>
      </c>
      <c r="M97" s="8" t="s">
        <v>27</v>
      </c>
      <c r="N97" s="10" t="s">
        <v>58</v>
      </c>
    </row>
    <row r="98" spans="1:14" x14ac:dyDescent="0.25">
      <c r="A98" s="7" t="s">
        <v>212</v>
      </c>
      <c r="B98" s="16">
        <v>45501</v>
      </c>
      <c r="C98" s="8" t="str">
        <f>TRIM(Sales_Data!C98)</f>
        <v>Davis, David</v>
      </c>
      <c r="D98" s="8" t="str">
        <f>PROPER(TRIM(Sales_Data!D98))</f>
        <v>Uae</v>
      </c>
      <c r="E98" s="8" t="s">
        <v>17</v>
      </c>
      <c r="F98" s="8" t="s">
        <v>18</v>
      </c>
      <c r="G98" s="8">
        <v>38</v>
      </c>
      <c r="H98" s="9">
        <v>49.98</v>
      </c>
      <c r="I98" s="87">
        <f>PRODUCT(Table1[[#This Row],[Quantity]],Table1[[#This Row],[Unit_Price]])</f>
        <v>1899.2399999999998</v>
      </c>
      <c r="J98" s="9">
        <v>112.91</v>
      </c>
      <c r="K98" s="47">
        <v>456.33</v>
      </c>
      <c r="L98" s="8" t="s">
        <v>38</v>
      </c>
      <c r="M98" s="8" t="s">
        <v>32</v>
      </c>
      <c r="N98" s="10" t="s">
        <v>58</v>
      </c>
    </row>
    <row r="99" spans="1:14" x14ac:dyDescent="0.25">
      <c r="A99" s="7" t="s">
        <v>213</v>
      </c>
      <c r="B99" s="16">
        <v>45505</v>
      </c>
      <c r="C99" s="8" t="str">
        <f>TRIM(Sales_Data!C99)</f>
        <v>Smith, Michael</v>
      </c>
      <c r="D99" s="8" t="str">
        <f>PROPER(TRIM(Sales_Data!D99))</f>
        <v>Japan</v>
      </c>
      <c r="E99" s="8" t="s">
        <v>83</v>
      </c>
      <c r="F99" s="8" t="s">
        <v>52</v>
      </c>
      <c r="G99" s="8">
        <v>1</v>
      </c>
      <c r="H99" s="9">
        <v>45.84</v>
      </c>
      <c r="I99" s="87">
        <f>PRODUCT(Table1[[#This Row],[Quantity]],Table1[[#This Row],[Unit_Price]])</f>
        <v>45.84</v>
      </c>
      <c r="J99" s="9">
        <v>1.26</v>
      </c>
      <c r="K99" s="47">
        <v>16.579999999999998</v>
      </c>
      <c r="L99" s="8" t="s">
        <v>38</v>
      </c>
      <c r="M99" s="8" t="s">
        <v>20</v>
      </c>
      <c r="N99" s="10" t="s">
        <v>58</v>
      </c>
    </row>
    <row r="100" spans="1:14" x14ac:dyDescent="0.25">
      <c r="A100" s="7" t="s">
        <v>214</v>
      </c>
      <c r="B100" s="16">
        <v>45749</v>
      </c>
      <c r="C100" s="8" t="str">
        <f>TRIM(Sales_Data!C100)</f>
        <v>Davis, Emma</v>
      </c>
      <c r="D100" s="8" t="str">
        <f>PROPER(TRIM(Sales_Data!D100))</f>
        <v>Australia</v>
      </c>
      <c r="E100" s="8" t="s">
        <v>25</v>
      </c>
      <c r="F100" s="8" t="s">
        <v>18</v>
      </c>
      <c r="G100" s="8">
        <v>38</v>
      </c>
      <c r="H100" s="9">
        <v>26.34</v>
      </c>
      <c r="I100" s="87">
        <f>PRODUCT(Table1[[#This Row],[Quantity]],Table1[[#This Row],[Unit_Price]])</f>
        <v>1000.92</v>
      </c>
      <c r="J100" s="9">
        <v>47.88</v>
      </c>
      <c r="K100" s="47">
        <v>269.04000000000002</v>
      </c>
      <c r="L100" s="8" t="s">
        <v>19</v>
      </c>
      <c r="M100" s="8" t="s">
        <v>27</v>
      </c>
      <c r="N100" s="10" t="s">
        <v>130</v>
      </c>
    </row>
    <row r="101" spans="1:14" x14ac:dyDescent="0.25">
      <c r="A101" s="7" t="s">
        <v>215</v>
      </c>
      <c r="B101" s="16">
        <v>45590</v>
      </c>
      <c r="C101" s="8" t="str">
        <f>TRIM(Sales_Data!C101)</f>
        <v>Martinez, Daniel</v>
      </c>
      <c r="D101" s="8" t="str">
        <f>PROPER(TRIM(Sales_Data!D101))</f>
        <v>France</v>
      </c>
      <c r="E101" s="8" t="s">
        <v>56</v>
      </c>
      <c r="F101" s="8" t="s">
        <v>57</v>
      </c>
      <c r="G101" s="8">
        <v>30</v>
      </c>
      <c r="H101" s="9">
        <v>36.43</v>
      </c>
      <c r="I101" s="87">
        <f>PRODUCT(Table1[[#This Row],[Quantity]],Table1[[#This Row],[Unit_Price]])</f>
        <v>1092.9000000000001</v>
      </c>
      <c r="J101" s="9">
        <v>61.97</v>
      </c>
      <c r="K101" s="47">
        <v>280.93</v>
      </c>
      <c r="L101" s="8" t="s">
        <v>38</v>
      </c>
      <c r="M101" s="8" t="s">
        <v>27</v>
      </c>
      <c r="N101" s="10" t="s">
        <v>28</v>
      </c>
    </row>
    <row r="102" spans="1:14" x14ac:dyDescent="0.25">
      <c r="A102" s="7" t="s">
        <v>216</v>
      </c>
      <c r="B102" s="16">
        <v>45468</v>
      </c>
      <c r="C102" s="8" t="str">
        <f>TRIM(Sales_Data!C102)</f>
        <v>Hernandez, Laura</v>
      </c>
      <c r="D102" s="8" t="str">
        <f>PROPER(TRIM(Sales_Data!D102))</f>
        <v>Italy</v>
      </c>
      <c r="E102" s="8" t="s">
        <v>63</v>
      </c>
      <c r="F102" s="8" t="s">
        <v>37</v>
      </c>
      <c r="G102" s="8">
        <v>9</v>
      </c>
      <c r="H102" s="9">
        <v>22.27</v>
      </c>
      <c r="I102" s="87">
        <f>PRODUCT(Table1[[#This Row],[Quantity]],Table1[[#This Row],[Unit_Price]])</f>
        <v>200.43</v>
      </c>
      <c r="J102" s="9">
        <v>13.21</v>
      </c>
      <c r="K102" s="47">
        <v>72.47</v>
      </c>
      <c r="L102" s="8" t="s">
        <v>26</v>
      </c>
      <c r="M102" s="8" t="s">
        <v>27</v>
      </c>
      <c r="N102" s="10" t="s">
        <v>28</v>
      </c>
    </row>
    <row r="103" spans="1:14" x14ac:dyDescent="0.25">
      <c r="A103" s="7" t="s">
        <v>217</v>
      </c>
      <c r="B103" s="16">
        <v>45547</v>
      </c>
      <c r="C103" s="8" t="str">
        <f>TRIM(Sales_Data!C103)</f>
        <v>Jones, Laura</v>
      </c>
      <c r="D103" s="8" t="str">
        <f>PROPER(TRIM(Sales_Data!D103))</f>
        <v>Australia</v>
      </c>
      <c r="E103" s="8" t="s">
        <v>60</v>
      </c>
      <c r="F103" s="8" t="s">
        <v>52</v>
      </c>
      <c r="G103" s="8">
        <v>26</v>
      </c>
      <c r="H103" s="9">
        <v>27.65</v>
      </c>
      <c r="I103" s="87">
        <f>PRODUCT(Table1[[#This Row],[Quantity]],Table1[[#This Row],[Unit_Price]])</f>
        <v>718.9</v>
      </c>
      <c r="J103" s="9">
        <v>46.25</v>
      </c>
      <c r="K103" s="47">
        <v>269.64999999999998</v>
      </c>
      <c r="L103" s="8" t="s">
        <v>26</v>
      </c>
      <c r="M103" s="8" t="s">
        <v>32</v>
      </c>
      <c r="N103" s="10" t="s">
        <v>130</v>
      </c>
    </row>
    <row r="104" spans="1:14" x14ac:dyDescent="0.25">
      <c r="A104" s="7" t="s">
        <v>218</v>
      </c>
      <c r="B104" s="16">
        <v>45503</v>
      </c>
      <c r="C104" s="8" t="str">
        <f>TRIM(Sales_Data!C104)</f>
        <v>Davis, Emma</v>
      </c>
      <c r="D104" s="8" t="str">
        <f>PROPER(TRIM(Sales_Data!D104))</f>
        <v>Uk</v>
      </c>
      <c r="E104" s="8" t="s">
        <v>60</v>
      </c>
      <c r="F104" s="8" t="s">
        <v>52</v>
      </c>
      <c r="G104" s="8">
        <v>23</v>
      </c>
      <c r="H104" s="9">
        <v>22.45</v>
      </c>
      <c r="I104" s="87">
        <f>PRODUCT(Table1[[#This Row],[Quantity]],Table1[[#This Row],[Unit_Price]])</f>
        <v>516.35</v>
      </c>
      <c r="J104" s="9">
        <v>15.68</v>
      </c>
      <c r="K104" s="47">
        <v>144.16999999999999</v>
      </c>
      <c r="L104" s="8" t="s">
        <v>38</v>
      </c>
      <c r="M104" s="8" t="s">
        <v>32</v>
      </c>
      <c r="N104" s="10" t="s">
        <v>28</v>
      </c>
    </row>
    <row r="105" spans="1:14" x14ac:dyDescent="0.25">
      <c r="A105" s="7" t="s">
        <v>219</v>
      </c>
      <c r="B105" s="16">
        <v>45528</v>
      </c>
      <c r="C105" s="8" t="str">
        <f>TRIM(Sales_Data!C105)</f>
        <v>Garcia, Emily</v>
      </c>
      <c r="D105" s="8" t="str">
        <f>PROPER(TRIM(Sales_Data!D105))</f>
        <v>Uk</v>
      </c>
      <c r="E105" s="8" t="s">
        <v>60</v>
      </c>
      <c r="F105" s="8" t="s">
        <v>52</v>
      </c>
      <c r="G105" s="8">
        <v>30</v>
      </c>
      <c r="H105" s="9">
        <v>21.93</v>
      </c>
      <c r="I105" s="87">
        <f>PRODUCT(Table1[[#This Row],[Quantity]],Table1[[#This Row],[Unit_Price]])</f>
        <v>657.9</v>
      </c>
      <c r="J105" s="9">
        <v>24.66</v>
      </c>
      <c r="K105" s="47">
        <v>168.24</v>
      </c>
      <c r="L105" s="8" t="s">
        <v>26</v>
      </c>
      <c r="M105" s="8" t="s">
        <v>20</v>
      </c>
      <c r="N105" s="10" t="s">
        <v>28</v>
      </c>
    </row>
    <row r="106" spans="1:14" x14ac:dyDescent="0.25">
      <c r="A106" s="7" t="s">
        <v>220</v>
      </c>
      <c r="B106" s="16">
        <v>45546</v>
      </c>
      <c r="C106" s="8" t="str">
        <f>TRIM(Sales_Data!C106)</f>
        <v>Johnson, David</v>
      </c>
      <c r="D106" s="8" t="str">
        <f>PROPER(TRIM(Sales_Data!D106))</f>
        <v>Singapore</v>
      </c>
      <c r="E106" s="8" t="s">
        <v>63</v>
      </c>
      <c r="F106" s="8" t="s">
        <v>37</v>
      </c>
      <c r="G106" s="8">
        <v>43</v>
      </c>
      <c r="H106" s="9">
        <v>21.92</v>
      </c>
      <c r="I106" s="87">
        <f>PRODUCT(Table1[[#This Row],[Quantity]],Table1[[#This Row],[Unit_Price]])</f>
        <v>942.56000000000006</v>
      </c>
      <c r="J106" s="9">
        <v>51.15</v>
      </c>
      <c r="K106" s="47">
        <v>343.16</v>
      </c>
      <c r="L106" s="8" t="s">
        <v>19</v>
      </c>
      <c r="M106" s="8" t="s">
        <v>32</v>
      </c>
      <c r="N106" s="10" t="s">
        <v>58</v>
      </c>
    </row>
    <row r="107" spans="1:14" x14ac:dyDescent="0.25">
      <c r="A107" s="7" t="s">
        <v>222</v>
      </c>
      <c r="B107" s="16">
        <v>45692</v>
      </c>
      <c r="C107" s="8" t="str">
        <f>TRIM(Sales_Data!C107)</f>
        <v>Martinez, Laura</v>
      </c>
      <c r="D107" s="8" t="str">
        <f>PROPER(TRIM(Sales_Data!D107))</f>
        <v>Brazil</v>
      </c>
      <c r="E107" s="8" t="s">
        <v>43</v>
      </c>
      <c r="F107" s="8" t="s">
        <v>44</v>
      </c>
      <c r="G107" s="8">
        <v>3</v>
      </c>
      <c r="H107" s="9">
        <v>56.21</v>
      </c>
      <c r="I107" s="87">
        <f>PRODUCT(Table1[[#This Row],[Quantity]],Table1[[#This Row],[Unit_Price]])</f>
        <v>168.63</v>
      </c>
      <c r="J107" s="9">
        <v>7.56</v>
      </c>
      <c r="K107" s="47">
        <v>41.07</v>
      </c>
      <c r="L107" s="8" t="s">
        <v>38</v>
      </c>
      <c r="M107" s="8" t="s">
        <v>20</v>
      </c>
      <c r="N107" s="10" t="s">
        <v>39</v>
      </c>
    </row>
    <row r="108" spans="1:14" x14ac:dyDescent="0.25">
      <c r="A108" s="7" t="s">
        <v>223</v>
      </c>
      <c r="B108" s="16">
        <v>45384</v>
      </c>
      <c r="C108" s="8" t="str">
        <f>TRIM(Sales_Data!C108)</f>
        <v>Smith, Emily</v>
      </c>
      <c r="D108" s="8" t="str">
        <f>PROPER(TRIM(Sales_Data!D108))</f>
        <v>Italy</v>
      </c>
      <c r="E108" s="8" t="s">
        <v>63</v>
      </c>
      <c r="F108" s="8" t="s">
        <v>37</v>
      </c>
      <c r="G108" s="8">
        <v>33</v>
      </c>
      <c r="H108" s="9">
        <v>15.44</v>
      </c>
      <c r="I108" s="87">
        <f>PRODUCT(Table1[[#This Row],[Quantity]],Table1[[#This Row],[Unit_Price]])</f>
        <v>509.52</v>
      </c>
      <c r="J108" s="9">
        <v>19.7</v>
      </c>
      <c r="K108" s="47">
        <v>69.069999999999993</v>
      </c>
      <c r="L108" s="8" t="s">
        <v>19</v>
      </c>
      <c r="M108" s="8" t="s">
        <v>32</v>
      </c>
      <c r="N108" s="10" t="s">
        <v>28</v>
      </c>
    </row>
    <row r="109" spans="1:14" x14ac:dyDescent="0.25">
      <c r="A109" s="7" t="s">
        <v>224</v>
      </c>
      <c r="B109" s="16">
        <v>45557</v>
      </c>
      <c r="C109" s="8" t="str">
        <f>TRIM(Sales_Data!C109)</f>
        <v>Hernandez, Sophia</v>
      </c>
      <c r="D109" s="8" t="str">
        <f>PROPER(TRIM(Sales_Data!D109))</f>
        <v>South Africa</v>
      </c>
      <c r="E109" s="8" t="s">
        <v>60</v>
      </c>
      <c r="F109" s="8" t="s">
        <v>52</v>
      </c>
      <c r="G109" s="8">
        <v>50</v>
      </c>
      <c r="H109" s="9">
        <v>23.02</v>
      </c>
      <c r="I109" s="87">
        <f>PRODUCT(Table1[[#This Row],[Quantity]],Table1[[#This Row],[Unit_Price]])</f>
        <v>1151</v>
      </c>
      <c r="J109" s="9">
        <v>69.3</v>
      </c>
      <c r="K109" s="47">
        <v>306.7</v>
      </c>
      <c r="L109" s="8" t="s">
        <v>26</v>
      </c>
      <c r="M109" s="8" t="s">
        <v>27</v>
      </c>
      <c r="N109" s="10" t="s">
        <v>87</v>
      </c>
    </row>
    <row r="110" spans="1:14" x14ac:dyDescent="0.25">
      <c r="A110" s="7" t="s">
        <v>225</v>
      </c>
      <c r="B110" s="16">
        <v>45362</v>
      </c>
      <c r="C110" s="8" t="str">
        <f>TRIM(Sales_Data!C110)</f>
        <v>Miller, Emily</v>
      </c>
      <c r="D110" s="8" t="str">
        <f>PROPER(TRIM(Sales_Data!D110))</f>
        <v>Brazil</v>
      </c>
      <c r="E110" s="8" t="s">
        <v>63</v>
      </c>
      <c r="F110" s="8" t="s">
        <v>37</v>
      </c>
      <c r="G110" s="8">
        <v>8</v>
      </c>
      <c r="H110" s="9">
        <v>17.010000000000002</v>
      </c>
      <c r="I110" s="87">
        <f>PRODUCT(Table1[[#This Row],[Quantity]],Table1[[#This Row],[Unit_Price]])</f>
        <v>136.08000000000001</v>
      </c>
      <c r="J110" s="9">
        <v>8.84</v>
      </c>
      <c r="K110" s="47">
        <v>25.24</v>
      </c>
      <c r="L110" s="8" t="s">
        <v>19</v>
      </c>
      <c r="M110" s="8" t="s">
        <v>32</v>
      </c>
      <c r="N110" s="10" t="s">
        <v>39</v>
      </c>
    </row>
    <row r="111" spans="1:14" x14ac:dyDescent="0.25">
      <c r="A111" s="7" t="s">
        <v>227</v>
      </c>
      <c r="B111" s="16">
        <v>45591</v>
      </c>
      <c r="C111" s="8" t="str">
        <f>TRIM(Sales_Data!C111)</f>
        <v>Davis, Emma</v>
      </c>
      <c r="D111" s="8" t="str">
        <f>PROPER(TRIM(Sales_Data!D111))</f>
        <v>France</v>
      </c>
      <c r="E111" s="8" t="s">
        <v>25</v>
      </c>
      <c r="F111" s="8" t="s">
        <v>18</v>
      </c>
      <c r="G111" s="8">
        <v>16</v>
      </c>
      <c r="H111" s="9">
        <v>26.47</v>
      </c>
      <c r="I111" s="87">
        <f>PRODUCT(Table1[[#This Row],[Quantity]],Table1[[#This Row],[Unit_Price]])</f>
        <v>423.52</v>
      </c>
      <c r="J111" s="9">
        <v>15.87</v>
      </c>
      <c r="K111" s="47">
        <v>119.65</v>
      </c>
      <c r="L111" s="8" t="s">
        <v>26</v>
      </c>
      <c r="M111" s="8" t="s">
        <v>20</v>
      </c>
      <c r="N111" s="10" t="s">
        <v>28</v>
      </c>
    </row>
    <row r="112" spans="1:14" x14ac:dyDescent="0.25">
      <c r="A112" s="7" t="s">
        <v>228</v>
      </c>
      <c r="B112" s="16">
        <v>45565</v>
      </c>
      <c r="C112" s="8" t="str">
        <f>TRIM(Sales_Data!C112)</f>
        <v>Jones, Michael</v>
      </c>
      <c r="D112" s="8" t="str">
        <f>PROPER(TRIM(Sales_Data!D112))</f>
        <v>Brazil</v>
      </c>
      <c r="E112" s="8" t="s">
        <v>36</v>
      </c>
      <c r="F112" s="8" t="s">
        <v>37</v>
      </c>
      <c r="G112" s="8">
        <v>32</v>
      </c>
      <c r="H112" s="9">
        <v>43.18</v>
      </c>
      <c r="I112" s="87">
        <f>PRODUCT(Table1[[#This Row],[Quantity]],Table1[[#This Row],[Unit_Price]])</f>
        <v>1381.76</v>
      </c>
      <c r="J112" s="9">
        <v>88.54</v>
      </c>
      <c r="K112" s="47">
        <v>269.22000000000003</v>
      </c>
      <c r="L112" s="8" t="s">
        <v>26</v>
      </c>
      <c r="M112" s="8" t="s">
        <v>32</v>
      </c>
      <c r="N112" s="10" t="s">
        <v>39</v>
      </c>
    </row>
    <row r="113" spans="1:14" x14ac:dyDescent="0.25">
      <c r="A113" s="7" t="s">
        <v>229</v>
      </c>
      <c r="B113" s="16">
        <v>45472</v>
      </c>
      <c r="C113" s="8" t="str">
        <f>TRIM(Sales_Data!C113)</f>
        <v>Smith, Sophia</v>
      </c>
      <c r="D113" s="8" t="str">
        <f>PROPER(TRIM(Sales_Data!D113))</f>
        <v>Australia</v>
      </c>
      <c r="E113" s="8" t="s">
        <v>60</v>
      </c>
      <c r="F113" s="8" t="s">
        <v>52</v>
      </c>
      <c r="G113" s="8">
        <v>29</v>
      </c>
      <c r="H113" s="9">
        <v>18.850000000000001</v>
      </c>
      <c r="I113" s="87">
        <f>PRODUCT(Table1[[#This Row],[Quantity]],Table1[[#This Row],[Unit_Price]])</f>
        <v>546.65000000000009</v>
      </c>
      <c r="J113" s="9">
        <v>13.22</v>
      </c>
      <c r="K113" s="47">
        <v>83.93</v>
      </c>
      <c r="L113" s="8" t="s">
        <v>19</v>
      </c>
      <c r="M113" s="8" t="s">
        <v>32</v>
      </c>
      <c r="N113" s="10" t="s">
        <v>130</v>
      </c>
    </row>
    <row r="114" spans="1:14" x14ac:dyDescent="0.25">
      <c r="A114" s="7" t="s">
        <v>230</v>
      </c>
      <c r="B114" s="16">
        <v>45664</v>
      </c>
      <c r="C114" s="8" t="str">
        <f>TRIM(Sales_Data!C114)</f>
        <v>Martinez, Emily</v>
      </c>
      <c r="D114" s="8" t="str">
        <f>PROPER(TRIM(Sales_Data!D114))</f>
        <v>France</v>
      </c>
      <c r="E114" s="8" t="s">
        <v>43</v>
      </c>
      <c r="F114" s="8" t="s">
        <v>44</v>
      </c>
      <c r="G114" s="8">
        <v>16</v>
      </c>
      <c r="H114" s="9">
        <v>64.400000000000006</v>
      </c>
      <c r="I114" s="87">
        <f>PRODUCT(Table1[[#This Row],[Quantity]],Table1[[#This Row],[Unit_Price]])</f>
        <v>1030.4000000000001</v>
      </c>
      <c r="J114" s="9">
        <v>61.72</v>
      </c>
      <c r="K114" s="47">
        <v>328.68</v>
      </c>
      <c r="L114" s="8" t="s">
        <v>26</v>
      </c>
      <c r="M114" s="8" t="s">
        <v>27</v>
      </c>
      <c r="N114" s="10" t="s">
        <v>28</v>
      </c>
    </row>
    <row r="115" spans="1:14" x14ac:dyDescent="0.25">
      <c r="A115" s="7" t="s">
        <v>232</v>
      </c>
      <c r="B115" s="16">
        <v>45611</v>
      </c>
      <c r="C115" s="8" t="str">
        <f>TRIM(Sales_Data!C115)</f>
        <v>Hernandez, Daniel</v>
      </c>
      <c r="D115" s="8" t="str">
        <f>PROPER(TRIM(Sales_Data!D115))</f>
        <v>Singapore</v>
      </c>
      <c r="E115" s="8" t="s">
        <v>60</v>
      </c>
      <c r="F115" s="8" t="s">
        <v>52</v>
      </c>
      <c r="G115" s="8">
        <v>15</v>
      </c>
      <c r="H115" s="9">
        <v>19.53</v>
      </c>
      <c r="I115" s="87">
        <f>PRODUCT(Table1[[#This Row],[Quantity]],Table1[[#This Row],[Unit_Price]])</f>
        <v>292.95000000000005</v>
      </c>
      <c r="J115" s="9">
        <v>7.15</v>
      </c>
      <c r="K115" s="47">
        <v>53.3</v>
      </c>
      <c r="L115" s="8" t="s">
        <v>38</v>
      </c>
      <c r="M115" s="8" t="s">
        <v>27</v>
      </c>
      <c r="N115" s="10" t="s">
        <v>58</v>
      </c>
    </row>
    <row r="116" spans="1:14" x14ac:dyDescent="0.25">
      <c r="A116" s="7" t="s">
        <v>234</v>
      </c>
      <c r="B116" s="16">
        <v>45502</v>
      </c>
      <c r="C116" s="8" t="str">
        <f>TRIM(Sales_Data!C116)</f>
        <v>Hernandez, John</v>
      </c>
      <c r="D116" s="8" t="str">
        <f>PROPER(TRIM(Sales_Data!D116))</f>
        <v>Germany</v>
      </c>
      <c r="E116" s="8" t="s">
        <v>48</v>
      </c>
      <c r="F116" s="8" t="s">
        <v>37</v>
      </c>
      <c r="G116" s="8">
        <v>36</v>
      </c>
      <c r="H116" s="9">
        <v>26.05</v>
      </c>
      <c r="I116" s="87">
        <f>PRODUCT(Table1[[#This Row],[Quantity]],Table1[[#This Row],[Unit_Price]])</f>
        <v>937.80000000000007</v>
      </c>
      <c r="J116" s="9">
        <v>32.799999999999997</v>
      </c>
      <c r="K116" s="47">
        <v>185</v>
      </c>
      <c r="L116" s="8" t="s">
        <v>19</v>
      </c>
      <c r="M116" s="8" t="s">
        <v>32</v>
      </c>
      <c r="N116" s="10" t="s">
        <v>28</v>
      </c>
    </row>
    <row r="117" spans="1:14" x14ac:dyDescent="0.25">
      <c r="A117" s="7" t="s">
        <v>235</v>
      </c>
      <c r="B117" s="16">
        <v>45329</v>
      </c>
      <c r="C117" s="8" t="str">
        <f>TRIM(Sales_Data!C117)</f>
        <v>Miller, John</v>
      </c>
      <c r="D117" s="8" t="str">
        <f>PROPER(TRIM(Sales_Data!D117))</f>
        <v>South Africa</v>
      </c>
      <c r="E117" s="8" t="s">
        <v>36</v>
      </c>
      <c r="F117" s="8" t="s">
        <v>37</v>
      </c>
      <c r="G117" s="8">
        <v>26</v>
      </c>
      <c r="H117" s="9">
        <v>47.52</v>
      </c>
      <c r="I117" s="87">
        <f>PRODUCT(Table1[[#This Row],[Quantity]],Table1[[#This Row],[Unit_Price]])</f>
        <v>1235.52</v>
      </c>
      <c r="J117" s="9">
        <v>31.41</v>
      </c>
      <c r="K117" s="47">
        <v>372.11</v>
      </c>
      <c r="L117" s="8" t="s">
        <v>26</v>
      </c>
      <c r="M117" s="8" t="s">
        <v>20</v>
      </c>
      <c r="N117" s="10" t="s">
        <v>87</v>
      </c>
    </row>
    <row r="118" spans="1:14" x14ac:dyDescent="0.25">
      <c r="A118" s="7" t="s">
        <v>236</v>
      </c>
      <c r="B118" s="16">
        <v>45564</v>
      </c>
      <c r="C118" s="8" t="str">
        <f>TRIM(Sales_Data!C118)</f>
        <v>Garcia, Emma</v>
      </c>
      <c r="D118" s="8" t="str">
        <f>PROPER(TRIM(Sales_Data!D118))</f>
        <v>France</v>
      </c>
      <c r="E118" s="8" t="s">
        <v>25</v>
      </c>
      <c r="F118" s="8" t="s">
        <v>18</v>
      </c>
      <c r="G118" s="8">
        <v>38</v>
      </c>
      <c r="H118" s="9">
        <v>26.38</v>
      </c>
      <c r="I118" s="87">
        <f>PRODUCT(Table1[[#This Row],[Quantity]],Table1[[#This Row],[Unit_Price]])</f>
        <v>1002.4399999999999</v>
      </c>
      <c r="J118" s="9">
        <v>33.049999999999997</v>
      </c>
      <c r="K118" s="47">
        <v>285.39</v>
      </c>
      <c r="L118" s="8" t="s">
        <v>26</v>
      </c>
      <c r="M118" s="8" t="s">
        <v>20</v>
      </c>
      <c r="N118" s="10" t="s">
        <v>28</v>
      </c>
    </row>
    <row r="119" spans="1:14" x14ac:dyDescent="0.25">
      <c r="A119" s="7" t="s">
        <v>237</v>
      </c>
      <c r="B119" s="16">
        <v>45755</v>
      </c>
      <c r="C119" s="8" t="str">
        <f>TRIM(Sales_Data!C119)</f>
        <v>Brown, Sarah</v>
      </c>
      <c r="D119" s="8" t="str">
        <f>PROPER(TRIM(Sales_Data!D119))</f>
        <v>Japan</v>
      </c>
      <c r="E119" s="8" t="s">
        <v>63</v>
      </c>
      <c r="F119" s="8" t="s">
        <v>37</v>
      </c>
      <c r="G119" s="8">
        <v>7</v>
      </c>
      <c r="H119" s="9">
        <v>17.66</v>
      </c>
      <c r="I119" s="87">
        <f>PRODUCT(Table1[[#This Row],[Quantity]],Table1[[#This Row],[Unit_Price]])</f>
        <v>123.62</v>
      </c>
      <c r="J119" s="9">
        <v>6.95</v>
      </c>
      <c r="K119" s="47">
        <v>27.42</v>
      </c>
      <c r="L119" s="8" t="s">
        <v>19</v>
      </c>
      <c r="M119" s="8" t="s">
        <v>20</v>
      </c>
      <c r="N119" s="10" t="s">
        <v>58</v>
      </c>
    </row>
    <row r="120" spans="1:14" x14ac:dyDescent="0.25">
      <c r="A120" s="7" t="s">
        <v>238</v>
      </c>
      <c r="B120" s="16">
        <v>45608</v>
      </c>
      <c r="C120" s="8" t="str">
        <f>TRIM(Sales_Data!C120)</f>
        <v>Martinez, Emma</v>
      </c>
      <c r="D120" s="8" t="str">
        <f>PROPER(TRIM(Sales_Data!D120))</f>
        <v>Australia</v>
      </c>
      <c r="E120" s="8" t="s">
        <v>17</v>
      </c>
      <c r="F120" s="8" t="s">
        <v>18</v>
      </c>
      <c r="G120" s="8">
        <v>26</v>
      </c>
      <c r="H120" s="9">
        <v>51.5</v>
      </c>
      <c r="I120" s="87">
        <f>PRODUCT(Table1[[#This Row],[Quantity]],Table1[[#This Row],[Unit_Price]])</f>
        <v>1339</v>
      </c>
      <c r="J120" s="9">
        <v>92.09</v>
      </c>
      <c r="K120" s="47">
        <v>336.91</v>
      </c>
      <c r="L120" s="8" t="s">
        <v>26</v>
      </c>
      <c r="M120" s="8" t="s">
        <v>27</v>
      </c>
      <c r="N120" s="10" t="s">
        <v>130</v>
      </c>
    </row>
    <row r="121" spans="1:14" x14ac:dyDescent="0.25">
      <c r="A121" s="7" t="s">
        <v>239</v>
      </c>
      <c r="B121" s="16">
        <v>45759</v>
      </c>
      <c r="C121" s="8" t="str">
        <f>TRIM(Sales_Data!C121)</f>
        <v>Hernandez, David</v>
      </c>
      <c r="D121" s="8" t="str">
        <f>PROPER(TRIM(Sales_Data!D121))</f>
        <v>Usa</v>
      </c>
      <c r="E121" s="8" t="s">
        <v>60</v>
      </c>
      <c r="F121" s="8" t="s">
        <v>52</v>
      </c>
      <c r="G121" s="8">
        <v>27</v>
      </c>
      <c r="H121" s="9">
        <v>25</v>
      </c>
      <c r="I121" s="87">
        <f>PRODUCT(Table1[[#This Row],[Quantity]],Table1[[#This Row],[Unit_Price]])</f>
        <v>675</v>
      </c>
      <c r="J121" s="9">
        <v>15.49</v>
      </c>
      <c r="K121" s="47">
        <v>241.01</v>
      </c>
      <c r="L121" s="8" t="s">
        <v>26</v>
      </c>
      <c r="M121" s="8" t="s">
        <v>27</v>
      </c>
      <c r="N121" s="10" t="s">
        <v>21</v>
      </c>
    </row>
    <row r="122" spans="1:14" x14ac:dyDescent="0.25">
      <c r="A122" s="7" t="s">
        <v>241</v>
      </c>
      <c r="B122" s="16">
        <v>45497</v>
      </c>
      <c r="C122" s="8" t="str">
        <f>TRIM(Sales_Data!C122)</f>
        <v>Johnson, Michael</v>
      </c>
      <c r="D122" s="8" t="str">
        <f>PROPER(TRIM(Sales_Data!D122))</f>
        <v>South Africa</v>
      </c>
      <c r="E122" s="8" t="s">
        <v>63</v>
      </c>
      <c r="F122" s="8" t="s">
        <v>37</v>
      </c>
      <c r="G122" s="8">
        <v>4</v>
      </c>
      <c r="H122" s="9">
        <v>19</v>
      </c>
      <c r="I122" s="87">
        <f>PRODUCT(Table1[[#This Row],[Quantity]],Table1[[#This Row],[Unit_Price]])</f>
        <v>76</v>
      </c>
      <c r="J122" s="9">
        <v>3.78</v>
      </c>
      <c r="K122" s="47">
        <v>21.22</v>
      </c>
      <c r="L122" s="8" t="s">
        <v>26</v>
      </c>
      <c r="M122" s="8" t="s">
        <v>32</v>
      </c>
      <c r="N122" s="10" t="s">
        <v>87</v>
      </c>
    </row>
    <row r="123" spans="1:14" x14ac:dyDescent="0.25">
      <c r="A123" s="7" t="s">
        <v>242</v>
      </c>
      <c r="B123" s="16">
        <v>45426</v>
      </c>
      <c r="C123" s="8" t="str">
        <f>TRIM(Sales_Data!C123)</f>
        <v>Hernandez, Laura</v>
      </c>
      <c r="D123" s="8" t="str">
        <f>PROPER(TRIM(Sales_Data!D123))</f>
        <v>Canada</v>
      </c>
      <c r="E123" s="8" t="s">
        <v>60</v>
      </c>
      <c r="F123" s="8" t="s">
        <v>52</v>
      </c>
      <c r="G123" s="8">
        <v>24</v>
      </c>
      <c r="H123" s="9">
        <v>26.63</v>
      </c>
      <c r="I123" s="87">
        <f>PRODUCT(Table1[[#This Row],[Quantity]],Table1[[#This Row],[Unit_Price]])</f>
        <v>639.12</v>
      </c>
      <c r="J123" s="9">
        <v>31.92</v>
      </c>
      <c r="K123" s="47">
        <v>235.2</v>
      </c>
      <c r="L123" s="8" t="s">
        <v>38</v>
      </c>
      <c r="M123" s="8" t="s">
        <v>32</v>
      </c>
      <c r="N123" s="10" t="s">
        <v>21</v>
      </c>
    </row>
    <row r="124" spans="1:14" x14ac:dyDescent="0.25">
      <c r="A124" s="7" t="s">
        <v>243</v>
      </c>
      <c r="B124" s="16">
        <v>45661</v>
      </c>
      <c r="C124" s="8" t="str">
        <f>TRIM(Sales_Data!C124)</f>
        <v>Smith, Sarah</v>
      </c>
      <c r="D124" s="8" t="str">
        <f>PROPER(TRIM(Sales_Data!D124))</f>
        <v>Singapore</v>
      </c>
      <c r="E124" s="8" t="s">
        <v>56</v>
      </c>
      <c r="F124" s="8" t="s">
        <v>57</v>
      </c>
      <c r="G124" s="8">
        <v>26</v>
      </c>
      <c r="H124" s="9">
        <v>43.14</v>
      </c>
      <c r="I124" s="87">
        <f>PRODUCT(Table1[[#This Row],[Quantity]],Table1[[#This Row],[Unit_Price]])</f>
        <v>1121.6400000000001</v>
      </c>
      <c r="J124" s="9">
        <v>48.08</v>
      </c>
      <c r="K124" s="47">
        <v>423.56</v>
      </c>
      <c r="L124" s="8" t="s">
        <v>19</v>
      </c>
      <c r="M124" s="8" t="s">
        <v>27</v>
      </c>
      <c r="N124" s="10" t="s">
        <v>58</v>
      </c>
    </row>
    <row r="125" spans="1:14" x14ac:dyDescent="0.25">
      <c r="A125" s="7" t="s">
        <v>244</v>
      </c>
      <c r="B125" s="16">
        <v>45643</v>
      </c>
      <c r="C125" s="8" t="str">
        <f>TRIM(Sales_Data!C125)</f>
        <v>Davis, Emily</v>
      </c>
      <c r="D125" s="8" t="str">
        <f>PROPER(TRIM(Sales_Data!D125))</f>
        <v>Canada</v>
      </c>
      <c r="E125" s="8" t="s">
        <v>56</v>
      </c>
      <c r="F125" s="8" t="s">
        <v>57</v>
      </c>
      <c r="G125" s="8">
        <v>39</v>
      </c>
      <c r="H125" s="9">
        <v>30.01</v>
      </c>
      <c r="I125" s="87">
        <f>PRODUCT(Table1[[#This Row],[Quantity]],Table1[[#This Row],[Unit_Price]])</f>
        <v>1170.3900000000001</v>
      </c>
      <c r="J125" s="9">
        <v>60.43</v>
      </c>
      <c r="K125" s="47">
        <v>134.96</v>
      </c>
      <c r="L125" s="8" t="s">
        <v>26</v>
      </c>
      <c r="M125" s="8" t="s">
        <v>20</v>
      </c>
      <c r="N125" s="10" t="s">
        <v>21</v>
      </c>
    </row>
    <row r="126" spans="1:14" x14ac:dyDescent="0.25">
      <c r="A126" s="7" t="s">
        <v>245</v>
      </c>
      <c r="B126" s="16">
        <v>45655</v>
      </c>
      <c r="C126" s="8" t="str">
        <f>TRIM(Sales_Data!C126)</f>
        <v>Martinez, John</v>
      </c>
      <c r="D126" s="8" t="str">
        <f>PROPER(TRIM(Sales_Data!D126))</f>
        <v>Germany</v>
      </c>
      <c r="E126" s="8" t="s">
        <v>51</v>
      </c>
      <c r="F126" s="8" t="s">
        <v>52</v>
      </c>
      <c r="G126" s="8">
        <v>5</v>
      </c>
      <c r="H126" s="9">
        <v>31.31</v>
      </c>
      <c r="I126" s="87">
        <f>PRODUCT(Table1[[#This Row],[Quantity]],Table1[[#This Row],[Unit_Price]])</f>
        <v>156.54999999999998</v>
      </c>
      <c r="J126" s="9">
        <v>4.04</v>
      </c>
      <c r="K126" s="47">
        <v>40.01</v>
      </c>
      <c r="L126" s="8" t="s">
        <v>38</v>
      </c>
      <c r="M126" s="8" t="s">
        <v>32</v>
      </c>
      <c r="N126" s="10" t="s">
        <v>28</v>
      </c>
    </row>
    <row r="127" spans="1:14" x14ac:dyDescent="0.25">
      <c r="A127" s="7" t="s">
        <v>247</v>
      </c>
      <c r="B127" s="16">
        <v>45535</v>
      </c>
      <c r="C127" s="8" t="str">
        <f>TRIM(Sales_Data!C127)</f>
        <v>Davis, Michael</v>
      </c>
      <c r="D127" s="8" t="str">
        <f>PROPER(TRIM(Sales_Data!D127))</f>
        <v>Usa</v>
      </c>
      <c r="E127" s="8" t="s">
        <v>83</v>
      </c>
      <c r="F127" s="8" t="s">
        <v>52</v>
      </c>
      <c r="G127" s="8">
        <v>42</v>
      </c>
      <c r="H127" s="9">
        <v>36.950000000000003</v>
      </c>
      <c r="I127" s="87">
        <f>PRODUCT(Table1[[#This Row],[Quantity]],Table1[[#This Row],[Unit_Price]])</f>
        <v>1551.9</v>
      </c>
      <c r="J127" s="9">
        <v>74.260000000000005</v>
      </c>
      <c r="K127" s="47">
        <v>301.64</v>
      </c>
      <c r="L127" s="8" t="s">
        <v>26</v>
      </c>
      <c r="M127" s="8" t="s">
        <v>27</v>
      </c>
      <c r="N127" s="10" t="s">
        <v>21</v>
      </c>
    </row>
    <row r="128" spans="1:14" x14ac:dyDescent="0.25">
      <c r="A128" s="7" t="s">
        <v>248</v>
      </c>
      <c r="B128" s="16">
        <v>45682</v>
      </c>
      <c r="C128" s="8" t="str">
        <f>TRIM(Sales_Data!C128)</f>
        <v>Garcia, David</v>
      </c>
      <c r="D128" s="8" t="str">
        <f>PROPER(TRIM(Sales_Data!D128))</f>
        <v>Singapore</v>
      </c>
      <c r="E128" s="8" t="s">
        <v>43</v>
      </c>
      <c r="F128" s="8" t="s">
        <v>44</v>
      </c>
      <c r="G128" s="8">
        <v>36</v>
      </c>
      <c r="H128" s="9">
        <v>57.37</v>
      </c>
      <c r="I128" s="87">
        <f>PRODUCT(Table1[[#This Row],[Quantity]],Table1[[#This Row],[Unit_Price]])</f>
        <v>2065.3199999999997</v>
      </c>
      <c r="J128" s="9">
        <v>94.34</v>
      </c>
      <c r="K128" s="47">
        <v>530.98</v>
      </c>
      <c r="L128" s="8" t="s">
        <v>38</v>
      </c>
      <c r="M128" s="8" t="s">
        <v>20</v>
      </c>
      <c r="N128" s="10" t="s">
        <v>58</v>
      </c>
    </row>
    <row r="129" spans="1:14" x14ac:dyDescent="0.25">
      <c r="A129" s="7" t="s">
        <v>250</v>
      </c>
      <c r="B129" s="16">
        <v>45625</v>
      </c>
      <c r="C129" s="8" t="str">
        <f>TRIM(Sales_Data!C129)</f>
        <v>Miller, Daniel</v>
      </c>
      <c r="D129" s="8" t="str">
        <f>PROPER(TRIM(Sales_Data!D129))</f>
        <v>Uae</v>
      </c>
      <c r="E129" s="8" t="s">
        <v>83</v>
      </c>
      <c r="F129" s="8" t="s">
        <v>52</v>
      </c>
      <c r="G129" s="8">
        <v>13</v>
      </c>
      <c r="H129" s="9">
        <v>40.18</v>
      </c>
      <c r="I129" s="87">
        <f>PRODUCT(Table1[[#This Row],[Quantity]],Table1[[#This Row],[Unit_Price]])</f>
        <v>522.34</v>
      </c>
      <c r="J129" s="9">
        <v>37.369999999999997</v>
      </c>
      <c r="K129" s="47">
        <v>120.97</v>
      </c>
      <c r="L129" s="8" t="s">
        <v>26</v>
      </c>
      <c r="M129" s="8" t="s">
        <v>32</v>
      </c>
      <c r="N129" s="10" t="s">
        <v>58</v>
      </c>
    </row>
    <row r="130" spans="1:14" x14ac:dyDescent="0.25">
      <c r="A130" s="7" t="s">
        <v>251</v>
      </c>
      <c r="B130" s="16">
        <v>45758</v>
      </c>
      <c r="C130" s="8" t="str">
        <f>TRIM(Sales_Data!C130)</f>
        <v>Miller, Sarah</v>
      </c>
      <c r="D130" s="8" t="str">
        <f>PROPER(TRIM(Sales_Data!D130))</f>
        <v>Japan</v>
      </c>
      <c r="E130" s="8" t="s">
        <v>36</v>
      </c>
      <c r="F130" s="8" t="s">
        <v>37</v>
      </c>
      <c r="G130" s="8">
        <v>37</v>
      </c>
      <c r="H130" s="9">
        <v>39.299999999999997</v>
      </c>
      <c r="I130" s="87">
        <f>PRODUCT(Table1[[#This Row],[Quantity]],Table1[[#This Row],[Unit_Price]])</f>
        <v>1454.1</v>
      </c>
      <c r="J130" s="9">
        <v>67.08</v>
      </c>
      <c r="K130" s="47">
        <v>203.02</v>
      </c>
      <c r="L130" s="8" t="s">
        <v>38</v>
      </c>
      <c r="M130" s="8" t="s">
        <v>20</v>
      </c>
      <c r="N130" s="10" t="s">
        <v>58</v>
      </c>
    </row>
    <row r="131" spans="1:14" x14ac:dyDescent="0.25">
      <c r="A131" s="7" t="s">
        <v>252</v>
      </c>
      <c r="B131" s="16">
        <v>45760</v>
      </c>
      <c r="C131" s="8" t="str">
        <f>TRIM(Sales_Data!C131)</f>
        <v>Hernandez, Laura</v>
      </c>
      <c r="D131" s="8" t="str">
        <f>PROPER(TRIM(Sales_Data!D131))</f>
        <v>Canada</v>
      </c>
      <c r="E131" s="8" t="s">
        <v>36</v>
      </c>
      <c r="F131" s="8" t="s">
        <v>37</v>
      </c>
      <c r="G131" s="8">
        <v>17</v>
      </c>
      <c r="H131" s="9">
        <v>43.28</v>
      </c>
      <c r="I131" s="87">
        <f>PRODUCT(Table1[[#This Row],[Quantity]],Table1[[#This Row],[Unit_Price]])</f>
        <v>735.76</v>
      </c>
      <c r="J131" s="9">
        <v>50.96</v>
      </c>
      <c r="K131" s="47">
        <v>140.80000000000001</v>
      </c>
      <c r="L131" s="8" t="s">
        <v>26</v>
      </c>
      <c r="M131" s="8" t="s">
        <v>27</v>
      </c>
      <c r="N131" s="10" t="s">
        <v>21</v>
      </c>
    </row>
    <row r="132" spans="1:14" x14ac:dyDescent="0.25">
      <c r="A132" s="7" t="s">
        <v>253</v>
      </c>
      <c r="B132" s="16">
        <v>45570</v>
      </c>
      <c r="C132" s="8" t="str">
        <f>TRIM(Sales_Data!C132)</f>
        <v>Smith, Emily</v>
      </c>
      <c r="D132" s="8" t="str">
        <f>PROPER(TRIM(Sales_Data!D132))</f>
        <v>Uae</v>
      </c>
      <c r="E132" s="8" t="s">
        <v>17</v>
      </c>
      <c r="F132" s="8" t="s">
        <v>18</v>
      </c>
      <c r="G132" s="8">
        <v>22</v>
      </c>
      <c r="H132" s="9">
        <v>62.79</v>
      </c>
      <c r="I132" s="87">
        <f>PRODUCT(Table1[[#This Row],[Quantity]],Table1[[#This Row],[Unit_Price]])</f>
        <v>1381.3799999999999</v>
      </c>
      <c r="J132" s="9">
        <v>75.84</v>
      </c>
      <c r="K132" s="47">
        <v>535.54</v>
      </c>
      <c r="L132" s="8" t="s">
        <v>38</v>
      </c>
      <c r="M132" s="8" t="s">
        <v>32</v>
      </c>
      <c r="N132" s="10" t="s">
        <v>58</v>
      </c>
    </row>
    <row r="133" spans="1:14" x14ac:dyDescent="0.25">
      <c r="A133" s="7" t="s">
        <v>254</v>
      </c>
      <c r="B133" s="16">
        <v>45763</v>
      </c>
      <c r="C133" s="8" t="str">
        <f>TRIM(Sales_Data!C133)</f>
        <v>Hernandez, James</v>
      </c>
      <c r="D133" s="8" t="str">
        <f>PROPER(TRIM(Sales_Data!D133))</f>
        <v>Germany</v>
      </c>
      <c r="E133" s="8" t="s">
        <v>43</v>
      </c>
      <c r="F133" s="8" t="s">
        <v>44</v>
      </c>
      <c r="G133" s="8">
        <v>23</v>
      </c>
      <c r="H133" s="9">
        <v>56.76</v>
      </c>
      <c r="I133" s="87">
        <f>PRODUCT(Table1[[#This Row],[Quantity]],Table1[[#This Row],[Unit_Price]])</f>
        <v>1305.48</v>
      </c>
      <c r="J133" s="9">
        <v>62.93</v>
      </c>
      <c r="K133" s="47">
        <v>322.55</v>
      </c>
      <c r="L133" s="8" t="s">
        <v>38</v>
      </c>
      <c r="M133" s="8" t="s">
        <v>32</v>
      </c>
      <c r="N133" s="10" t="s">
        <v>28</v>
      </c>
    </row>
    <row r="134" spans="1:14" x14ac:dyDescent="0.25">
      <c r="A134" s="7" t="s">
        <v>255</v>
      </c>
      <c r="B134" s="16">
        <v>45484</v>
      </c>
      <c r="C134" s="8" t="str">
        <f>TRIM(Sales_Data!C134)</f>
        <v>Davis, John</v>
      </c>
      <c r="D134" s="8" t="str">
        <f>PROPER(TRIM(Sales_Data!D134))</f>
        <v>Uk</v>
      </c>
      <c r="E134" s="8" t="s">
        <v>43</v>
      </c>
      <c r="F134" s="8" t="s">
        <v>44</v>
      </c>
      <c r="G134" s="8">
        <v>22</v>
      </c>
      <c r="H134" s="9">
        <v>60.13</v>
      </c>
      <c r="I134" s="87">
        <f>PRODUCT(Table1[[#This Row],[Quantity]],Table1[[#This Row],[Unit_Price]])</f>
        <v>1322.8600000000001</v>
      </c>
      <c r="J134" s="9">
        <v>54.06</v>
      </c>
      <c r="K134" s="47">
        <v>388.8</v>
      </c>
      <c r="L134" s="8" t="s">
        <v>38</v>
      </c>
      <c r="M134" s="8" t="s">
        <v>27</v>
      </c>
      <c r="N134" s="10" t="s">
        <v>28</v>
      </c>
    </row>
    <row r="135" spans="1:14" x14ac:dyDescent="0.25">
      <c r="A135" s="7" t="s">
        <v>256</v>
      </c>
      <c r="B135" s="16">
        <v>45661</v>
      </c>
      <c r="C135" s="8" t="str">
        <f>TRIM(Sales_Data!C135)</f>
        <v>Smith, James</v>
      </c>
      <c r="D135" s="8" t="str">
        <f>PROPER(TRIM(Sales_Data!D135))</f>
        <v>Singapore</v>
      </c>
      <c r="E135" s="8" t="s">
        <v>56</v>
      </c>
      <c r="F135" s="8" t="s">
        <v>57</v>
      </c>
      <c r="G135" s="8">
        <v>21</v>
      </c>
      <c r="H135" s="9">
        <v>40.98</v>
      </c>
      <c r="I135" s="87">
        <f>PRODUCT(Table1[[#This Row],[Quantity]],Table1[[#This Row],[Unit_Price]])</f>
        <v>860.57999999999993</v>
      </c>
      <c r="J135" s="9">
        <v>37.01</v>
      </c>
      <c r="K135" s="47">
        <v>298.57</v>
      </c>
      <c r="L135" s="8" t="s">
        <v>19</v>
      </c>
      <c r="M135" s="8" t="s">
        <v>32</v>
      </c>
      <c r="N135" s="10" t="s">
        <v>58</v>
      </c>
    </row>
    <row r="136" spans="1:14" x14ac:dyDescent="0.25">
      <c r="A136" s="7" t="s">
        <v>258</v>
      </c>
      <c r="B136" s="16">
        <v>45651</v>
      </c>
      <c r="C136" s="8" t="str">
        <f>TRIM(Sales_Data!C136)</f>
        <v>Miller, David</v>
      </c>
      <c r="D136" s="8" t="str">
        <f>PROPER(TRIM(Sales_Data!D136))</f>
        <v>Brazil</v>
      </c>
      <c r="E136" s="8" t="s">
        <v>43</v>
      </c>
      <c r="F136" s="8" t="s">
        <v>44</v>
      </c>
      <c r="G136" s="8">
        <v>36</v>
      </c>
      <c r="H136" s="9">
        <v>54.6</v>
      </c>
      <c r="I136" s="87">
        <f>PRODUCT(Table1[[#This Row],[Quantity]],Table1[[#This Row],[Unit_Price]])</f>
        <v>1965.6000000000001</v>
      </c>
      <c r="J136" s="9">
        <v>150.34</v>
      </c>
      <c r="K136" s="47">
        <v>375.26</v>
      </c>
      <c r="L136" s="8" t="s">
        <v>26</v>
      </c>
      <c r="M136" s="8" t="s">
        <v>20</v>
      </c>
      <c r="N136" s="10" t="s">
        <v>39</v>
      </c>
    </row>
    <row r="137" spans="1:14" x14ac:dyDescent="0.25">
      <c r="A137" s="7" t="s">
        <v>259</v>
      </c>
      <c r="B137" s="16">
        <v>45500</v>
      </c>
      <c r="C137" s="8" t="str">
        <f>TRIM(Sales_Data!C137)</f>
        <v>Miller, Emily</v>
      </c>
      <c r="D137" s="8" t="str">
        <f>PROPER(TRIM(Sales_Data!D137))</f>
        <v>Italy</v>
      </c>
      <c r="E137" s="8" t="s">
        <v>60</v>
      </c>
      <c r="F137" s="8" t="s">
        <v>52</v>
      </c>
      <c r="G137" s="8">
        <v>1</v>
      </c>
      <c r="H137" s="9">
        <v>27.49</v>
      </c>
      <c r="I137" s="87">
        <f>PRODUCT(Table1[[#This Row],[Quantity]],Table1[[#This Row],[Unit_Price]])</f>
        <v>27.49</v>
      </c>
      <c r="J137" s="9">
        <v>0.63</v>
      </c>
      <c r="K137" s="47">
        <v>11.36</v>
      </c>
      <c r="L137" s="8" t="s">
        <v>26</v>
      </c>
      <c r="M137" s="8" t="s">
        <v>32</v>
      </c>
      <c r="N137" s="10" t="s">
        <v>28</v>
      </c>
    </row>
    <row r="138" spans="1:14" x14ac:dyDescent="0.25">
      <c r="A138" s="7" t="s">
        <v>260</v>
      </c>
      <c r="B138" s="16">
        <v>45301</v>
      </c>
      <c r="C138" s="8" t="str">
        <f>TRIM(Sales_Data!C138)</f>
        <v>Brown, Emily</v>
      </c>
      <c r="D138" s="8" t="str">
        <f>PROPER(TRIM(Sales_Data!D138))</f>
        <v>Singapore</v>
      </c>
      <c r="E138" s="8" t="s">
        <v>36</v>
      </c>
      <c r="F138" s="8" t="s">
        <v>37</v>
      </c>
      <c r="G138" s="8">
        <v>50</v>
      </c>
      <c r="H138" s="9">
        <v>41.11</v>
      </c>
      <c r="I138" s="87">
        <f>PRODUCT(Table1[[#This Row],[Quantity]],Table1[[#This Row],[Unit_Price]])</f>
        <v>2055.5</v>
      </c>
      <c r="J138" s="9">
        <v>95.61</v>
      </c>
      <c r="K138" s="47">
        <v>359.89</v>
      </c>
      <c r="L138" s="8" t="s">
        <v>38</v>
      </c>
      <c r="M138" s="8" t="s">
        <v>27</v>
      </c>
      <c r="N138" s="10" t="s">
        <v>58</v>
      </c>
    </row>
    <row r="139" spans="1:14" x14ac:dyDescent="0.25">
      <c r="A139" s="7" t="s">
        <v>262</v>
      </c>
      <c r="B139" s="16">
        <v>45653</v>
      </c>
      <c r="C139" s="8" t="str">
        <f>TRIM(Sales_Data!C139)</f>
        <v>Smith, Michael</v>
      </c>
      <c r="D139" s="8" t="str">
        <f>PROPER(TRIM(Sales_Data!D139))</f>
        <v>China</v>
      </c>
      <c r="E139" s="8" t="s">
        <v>60</v>
      </c>
      <c r="F139" s="8" t="s">
        <v>52</v>
      </c>
      <c r="G139" s="8">
        <v>18</v>
      </c>
      <c r="H139" s="9">
        <v>25.54</v>
      </c>
      <c r="I139" s="87">
        <f>PRODUCT(Table1[[#This Row],[Quantity]],Table1[[#This Row],[Unit_Price]])</f>
        <v>459.71999999999997</v>
      </c>
      <c r="J139" s="9">
        <v>27.02</v>
      </c>
      <c r="K139" s="47">
        <v>153.69999999999999</v>
      </c>
      <c r="L139" s="8" t="s">
        <v>26</v>
      </c>
      <c r="M139" s="8" t="s">
        <v>20</v>
      </c>
      <c r="N139" s="10" t="s">
        <v>58</v>
      </c>
    </row>
    <row r="140" spans="1:14" x14ac:dyDescent="0.25">
      <c r="A140" s="7" t="s">
        <v>263</v>
      </c>
      <c r="B140" s="16">
        <v>45671</v>
      </c>
      <c r="C140" s="8" t="str">
        <f>TRIM(Sales_Data!C140)</f>
        <v>Martinez, Emily</v>
      </c>
      <c r="D140" s="8" t="str">
        <f>PROPER(TRIM(Sales_Data!D140))</f>
        <v>Japan</v>
      </c>
      <c r="E140" s="8" t="s">
        <v>83</v>
      </c>
      <c r="F140" s="8" t="s">
        <v>52</v>
      </c>
      <c r="G140" s="8">
        <v>4</v>
      </c>
      <c r="H140" s="9">
        <v>47.52</v>
      </c>
      <c r="I140" s="87">
        <f>PRODUCT(Table1[[#This Row],[Quantity]],Table1[[#This Row],[Unit_Price]])</f>
        <v>190.08</v>
      </c>
      <c r="J140" s="9">
        <v>10.23</v>
      </c>
      <c r="K140" s="47">
        <v>67.849999999999994</v>
      </c>
      <c r="L140" s="8" t="s">
        <v>19</v>
      </c>
      <c r="M140" s="8" t="s">
        <v>20</v>
      </c>
      <c r="N140" s="10" t="s">
        <v>58</v>
      </c>
    </row>
    <row r="141" spans="1:14" x14ac:dyDescent="0.25">
      <c r="A141" s="7" t="s">
        <v>264</v>
      </c>
      <c r="B141" s="16">
        <v>45526</v>
      </c>
      <c r="C141" s="8" t="str">
        <f>TRIM(Sales_Data!C141)</f>
        <v>Jones, Michael</v>
      </c>
      <c r="D141" s="8" t="str">
        <f>PROPER(TRIM(Sales_Data!D141))</f>
        <v>Italy</v>
      </c>
      <c r="E141" s="8" t="s">
        <v>56</v>
      </c>
      <c r="F141" s="8" t="s">
        <v>57</v>
      </c>
      <c r="G141" s="8">
        <v>29</v>
      </c>
      <c r="H141" s="9">
        <v>30.48</v>
      </c>
      <c r="I141" s="87">
        <f>PRODUCT(Table1[[#This Row],[Quantity]],Table1[[#This Row],[Unit_Price]])</f>
        <v>883.92</v>
      </c>
      <c r="J141" s="9">
        <v>33.15</v>
      </c>
      <c r="K141" s="47">
        <v>125.77</v>
      </c>
      <c r="L141" s="8" t="s">
        <v>38</v>
      </c>
      <c r="M141" s="8" t="s">
        <v>20</v>
      </c>
      <c r="N141" s="10" t="s">
        <v>28</v>
      </c>
    </row>
    <row r="142" spans="1:14" x14ac:dyDescent="0.25">
      <c r="A142" s="7" t="s">
        <v>265</v>
      </c>
      <c r="B142" s="16">
        <v>45369</v>
      </c>
      <c r="C142" s="8" t="str">
        <f>TRIM(Sales_Data!C142)</f>
        <v>Martinez, Daniel</v>
      </c>
      <c r="D142" s="8" t="str">
        <f>PROPER(TRIM(Sales_Data!D142))</f>
        <v>South Africa</v>
      </c>
      <c r="E142" s="8" t="s">
        <v>43</v>
      </c>
      <c r="F142" s="8" t="s">
        <v>44</v>
      </c>
      <c r="G142" s="8">
        <v>27</v>
      </c>
      <c r="H142" s="9">
        <v>50.39</v>
      </c>
      <c r="I142" s="87">
        <f>PRODUCT(Table1[[#This Row],[Quantity]],Table1[[#This Row],[Unit_Price]])</f>
        <v>1360.53</v>
      </c>
      <c r="J142" s="9">
        <v>106.4</v>
      </c>
      <c r="K142" s="47">
        <v>174.13</v>
      </c>
      <c r="L142" s="8" t="s">
        <v>26</v>
      </c>
      <c r="M142" s="8" t="s">
        <v>27</v>
      </c>
      <c r="N142" s="10" t="s">
        <v>87</v>
      </c>
    </row>
    <row r="143" spans="1:14" x14ac:dyDescent="0.25">
      <c r="A143" s="7" t="s">
        <v>266</v>
      </c>
      <c r="B143" s="16">
        <v>45670</v>
      </c>
      <c r="C143" s="8" t="str">
        <f>TRIM(Sales_Data!C143)</f>
        <v>Johnson, Daniel</v>
      </c>
      <c r="D143" s="8" t="str">
        <f>PROPER(TRIM(Sales_Data!D143))</f>
        <v>Germany</v>
      </c>
      <c r="E143" s="8" t="s">
        <v>56</v>
      </c>
      <c r="F143" s="8" t="s">
        <v>57</v>
      </c>
      <c r="G143" s="8">
        <v>34</v>
      </c>
      <c r="H143" s="9">
        <v>37.68</v>
      </c>
      <c r="I143" s="87">
        <f>PRODUCT(Table1[[#This Row],[Quantity]],Table1[[#This Row],[Unit_Price]])</f>
        <v>1281.1199999999999</v>
      </c>
      <c r="J143" s="9">
        <v>54.86</v>
      </c>
      <c r="K143" s="47">
        <v>376.26</v>
      </c>
      <c r="L143" s="8" t="s">
        <v>38</v>
      </c>
      <c r="M143" s="8" t="s">
        <v>20</v>
      </c>
      <c r="N143" s="10" t="s">
        <v>28</v>
      </c>
    </row>
    <row r="144" spans="1:14" x14ac:dyDescent="0.25">
      <c r="A144" s="7" t="s">
        <v>267</v>
      </c>
      <c r="B144" s="16">
        <v>45754</v>
      </c>
      <c r="C144" s="8" t="str">
        <f>TRIM(Sales_Data!C144)</f>
        <v>Brown, James</v>
      </c>
      <c r="D144" s="8" t="str">
        <f>PROPER(TRIM(Sales_Data!D144))</f>
        <v>Japan</v>
      </c>
      <c r="E144" s="8" t="s">
        <v>56</v>
      </c>
      <c r="F144" s="8" t="s">
        <v>57</v>
      </c>
      <c r="G144" s="8">
        <v>3</v>
      </c>
      <c r="H144" s="9">
        <v>39.32</v>
      </c>
      <c r="I144" s="87">
        <f>PRODUCT(Table1[[#This Row],[Quantity]],Table1[[#This Row],[Unit_Price]])</f>
        <v>117.96000000000001</v>
      </c>
      <c r="J144" s="9">
        <v>6.97</v>
      </c>
      <c r="K144" s="47">
        <v>35.99</v>
      </c>
      <c r="L144" s="8" t="s">
        <v>26</v>
      </c>
      <c r="M144" s="8" t="s">
        <v>27</v>
      </c>
      <c r="N144" s="10" t="s">
        <v>58</v>
      </c>
    </row>
    <row r="145" spans="1:14" x14ac:dyDescent="0.25">
      <c r="A145" s="7" t="s">
        <v>269</v>
      </c>
      <c r="B145" s="16">
        <v>45655</v>
      </c>
      <c r="C145" s="8" t="str">
        <f>TRIM(Sales_Data!C145)</f>
        <v>Hernandez, Daniel</v>
      </c>
      <c r="D145" s="8" t="str">
        <f>PROPER(TRIM(Sales_Data!D145))</f>
        <v>Canada</v>
      </c>
      <c r="E145" s="8" t="s">
        <v>63</v>
      </c>
      <c r="F145" s="8" t="s">
        <v>37</v>
      </c>
      <c r="G145" s="8">
        <v>24</v>
      </c>
      <c r="H145" s="9">
        <v>18</v>
      </c>
      <c r="I145" s="87">
        <f>PRODUCT(Table1[[#This Row],[Quantity]],Table1[[#This Row],[Unit_Price]])</f>
        <v>432</v>
      </c>
      <c r="J145" s="9">
        <v>22.68</v>
      </c>
      <c r="K145" s="47">
        <v>103.32</v>
      </c>
      <c r="L145" s="8" t="s">
        <v>19</v>
      </c>
      <c r="M145" s="8" t="s">
        <v>32</v>
      </c>
      <c r="N145" s="10" t="s">
        <v>21</v>
      </c>
    </row>
    <row r="146" spans="1:14" x14ac:dyDescent="0.25">
      <c r="A146" s="7" t="s">
        <v>270</v>
      </c>
      <c r="B146" s="16">
        <v>45636</v>
      </c>
      <c r="C146" s="8" t="str">
        <f>TRIM(Sales_Data!C146)</f>
        <v>Jones, Laura</v>
      </c>
      <c r="D146" s="8" t="str">
        <f>PROPER(TRIM(Sales_Data!D146))</f>
        <v>Uk</v>
      </c>
      <c r="E146" s="8" t="s">
        <v>51</v>
      </c>
      <c r="F146" s="8" t="s">
        <v>52</v>
      </c>
      <c r="G146" s="8">
        <v>5</v>
      </c>
      <c r="H146" s="9">
        <v>36.43</v>
      </c>
      <c r="I146" s="87">
        <f>PRODUCT(Table1[[#This Row],[Quantity]],Table1[[#This Row],[Unit_Price]])</f>
        <v>182.15</v>
      </c>
      <c r="J146" s="9">
        <v>7.82</v>
      </c>
      <c r="K146" s="47">
        <v>61.83</v>
      </c>
      <c r="L146" s="8" t="s">
        <v>19</v>
      </c>
      <c r="M146" s="8" t="s">
        <v>32</v>
      </c>
      <c r="N146" s="10" t="s">
        <v>28</v>
      </c>
    </row>
    <row r="147" spans="1:14" x14ac:dyDescent="0.25">
      <c r="A147" s="7" t="s">
        <v>271</v>
      </c>
      <c r="B147" s="16">
        <v>45492</v>
      </c>
      <c r="C147" s="8" t="str">
        <f>TRIM(Sales_Data!C147)</f>
        <v>Miller, Laura</v>
      </c>
      <c r="D147" s="8" t="str">
        <f>PROPER(TRIM(Sales_Data!D147))</f>
        <v>China</v>
      </c>
      <c r="E147" s="8" t="s">
        <v>51</v>
      </c>
      <c r="F147" s="8" t="s">
        <v>52</v>
      </c>
      <c r="G147" s="8">
        <v>27</v>
      </c>
      <c r="H147" s="9">
        <v>38.39</v>
      </c>
      <c r="I147" s="87">
        <f>PRODUCT(Table1[[#This Row],[Quantity]],Table1[[#This Row],[Unit_Price]])</f>
        <v>1036.53</v>
      </c>
      <c r="J147" s="9">
        <v>28.6</v>
      </c>
      <c r="K147" s="47">
        <v>400.43</v>
      </c>
      <c r="L147" s="8" t="s">
        <v>26</v>
      </c>
      <c r="M147" s="8" t="s">
        <v>20</v>
      </c>
      <c r="N147" s="10" t="s">
        <v>58</v>
      </c>
    </row>
    <row r="148" spans="1:14" x14ac:dyDescent="0.25">
      <c r="A148" s="7" t="s">
        <v>272</v>
      </c>
      <c r="B148" s="16">
        <v>45435</v>
      </c>
      <c r="C148" s="8" t="str">
        <f>TRIM(Sales_Data!C148)</f>
        <v>Jones, David</v>
      </c>
      <c r="D148" s="8" t="str">
        <f>PROPER(TRIM(Sales_Data!D148))</f>
        <v>Brazil</v>
      </c>
      <c r="E148" s="8" t="s">
        <v>83</v>
      </c>
      <c r="F148" s="8" t="s">
        <v>52</v>
      </c>
      <c r="G148" s="8">
        <v>10</v>
      </c>
      <c r="H148" s="9">
        <v>47.5</v>
      </c>
      <c r="I148" s="87">
        <f>PRODUCT(Table1[[#This Row],[Quantity]],Table1[[#This Row],[Unit_Price]])</f>
        <v>475</v>
      </c>
      <c r="J148" s="9">
        <v>15.95</v>
      </c>
      <c r="K148" s="47">
        <v>179.05</v>
      </c>
      <c r="L148" s="8" t="s">
        <v>19</v>
      </c>
      <c r="M148" s="8" t="s">
        <v>20</v>
      </c>
      <c r="N148" s="10" t="s">
        <v>39</v>
      </c>
    </row>
    <row r="149" spans="1:14" x14ac:dyDescent="0.25">
      <c r="A149" s="7" t="s">
        <v>273</v>
      </c>
      <c r="B149" s="16">
        <v>45458</v>
      </c>
      <c r="C149" s="8" t="str">
        <f>TRIM(Sales_Data!C149)</f>
        <v>Johnson, Sophia</v>
      </c>
      <c r="D149" s="8" t="str">
        <f>PROPER(TRIM(Sales_Data!D149))</f>
        <v>Uae</v>
      </c>
      <c r="E149" s="8" t="s">
        <v>36</v>
      </c>
      <c r="F149" s="8" t="s">
        <v>37</v>
      </c>
      <c r="G149" s="8">
        <v>47</v>
      </c>
      <c r="H149" s="9">
        <v>50.13</v>
      </c>
      <c r="I149" s="87">
        <f>PRODUCT(Table1[[#This Row],[Quantity]],Table1[[#This Row],[Unit_Price]])</f>
        <v>2356.11</v>
      </c>
      <c r="J149" s="9">
        <v>166.22</v>
      </c>
      <c r="K149" s="47">
        <v>685.89</v>
      </c>
      <c r="L149" s="8" t="s">
        <v>19</v>
      </c>
      <c r="M149" s="8" t="s">
        <v>20</v>
      </c>
      <c r="N149" s="10" t="s">
        <v>58</v>
      </c>
    </row>
    <row r="150" spans="1:14" x14ac:dyDescent="0.25">
      <c r="A150" s="7" t="s">
        <v>275</v>
      </c>
      <c r="B150" s="16">
        <v>45573</v>
      </c>
      <c r="C150" s="8" t="str">
        <f>TRIM(Sales_Data!C150)</f>
        <v>Davis, Sophia</v>
      </c>
      <c r="D150" s="8" t="str">
        <f>PROPER(TRIM(Sales_Data!D150))</f>
        <v>Mexico</v>
      </c>
      <c r="E150" s="8" t="s">
        <v>83</v>
      </c>
      <c r="F150" s="8" t="s">
        <v>52</v>
      </c>
      <c r="G150" s="8">
        <v>47</v>
      </c>
      <c r="H150" s="9">
        <v>42.25</v>
      </c>
      <c r="I150" s="87">
        <f>PRODUCT(Table1[[#This Row],[Quantity]],Table1[[#This Row],[Unit_Price]])</f>
        <v>1985.75</v>
      </c>
      <c r="J150" s="9">
        <v>116.75</v>
      </c>
      <c r="K150" s="47">
        <v>553</v>
      </c>
      <c r="L150" s="8" t="s">
        <v>26</v>
      </c>
      <c r="M150" s="8" t="s">
        <v>20</v>
      </c>
      <c r="N150" s="10" t="s">
        <v>21</v>
      </c>
    </row>
    <row r="151" spans="1:14" x14ac:dyDescent="0.25">
      <c r="A151" s="7" t="s">
        <v>277</v>
      </c>
      <c r="B151" s="16">
        <v>45378</v>
      </c>
      <c r="C151" s="8" t="str">
        <f>TRIM(Sales_Data!C151)</f>
        <v>Jones, Daniel</v>
      </c>
      <c r="D151" s="8" t="str">
        <f>PROPER(TRIM(Sales_Data!D151))</f>
        <v>China</v>
      </c>
      <c r="E151" s="8" t="s">
        <v>56</v>
      </c>
      <c r="F151" s="8" t="s">
        <v>57</v>
      </c>
      <c r="G151" s="8">
        <v>18</v>
      </c>
      <c r="H151" s="9">
        <v>38.26</v>
      </c>
      <c r="I151" s="87">
        <f>PRODUCT(Table1[[#This Row],[Quantity]],Table1[[#This Row],[Unit_Price]])</f>
        <v>688.68</v>
      </c>
      <c r="J151" s="9">
        <v>18.78</v>
      </c>
      <c r="K151" s="47">
        <v>219.9</v>
      </c>
      <c r="L151" s="8" t="s">
        <v>26</v>
      </c>
      <c r="M151" s="8" t="s">
        <v>20</v>
      </c>
      <c r="N151" s="10" t="s">
        <v>58</v>
      </c>
    </row>
    <row r="152" spans="1:14" x14ac:dyDescent="0.25">
      <c r="A152" s="7" t="s">
        <v>279</v>
      </c>
      <c r="B152" s="16">
        <v>45351</v>
      </c>
      <c r="C152" s="8" t="str">
        <f>TRIM(Sales_Data!C152)</f>
        <v>Miller, Michael</v>
      </c>
      <c r="D152" s="8" t="str">
        <f>PROPER(TRIM(Sales_Data!D152))</f>
        <v>Singapore</v>
      </c>
      <c r="E152" s="8" t="s">
        <v>83</v>
      </c>
      <c r="F152" s="8" t="s">
        <v>52</v>
      </c>
      <c r="G152" s="8">
        <v>31</v>
      </c>
      <c r="H152" s="9">
        <v>46.66</v>
      </c>
      <c r="I152" s="87">
        <f>PRODUCT(Table1[[#This Row],[Quantity]],Table1[[#This Row],[Unit_Price]])</f>
        <v>1446.4599999999998</v>
      </c>
      <c r="J152" s="9">
        <v>109.24</v>
      </c>
      <c r="K152" s="47">
        <v>469.22</v>
      </c>
      <c r="L152" s="8" t="s">
        <v>19</v>
      </c>
      <c r="M152" s="8" t="s">
        <v>32</v>
      </c>
      <c r="N152" s="10" t="s">
        <v>58</v>
      </c>
    </row>
    <row r="153" spans="1:14" x14ac:dyDescent="0.25">
      <c r="A153" s="7" t="s">
        <v>280</v>
      </c>
      <c r="B153" s="16">
        <v>45354</v>
      </c>
      <c r="C153" s="8" t="str">
        <f>TRIM(Sales_Data!C153)</f>
        <v>Davis, Laura</v>
      </c>
      <c r="D153" s="8" t="str">
        <f>PROPER(TRIM(Sales_Data!D153))</f>
        <v>South Africa</v>
      </c>
      <c r="E153" s="8" t="s">
        <v>36</v>
      </c>
      <c r="F153" s="8" t="s">
        <v>37</v>
      </c>
      <c r="G153" s="8">
        <v>41</v>
      </c>
      <c r="H153" s="9">
        <v>52.65</v>
      </c>
      <c r="I153" s="87">
        <f>PRODUCT(Table1[[#This Row],[Quantity]],Table1[[#This Row],[Unit_Price]])</f>
        <v>2158.65</v>
      </c>
      <c r="J153" s="9">
        <v>110.1</v>
      </c>
      <c r="K153" s="47">
        <v>736.55</v>
      </c>
      <c r="L153" s="8" t="s">
        <v>26</v>
      </c>
      <c r="M153" s="8" t="s">
        <v>32</v>
      </c>
      <c r="N153" s="10" t="s">
        <v>87</v>
      </c>
    </row>
    <row r="154" spans="1:14" x14ac:dyDescent="0.25">
      <c r="A154" s="7" t="s">
        <v>282</v>
      </c>
      <c r="B154" s="16">
        <v>45377</v>
      </c>
      <c r="C154" s="8" t="str">
        <f>TRIM(Sales_Data!C154)</f>
        <v>Williams, Laura</v>
      </c>
      <c r="D154" s="8" t="str">
        <f>PROPER(TRIM(Sales_Data!D154))</f>
        <v>Japan</v>
      </c>
      <c r="E154" s="8" t="s">
        <v>25</v>
      </c>
      <c r="F154" s="8" t="s">
        <v>18</v>
      </c>
      <c r="G154" s="8">
        <v>28</v>
      </c>
      <c r="H154" s="9">
        <v>22.66</v>
      </c>
      <c r="I154" s="87">
        <f>PRODUCT(Table1[[#This Row],[Quantity]],Table1[[#This Row],[Unit_Price]])</f>
        <v>634.48</v>
      </c>
      <c r="J154" s="9">
        <v>15.55</v>
      </c>
      <c r="K154" s="47">
        <v>114.93</v>
      </c>
      <c r="L154" s="8" t="s">
        <v>38</v>
      </c>
      <c r="M154" s="8" t="s">
        <v>20</v>
      </c>
      <c r="N154" s="10" t="s">
        <v>58</v>
      </c>
    </row>
    <row r="155" spans="1:14" x14ac:dyDescent="0.25">
      <c r="A155" s="7" t="s">
        <v>283</v>
      </c>
      <c r="B155" s="16">
        <v>45697</v>
      </c>
      <c r="C155" s="8" t="str">
        <f>TRIM(Sales_Data!C155)</f>
        <v>Brown, James</v>
      </c>
      <c r="D155" s="8" t="str">
        <f>PROPER(TRIM(Sales_Data!D155))</f>
        <v>Mexico</v>
      </c>
      <c r="E155" s="8" t="s">
        <v>60</v>
      </c>
      <c r="F155" s="8" t="s">
        <v>52</v>
      </c>
      <c r="G155" s="8">
        <v>48</v>
      </c>
      <c r="H155" s="9">
        <v>25.07</v>
      </c>
      <c r="I155" s="87">
        <f>PRODUCT(Table1[[#This Row],[Quantity]],Table1[[#This Row],[Unit_Price]])</f>
        <v>1203.3600000000001</v>
      </c>
      <c r="J155" s="9">
        <v>29.93</v>
      </c>
      <c r="K155" s="47">
        <v>429.43</v>
      </c>
      <c r="L155" s="8" t="s">
        <v>26</v>
      </c>
      <c r="M155" s="8" t="s">
        <v>27</v>
      </c>
      <c r="N155" s="10" t="s">
        <v>21</v>
      </c>
    </row>
    <row r="156" spans="1:14" x14ac:dyDescent="0.25">
      <c r="A156" s="7" t="s">
        <v>284</v>
      </c>
      <c r="B156" s="16">
        <v>45418</v>
      </c>
      <c r="C156" s="8" t="str">
        <f>TRIM(Sales_Data!C156)</f>
        <v>Miller, Daniel</v>
      </c>
      <c r="D156" s="8" t="str">
        <f>PROPER(TRIM(Sales_Data!D156))</f>
        <v>Brazil</v>
      </c>
      <c r="E156" s="8" t="s">
        <v>25</v>
      </c>
      <c r="F156" s="8" t="s">
        <v>18</v>
      </c>
      <c r="G156" s="8">
        <v>31</v>
      </c>
      <c r="H156" s="9">
        <v>30.53</v>
      </c>
      <c r="I156" s="87">
        <f>PRODUCT(Table1[[#This Row],[Quantity]],Table1[[#This Row],[Unit_Price]])</f>
        <v>946.43000000000006</v>
      </c>
      <c r="J156" s="9">
        <v>72.150000000000006</v>
      </c>
      <c r="K156" s="47">
        <v>316.27999999999997</v>
      </c>
      <c r="L156" s="8" t="s">
        <v>38</v>
      </c>
      <c r="M156" s="8" t="s">
        <v>27</v>
      </c>
      <c r="N156" s="10" t="s">
        <v>39</v>
      </c>
    </row>
    <row r="157" spans="1:14" x14ac:dyDescent="0.25">
      <c r="A157" s="7" t="s">
        <v>285</v>
      </c>
      <c r="B157" s="16">
        <v>45629</v>
      </c>
      <c r="C157" s="8" t="str">
        <f>TRIM(Sales_Data!C157)</f>
        <v>Hernandez, Michael</v>
      </c>
      <c r="D157" s="8" t="str">
        <f>PROPER(TRIM(Sales_Data!D157))</f>
        <v>South Africa</v>
      </c>
      <c r="E157" s="8" t="s">
        <v>51</v>
      </c>
      <c r="F157" s="8" t="s">
        <v>52</v>
      </c>
      <c r="G157" s="8">
        <v>33</v>
      </c>
      <c r="H157" s="9">
        <v>31</v>
      </c>
      <c r="I157" s="87">
        <f>PRODUCT(Table1[[#This Row],[Quantity]],Table1[[#This Row],[Unit_Price]])</f>
        <v>1023</v>
      </c>
      <c r="J157" s="9">
        <v>63.94</v>
      </c>
      <c r="K157" s="47">
        <v>216.56</v>
      </c>
      <c r="L157" s="8" t="s">
        <v>26</v>
      </c>
      <c r="M157" s="8" t="s">
        <v>20</v>
      </c>
      <c r="N157" s="10" t="s">
        <v>87</v>
      </c>
    </row>
    <row r="158" spans="1:14" x14ac:dyDescent="0.25">
      <c r="A158" s="7" t="s">
        <v>287</v>
      </c>
      <c r="B158" s="16">
        <v>45582</v>
      </c>
      <c r="C158" s="8" t="str">
        <f>TRIM(Sales_Data!C158)</f>
        <v>Smith, Michael</v>
      </c>
      <c r="D158" s="8" t="str">
        <f>PROPER(TRIM(Sales_Data!D158))</f>
        <v>Uk</v>
      </c>
      <c r="E158" s="8" t="s">
        <v>60</v>
      </c>
      <c r="F158" s="8" t="s">
        <v>52</v>
      </c>
      <c r="G158" s="8">
        <v>32</v>
      </c>
      <c r="H158" s="9">
        <v>20.86</v>
      </c>
      <c r="I158" s="87">
        <f>PRODUCT(Table1[[#This Row],[Quantity]],Table1[[#This Row],[Unit_Price]])</f>
        <v>667.52</v>
      </c>
      <c r="J158" s="9">
        <v>21.62</v>
      </c>
      <c r="K158" s="47">
        <v>149.9</v>
      </c>
      <c r="L158" s="8" t="s">
        <v>38</v>
      </c>
      <c r="M158" s="8" t="s">
        <v>32</v>
      </c>
      <c r="N158" s="10" t="s">
        <v>28</v>
      </c>
    </row>
    <row r="159" spans="1:14" x14ac:dyDescent="0.25">
      <c r="A159" s="7" t="s">
        <v>288</v>
      </c>
      <c r="B159" s="16">
        <v>45549</v>
      </c>
      <c r="C159" s="8" t="str">
        <f>TRIM(Sales_Data!C159)</f>
        <v>Brown, Sarah</v>
      </c>
      <c r="D159" s="8" t="str">
        <f>PROPER(TRIM(Sales_Data!D159))</f>
        <v>Germany</v>
      </c>
      <c r="E159" s="8" t="s">
        <v>48</v>
      </c>
      <c r="F159" s="8" t="s">
        <v>37</v>
      </c>
      <c r="G159" s="8">
        <v>18</v>
      </c>
      <c r="H159" s="9">
        <v>24.61</v>
      </c>
      <c r="I159" s="87">
        <f>PRODUCT(Table1[[#This Row],[Quantity]],Table1[[#This Row],[Unit_Price]])</f>
        <v>442.98</v>
      </c>
      <c r="J159" s="9">
        <v>26.99</v>
      </c>
      <c r="K159" s="47">
        <v>55.99</v>
      </c>
      <c r="L159" s="8" t="s">
        <v>38</v>
      </c>
      <c r="M159" s="8" t="s">
        <v>20</v>
      </c>
      <c r="N159" s="10" t="s">
        <v>28</v>
      </c>
    </row>
    <row r="160" spans="1:14" x14ac:dyDescent="0.25">
      <c r="A160" s="7" t="s">
        <v>289</v>
      </c>
      <c r="B160" s="16">
        <v>45580</v>
      </c>
      <c r="C160" s="8" t="str">
        <f>TRIM(Sales_Data!C160)</f>
        <v>Williams, Daniel</v>
      </c>
      <c r="D160" s="8" t="str">
        <f>PROPER(TRIM(Sales_Data!D160))</f>
        <v>Singapore</v>
      </c>
      <c r="E160" s="8" t="s">
        <v>43</v>
      </c>
      <c r="F160" s="8" t="s">
        <v>44</v>
      </c>
      <c r="G160" s="8">
        <v>18</v>
      </c>
      <c r="H160" s="9">
        <v>64.83</v>
      </c>
      <c r="I160" s="87">
        <f>PRODUCT(Table1[[#This Row],[Quantity]],Table1[[#This Row],[Unit_Price]])</f>
        <v>1166.94</v>
      </c>
      <c r="J160" s="9">
        <v>34.28</v>
      </c>
      <c r="K160" s="47">
        <v>412.66</v>
      </c>
      <c r="L160" s="8" t="s">
        <v>38</v>
      </c>
      <c r="M160" s="8" t="s">
        <v>20</v>
      </c>
      <c r="N160" s="10" t="s">
        <v>58</v>
      </c>
    </row>
    <row r="161" spans="1:14" x14ac:dyDescent="0.25">
      <c r="A161" s="7" t="s">
        <v>290</v>
      </c>
      <c r="B161" s="16">
        <v>45476</v>
      </c>
      <c r="C161" s="8" t="str">
        <f>TRIM(Sales_Data!C161)</f>
        <v>Brown, John</v>
      </c>
      <c r="D161" s="8" t="str">
        <f>PROPER(TRIM(Sales_Data!D161))</f>
        <v>Mexico</v>
      </c>
      <c r="E161" s="8" t="s">
        <v>48</v>
      </c>
      <c r="F161" s="8" t="s">
        <v>37</v>
      </c>
      <c r="G161" s="8">
        <v>49</v>
      </c>
      <c r="H161" s="9">
        <v>29.52</v>
      </c>
      <c r="I161" s="87">
        <f>PRODUCT(Table1[[#This Row],[Quantity]],Table1[[#This Row],[Unit_Price]])</f>
        <v>1446.48</v>
      </c>
      <c r="J161" s="9">
        <v>104.7</v>
      </c>
      <c r="K161" s="47">
        <v>361.78</v>
      </c>
      <c r="L161" s="8" t="s">
        <v>38</v>
      </c>
      <c r="M161" s="8" t="s">
        <v>32</v>
      </c>
      <c r="N161" s="10" t="s">
        <v>21</v>
      </c>
    </row>
    <row r="162" spans="1:14" x14ac:dyDescent="0.25">
      <c r="A162" s="7" t="s">
        <v>292</v>
      </c>
      <c r="B162" s="16">
        <v>45474</v>
      </c>
      <c r="C162" s="8" t="str">
        <f>TRIM(Sales_Data!C162)</f>
        <v>Martinez, David</v>
      </c>
      <c r="D162" s="8" t="str">
        <f>PROPER(TRIM(Sales_Data!D162))</f>
        <v>South Africa</v>
      </c>
      <c r="E162" s="8" t="s">
        <v>48</v>
      </c>
      <c r="F162" s="8" t="s">
        <v>37</v>
      </c>
      <c r="G162" s="8">
        <v>10</v>
      </c>
      <c r="H162" s="9">
        <v>26.73</v>
      </c>
      <c r="I162" s="87">
        <f>PRODUCT(Table1[[#This Row],[Quantity]],Table1[[#This Row],[Unit_Price]])</f>
        <v>267.3</v>
      </c>
      <c r="J162" s="9">
        <v>10.210000000000001</v>
      </c>
      <c r="K162" s="47">
        <v>57.09</v>
      </c>
      <c r="L162" s="8" t="s">
        <v>38</v>
      </c>
      <c r="M162" s="8" t="s">
        <v>32</v>
      </c>
      <c r="N162" s="10" t="s">
        <v>87</v>
      </c>
    </row>
    <row r="163" spans="1:14" x14ac:dyDescent="0.25">
      <c r="A163" s="7" t="s">
        <v>294</v>
      </c>
      <c r="B163" s="16">
        <v>45323</v>
      </c>
      <c r="C163" s="8" t="str">
        <f>TRIM(Sales_Data!C163)</f>
        <v>Martinez, Laura</v>
      </c>
      <c r="D163" s="8" t="str">
        <f>PROPER(TRIM(Sales_Data!D163))</f>
        <v>Uk</v>
      </c>
      <c r="E163" s="8" t="s">
        <v>36</v>
      </c>
      <c r="F163" s="8" t="s">
        <v>37</v>
      </c>
      <c r="G163" s="8">
        <v>10</v>
      </c>
      <c r="H163" s="9">
        <v>54.45</v>
      </c>
      <c r="I163" s="87">
        <f>PRODUCT(Table1[[#This Row],[Quantity]],Table1[[#This Row],[Unit_Price]])</f>
        <v>544.5</v>
      </c>
      <c r="J163" s="9">
        <v>16.59</v>
      </c>
      <c r="K163" s="47">
        <v>207.91</v>
      </c>
      <c r="L163" s="8" t="s">
        <v>19</v>
      </c>
      <c r="M163" s="8" t="s">
        <v>20</v>
      </c>
      <c r="N163" s="10" t="s">
        <v>28</v>
      </c>
    </row>
    <row r="164" spans="1:14" x14ac:dyDescent="0.25">
      <c r="A164" s="7" t="s">
        <v>295</v>
      </c>
      <c r="B164" s="16">
        <v>45466</v>
      </c>
      <c r="C164" s="8" t="str">
        <f>TRIM(Sales_Data!C164)</f>
        <v>Martinez, Laura</v>
      </c>
      <c r="D164" s="8" t="str">
        <f>PROPER(TRIM(Sales_Data!D164))</f>
        <v>India</v>
      </c>
      <c r="E164" s="8" t="s">
        <v>25</v>
      </c>
      <c r="F164" s="8" t="s">
        <v>18</v>
      </c>
      <c r="G164" s="8">
        <v>46</v>
      </c>
      <c r="H164" s="9">
        <v>30.06</v>
      </c>
      <c r="I164" s="87">
        <f>PRODUCT(Table1[[#This Row],[Quantity]],Table1[[#This Row],[Unit_Price]])</f>
        <v>1382.76</v>
      </c>
      <c r="J164" s="9">
        <v>77.17</v>
      </c>
      <c r="K164" s="47">
        <v>477.59</v>
      </c>
      <c r="L164" s="8" t="s">
        <v>26</v>
      </c>
      <c r="M164" s="8" t="s">
        <v>27</v>
      </c>
      <c r="N164" s="10" t="s">
        <v>58</v>
      </c>
    </row>
    <row r="165" spans="1:14" x14ac:dyDescent="0.25">
      <c r="A165" s="7" t="s">
        <v>296</v>
      </c>
      <c r="B165" s="16">
        <v>45350</v>
      </c>
      <c r="C165" s="8" t="str">
        <f>TRIM(Sales_Data!C165)</f>
        <v>Johnson, Emily</v>
      </c>
      <c r="D165" s="8" t="str">
        <f>PROPER(TRIM(Sales_Data!D165))</f>
        <v>Mexico</v>
      </c>
      <c r="E165" s="8" t="s">
        <v>60</v>
      </c>
      <c r="F165" s="8" t="s">
        <v>52</v>
      </c>
      <c r="G165" s="8">
        <v>25</v>
      </c>
      <c r="H165" s="9">
        <v>21.52</v>
      </c>
      <c r="I165" s="87">
        <f>PRODUCT(Table1[[#This Row],[Quantity]],Table1[[#This Row],[Unit_Price]])</f>
        <v>538</v>
      </c>
      <c r="J165" s="9">
        <v>26.73</v>
      </c>
      <c r="K165" s="47">
        <v>123.77</v>
      </c>
      <c r="L165" s="8" t="s">
        <v>26</v>
      </c>
      <c r="M165" s="8" t="s">
        <v>20</v>
      </c>
      <c r="N165" s="10" t="s">
        <v>21</v>
      </c>
    </row>
    <row r="166" spans="1:14" x14ac:dyDescent="0.25">
      <c r="A166" s="7" t="s">
        <v>298</v>
      </c>
      <c r="B166" s="16">
        <v>45334</v>
      </c>
      <c r="C166" s="8" t="str">
        <f>TRIM(Sales_Data!C166)</f>
        <v>Garcia, Emma</v>
      </c>
      <c r="D166" s="8" t="str">
        <f>PROPER(TRIM(Sales_Data!D166))</f>
        <v>India</v>
      </c>
      <c r="E166" s="8" t="s">
        <v>25</v>
      </c>
      <c r="F166" s="8" t="s">
        <v>18</v>
      </c>
      <c r="G166" s="8">
        <v>5</v>
      </c>
      <c r="H166" s="9">
        <v>26.25</v>
      </c>
      <c r="I166" s="87">
        <f>PRODUCT(Table1[[#This Row],[Quantity]],Table1[[#This Row],[Unit_Price]])</f>
        <v>131.25</v>
      </c>
      <c r="J166" s="9">
        <v>3.35</v>
      </c>
      <c r="K166" s="47">
        <v>37.9</v>
      </c>
      <c r="L166" s="8" t="s">
        <v>26</v>
      </c>
      <c r="M166" s="8" t="s">
        <v>27</v>
      </c>
      <c r="N166" s="10" t="s">
        <v>58</v>
      </c>
    </row>
    <row r="167" spans="1:14" x14ac:dyDescent="0.25">
      <c r="A167" s="7" t="s">
        <v>299</v>
      </c>
      <c r="B167" s="16">
        <v>45450</v>
      </c>
      <c r="C167" s="8" t="str">
        <f>TRIM(Sales_Data!C167)</f>
        <v>Garcia, John</v>
      </c>
      <c r="D167" s="8" t="str">
        <f>PROPER(TRIM(Sales_Data!D167))</f>
        <v>Uk</v>
      </c>
      <c r="E167" s="8" t="s">
        <v>56</v>
      </c>
      <c r="F167" s="8" t="s">
        <v>57</v>
      </c>
      <c r="G167" s="8">
        <v>10</v>
      </c>
      <c r="H167" s="9">
        <v>31.48</v>
      </c>
      <c r="I167" s="87">
        <f>PRODUCT(Table1[[#This Row],[Quantity]],Table1[[#This Row],[Unit_Price]])</f>
        <v>314.8</v>
      </c>
      <c r="J167" s="9">
        <v>10.23</v>
      </c>
      <c r="K167" s="47">
        <v>54.57</v>
      </c>
      <c r="L167" s="8" t="s">
        <v>38</v>
      </c>
      <c r="M167" s="8" t="s">
        <v>32</v>
      </c>
      <c r="N167" s="10" t="s">
        <v>28</v>
      </c>
    </row>
    <row r="168" spans="1:14" x14ac:dyDescent="0.25">
      <c r="A168" s="7" t="s">
        <v>301</v>
      </c>
      <c r="B168" s="16">
        <v>45525</v>
      </c>
      <c r="C168" s="8" t="str">
        <f>TRIM(Sales_Data!C168)</f>
        <v>Smith, Sophia</v>
      </c>
      <c r="D168" s="8" t="str">
        <f>PROPER(TRIM(Sales_Data!D168))</f>
        <v>Brazil</v>
      </c>
      <c r="E168" s="8" t="s">
        <v>48</v>
      </c>
      <c r="F168" s="8" t="s">
        <v>37</v>
      </c>
      <c r="G168" s="8">
        <v>21</v>
      </c>
      <c r="H168" s="9">
        <v>30.91</v>
      </c>
      <c r="I168" s="87">
        <f>PRODUCT(Table1[[#This Row],[Quantity]],Table1[[#This Row],[Unit_Price]])</f>
        <v>649.11</v>
      </c>
      <c r="J168" s="9">
        <v>38.42</v>
      </c>
      <c r="K168" s="47">
        <v>190.69</v>
      </c>
      <c r="L168" s="8" t="s">
        <v>26</v>
      </c>
      <c r="M168" s="8" t="s">
        <v>32</v>
      </c>
      <c r="N168" s="10" t="s">
        <v>39</v>
      </c>
    </row>
    <row r="169" spans="1:14" x14ac:dyDescent="0.25">
      <c r="A169" s="7" t="s">
        <v>302</v>
      </c>
      <c r="B169" s="16">
        <v>45788</v>
      </c>
      <c r="C169" s="8" t="str">
        <f>TRIM(Sales_Data!C169)</f>
        <v>Jones, Emily</v>
      </c>
      <c r="D169" s="8" t="str">
        <f>PROPER(TRIM(Sales_Data!D169))</f>
        <v>Singapore</v>
      </c>
      <c r="E169" s="8" t="s">
        <v>63</v>
      </c>
      <c r="F169" s="8" t="s">
        <v>37</v>
      </c>
      <c r="G169" s="8">
        <v>29</v>
      </c>
      <c r="H169" s="9">
        <v>18.47</v>
      </c>
      <c r="I169" s="87">
        <f>PRODUCT(Table1[[#This Row],[Quantity]],Table1[[#This Row],[Unit_Price]])</f>
        <v>535.63</v>
      </c>
      <c r="J169" s="9">
        <v>13.21</v>
      </c>
      <c r="K169" s="47">
        <v>152.66999999999999</v>
      </c>
      <c r="L169" s="8" t="s">
        <v>19</v>
      </c>
      <c r="M169" s="8" t="s">
        <v>20</v>
      </c>
      <c r="N169" s="10" t="s">
        <v>58</v>
      </c>
    </row>
    <row r="170" spans="1:14" x14ac:dyDescent="0.25">
      <c r="A170" s="7" t="s">
        <v>304</v>
      </c>
      <c r="B170" s="16">
        <v>45616</v>
      </c>
      <c r="C170" s="8" t="str">
        <f>TRIM(Sales_Data!C170)</f>
        <v>Williams, Laura</v>
      </c>
      <c r="D170" s="8" t="str">
        <f>PROPER(TRIM(Sales_Data!D170))</f>
        <v>Mexico</v>
      </c>
      <c r="E170" s="8" t="s">
        <v>17</v>
      </c>
      <c r="F170" s="8" t="s">
        <v>18</v>
      </c>
      <c r="G170" s="8">
        <v>36</v>
      </c>
      <c r="H170" s="9">
        <v>44.79</v>
      </c>
      <c r="I170" s="87">
        <f>PRODUCT(Table1[[#This Row],[Quantity]],Table1[[#This Row],[Unit_Price]])</f>
        <v>1612.44</v>
      </c>
      <c r="J170" s="9">
        <v>68.599999999999994</v>
      </c>
      <c r="K170" s="47">
        <v>283.83999999999997</v>
      </c>
      <c r="L170" s="8" t="s">
        <v>38</v>
      </c>
      <c r="M170" s="8" t="s">
        <v>27</v>
      </c>
      <c r="N170" s="10" t="s">
        <v>21</v>
      </c>
    </row>
    <row r="171" spans="1:14" x14ac:dyDescent="0.25">
      <c r="A171" s="7" t="s">
        <v>305</v>
      </c>
      <c r="B171" s="16">
        <v>45405</v>
      </c>
      <c r="C171" s="8" t="str">
        <f>TRIM(Sales_Data!C171)</f>
        <v>Miller, James</v>
      </c>
      <c r="D171" s="8" t="str">
        <f>PROPER(TRIM(Sales_Data!D171))</f>
        <v>Brazil</v>
      </c>
      <c r="E171" s="8" t="s">
        <v>60</v>
      </c>
      <c r="F171" s="8" t="s">
        <v>52</v>
      </c>
      <c r="G171" s="8">
        <v>3</v>
      </c>
      <c r="H171" s="9">
        <v>18.86</v>
      </c>
      <c r="I171" s="87">
        <f>PRODUCT(Table1[[#This Row],[Quantity]],Table1[[#This Row],[Unit_Price]])</f>
        <v>56.58</v>
      </c>
      <c r="J171" s="9">
        <v>2.61</v>
      </c>
      <c r="K171" s="47">
        <v>7.47</v>
      </c>
      <c r="L171" s="8" t="s">
        <v>26</v>
      </c>
      <c r="M171" s="8" t="s">
        <v>32</v>
      </c>
      <c r="N171" s="10" t="s">
        <v>39</v>
      </c>
    </row>
    <row r="172" spans="1:14" x14ac:dyDescent="0.25">
      <c r="A172" s="7" t="s">
        <v>307</v>
      </c>
      <c r="B172" s="16">
        <v>45597</v>
      </c>
      <c r="C172" s="8" t="str">
        <f>TRIM(Sales_Data!C172)</f>
        <v>Hernandez, Emma</v>
      </c>
      <c r="D172" s="8" t="str">
        <f>PROPER(TRIM(Sales_Data!D172))</f>
        <v>China</v>
      </c>
      <c r="E172" s="8" t="s">
        <v>83</v>
      </c>
      <c r="F172" s="8" t="s">
        <v>52</v>
      </c>
      <c r="G172" s="8">
        <v>10</v>
      </c>
      <c r="H172" s="9">
        <v>45.86</v>
      </c>
      <c r="I172" s="87">
        <f>PRODUCT(Table1[[#This Row],[Quantity]],Table1[[#This Row],[Unit_Price]])</f>
        <v>458.6</v>
      </c>
      <c r="J172" s="9">
        <v>14.4</v>
      </c>
      <c r="K172" s="47">
        <v>164.2</v>
      </c>
      <c r="L172" s="8" t="s">
        <v>38</v>
      </c>
      <c r="M172" s="8" t="s">
        <v>20</v>
      </c>
      <c r="N172" s="10" t="s">
        <v>58</v>
      </c>
    </row>
    <row r="173" spans="1:14" x14ac:dyDescent="0.25">
      <c r="A173" s="7" t="s">
        <v>308</v>
      </c>
      <c r="B173" s="16">
        <v>45335</v>
      </c>
      <c r="C173" s="8" t="str">
        <f>TRIM(Sales_Data!C173)</f>
        <v>Miller, James</v>
      </c>
      <c r="D173" s="8" t="str">
        <f>PROPER(TRIM(Sales_Data!D173))</f>
        <v>Italy</v>
      </c>
      <c r="E173" s="8" t="s">
        <v>25</v>
      </c>
      <c r="F173" s="8" t="s">
        <v>18</v>
      </c>
      <c r="G173" s="8">
        <v>1</v>
      </c>
      <c r="H173" s="9">
        <v>24.64</v>
      </c>
      <c r="I173" s="87">
        <f>PRODUCT(Table1[[#This Row],[Quantity]],Table1[[#This Row],[Unit_Price]])</f>
        <v>24.64</v>
      </c>
      <c r="J173" s="9">
        <v>0.65</v>
      </c>
      <c r="K173" s="47">
        <v>5.99</v>
      </c>
      <c r="L173" s="8" t="s">
        <v>38</v>
      </c>
      <c r="M173" s="8" t="s">
        <v>27</v>
      </c>
      <c r="N173" s="10" t="s">
        <v>28</v>
      </c>
    </row>
    <row r="174" spans="1:14" x14ac:dyDescent="0.25">
      <c r="A174" s="7" t="s">
        <v>309</v>
      </c>
      <c r="B174" s="16">
        <v>45503</v>
      </c>
      <c r="C174" s="8" t="str">
        <f>TRIM(Sales_Data!C174)</f>
        <v>Williams, Michael</v>
      </c>
      <c r="D174" s="8" t="str">
        <f>PROPER(TRIM(Sales_Data!D174))</f>
        <v>Italy</v>
      </c>
      <c r="E174" s="8" t="s">
        <v>60</v>
      </c>
      <c r="F174" s="8" t="s">
        <v>52</v>
      </c>
      <c r="G174" s="8">
        <v>49</v>
      </c>
      <c r="H174" s="9">
        <v>22.8</v>
      </c>
      <c r="I174" s="87">
        <f>PRODUCT(Table1[[#This Row],[Quantity]],Table1[[#This Row],[Unit_Price]])</f>
        <v>1117.2</v>
      </c>
      <c r="J174" s="9">
        <v>51.06</v>
      </c>
      <c r="K174" s="47">
        <v>306.64</v>
      </c>
      <c r="L174" s="8" t="s">
        <v>19</v>
      </c>
      <c r="M174" s="8" t="s">
        <v>27</v>
      </c>
      <c r="N174" s="10" t="s">
        <v>28</v>
      </c>
    </row>
    <row r="175" spans="1:14" x14ac:dyDescent="0.25">
      <c r="A175" s="7" t="s">
        <v>310</v>
      </c>
      <c r="B175" s="16">
        <v>45596</v>
      </c>
      <c r="C175" s="8" t="str">
        <f>TRIM(Sales_Data!C175)</f>
        <v>Hernandez, Laura</v>
      </c>
      <c r="D175" s="8" t="str">
        <f>PROPER(TRIM(Sales_Data!D175))</f>
        <v>Mexico</v>
      </c>
      <c r="E175" s="8" t="s">
        <v>17</v>
      </c>
      <c r="F175" s="8" t="s">
        <v>18</v>
      </c>
      <c r="G175" s="8">
        <v>32</v>
      </c>
      <c r="H175" s="9">
        <v>44.5</v>
      </c>
      <c r="I175" s="87">
        <f>PRODUCT(Table1[[#This Row],[Quantity]],Table1[[#This Row],[Unit_Price]])</f>
        <v>1424</v>
      </c>
      <c r="J175" s="9">
        <v>43.92</v>
      </c>
      <c r="K175" s="47">
        <v>260.08</v>
      </c>
      <c r="L175" s="8" t="s">
        <v>38</v>
      </c>
      <c r="M175" s="8" t="s">
        <v>27</v>
      </c>
      <c r="N175" s="10" t="s">
        <v>21</v>
      </c>
    </row>
    <row r="176" spans="1:14" x14ac:dyDescent="0.25">
      <c r="A176" s="7" t="s">
        <v>311</v>
      </c>
      <c r="B176" s="16">
        <v>45530</v>
      </c>
      <c r="C176" s="8" t="str">
        <f>TRIM(Sales_Data!C176)</f>
        <v>Williams, James</v>
      </c>
      <c r="D176" s="8" t="str">
        <f>PROPER(TRIM(Sales_Data!D176))</f>
        <v>Brazil</v>
      </c>
      <c r="E176" s="8" t="s">
        <v>17</v>
      </c>
      <c r="F176" s="8" t="s">
        <v>18</v>
      </c>
      <c r="G176" s="8">
        <v>43</v>
      </c>
      <c r="H176" s="9">
        <v>55.74</v>
      </c>
      <c r="I176" s="87">
        <f>PRODUCT(Table1[[#This Row],[Quantity]],Table1[[#This Row],[Unit_Price]])</f>
        <v>2396.8200000000002</v>
      </c>
      <c r="J176" s="9">
        <v>63.85</v>
      </c>
      <c r="K176" s="47">
        <v>827.97</v>
      </c>
      <c r="L176" s="8" t="s">
        <v>26</v>
      </c>
      <c r="M176" s="8" t="s">
        <v>32</v>
      </c>
      <c r="N176" s="10" t="s">
        <v>39</v>
      </c>
    </row>
    <row r="177" spans="1:14" x14ac:dyDescent="0.25">
      <c r="A177" s="7" t="s">
        <v>312</v>
      </c>
      <c r="B177" s="16">
        <v>45592</v>
      </c>
      <c r="C177" s="8" t="str">
        <f>TRIM(Sales_Data!C177)</f>
        <v>Miller, Laura</v>
      </c>
      <c r="D177" s="8" t="str">
        <f>PROPER(TRIM(Sales_Data!D177))</f>
        <v>Singapore</v>
      </c>
      <c r="E177" s="8" t="s">
        <v>60</v>
      </c>
      <c r="F177" s="8" t="s">
        <v>52</v>
      </c>
      <c r="G177" s="8">
        <v>19</v>
      </c>
      <c r="H177" s="9">
        <v>25.78</v>
      </c>
      <c r="I177" s="87">
        <f>PRODUCT(Table1[[#This Row],[Quantity]],Table1[[#This Row],[Unit_Price]])</f>
        <v>489.82000000000005</v>
      </c>
      <c r="J177" s="9">
        <v>28.4</v>
      </c>
      <c r="K177" s="47">
        <v>166.92</v>
      </c>
      <c r="L177" s="8" t="s">
        <v>38</v>
      </c>
      <c r="M177" s="8" t="s">
        <v>27</v>
      </c>
      <c r="N177" s="10" t="s">
        <v>58</v>
      </c>
    </row>
    <row r="178" spans="1:14" x14ac:dyDescent="0.25">
      <c r="A178" s="7" t="s">
        <v>313</v>
      </c>
      <c r="B178" s="16">
        <v>45348</v>
      </c>
      <c r="C178" s="8" t="str">
        <f>TRIM(Sales_Data!C178)</f>
        <v>Martinez, John</v>
      </c>
      <c r="D178" s="8" t="str">
        <f>PROPER(TRIM(Sales_Data!D178))</f>
        <v>Mexico</v>
      </c>
      <c r="E178" s="8" t="s">
        <v>25</v>
      </c>
      <c r="F178" s="8" t="s">
        <v>18</v>
      </c>
      <c r="G178" s="8">
        <v>43</v>
      </c>
      <c r="H178" s="9">
        <v>30.43</v>
      </c>
      <c r="I178" s="87">
        <f>PRODUCT(Table1[[#This Row],[Quantity]],Table1[[#This Row],[Unit_Price]])</f>
        <v>1308.49</v>
      </c>
      <c r="J178" s="9">
        <v>35.340000000000003</v>
      </c>
      <c r="K178" s="47">
        <v>499.15</v>
      </c>
      <c r="L178" s="8" t="s">
        <v>26</v>
      </c>
      <c r="M178" s="8" t="s">
        <v>27</v>
      </c>
      <c r="N178" s="10" t="s">
        <v>21</v>
      </c>
    </row>
    <row r="179" spans="1:14" x14ac:dyDescent="0.25">
      <c r="A179" s="7" t="s">
        <v>314</v>
      </c>
      <c r="B179" s="16">
        <v>45629</v>
      </c>
      <c r="C179" s="8" t="str">
        <f>TRIM(Sales_Data!C179)</f>
        <v>Hernandez, Sarah</v>
      </c>
      <c r="D179" s="8" t="str">
        <f>PROPER(TRIM(Sales_Data!D179))</f>
        <v>France</v>
      </c>
      <c r="E179" s="8" t="s">
        <v>60</v>
      </c>
      <c r="F179" s="8" t="s">
        <v>52</v>
      </c>
      <c r="G179" s="8">
        <v>17</v>
      </c>
      <c r="H179" s="9">
        <v>18.71</v>
      </c>
      <c r="I179" s="87">
        <f>PRODUCT(Table1[[#This Row],[Quantity]],Table1[[#This Row],[Unit_Price]])</f>
        <v>318.07</v>
      </c>
      <c r="J179" s="9">
        <v>22.03</v>
      </c>
      <c r="K179" s="47">
        <v>32.54</v>
      </c>
      <c r="L179" s="8" t="s">
        <v>38</v>
      </c>
      <c r="M179" s="8" t="s">
        <v>20</v>
      </c>
      <c r="N179" s="10" t="s">
        <v>28</v>
      </c>
    </row>
    <row r="180" spans="1:14" x14ac:dyDescent="0.25">
      <c r="A180" s="7" t="s">
        <v>316</v>
      </c>
      <c r="B180" s="16">
        <v>45362</v>
      </c>
      <c r="C180" s="8" t="str">
        <f>TRIM(Sales_Data!C180)</f>
        <v>Johnson, Emma</v>
      </c>
      <c r="D180" s="8" t="str">
        <f>PROPER(TRIM(Sales_Data!D180))</f>
        <v>China</v>
      </c>
      <c r="E180" s="8" t="s">
        <v>60</v>
      </c>
      <c r="F180" s="8" t="s">
        <v>52</v>
      </c>
      <c r="G180" s="8">
        <v>44</v>
      </c>
      <c r="H180" s="9">
        <v>23.87</v>
      </c>
      <c r="I180" s="87">
        <f>PRODUCT(Table1[[#This Row],[Quantity]],Table1[[#This Row],[Unit_Price]])</f>
        <v>1050.28</v>
      </c>
      <c r="J180" s="9">
        <v>33.51</v>
      </c>
      <c r="K180" s="47">
        <v>334.77</v>
      </c>
      <c r="L180" s="8" t="s">
        <v>19</v>
      </c>
      <c r="M180" s="8" t="s">
        <v>27</v>
      </c>
      <c r="N180" s="10" t="s">
        <v>58</v>
      </c>
    </row>
    <row r="181" spans="1:14" x14ac:dyDescent="0.25">
      <c r="A181" s="7" t="s">
        <v>317</v>
      </c>
      <c r="B181" s="16">
        <v>45542</v>
      </c>
      <c r="C181" s="8" t="str">
        <f>TRIM(Sales_Data!C181)</f>
        <v>Martinez, Sarah</v>
      </c>
      <c r="D181" s="8" t="str">
        <f>PROPER(TRIM(Sales_Data!D181))</f>
        <v>Australia</v>
      </c>
      <c r="E181" s="8" t="s">
        <v>36</v>
      </c>
      <c r="F181" s="8" t="s">
        <v>37</v>
      </c>
      <c r="G181" s="8">
        <v>12</v>
      </c>
      <c r="H181" s="9">
        <v>42.91</v>
      </c>
      <c r="I181" s="87">
        <f>PRODUCT(Table1[[#This Row],[Quantity]],Table1[[#This Row],[Unit_Price]])</f>
        <v>514.91999999999996</v>
      </c>
      <c r="J181" s="9">
        <v>15.18</v>
      </c>
      <c r="K181" s="47">
        <v>115.74</v>
      </c>
      <c r="L181" s="8" t="s">
        <v>38</v>
      </c>
      <c r="M181" s="8" t="s">
        <v>32</v>
      </c>
      <c r="N181" s="10" t="s">
        <v>130</v>
      </c>
    </row>
    <row r="182" spans="1:14" x14ac:dyDescent="0.25">
      <c r="A182" s="7" t="s">
        <v>318</v>
      </c>
      <c r="B182" s="16">
        <v>45617</v>
      </c>
      <c r="C182" s="8" t="str">
        <f>TRIM(Sales_Data!C182)</f>
        <v>Davis, Daniel</v>
      </c>
      <c r="D182" s="8" t="str">
        <f>PROPER(TRIM(Sales_Data!D182))</f>
        <v>India</v>
      </c>
      <c r="E182" s="8" t="s">
        <v>43</v>
      </c>
      <c r="F182" s="8" t="s">
        <v>44</v>
      </c>
      <c r="G182" s="8">
        <v>21</v>
      </c>
      <c r="H182" s="9">
        <v>50.49</v>
      </c>
      <c r="I182" s="87">
        <f>PRODUCT(Table1[[#This Row],[Quantity]],Table1[[#This Row],[Unit_Price]])</f>
        <v>1060.29</v>
      </c>
      <c r="J182" s="9">
        <v>32.340000000000003</v>
      </c>
      <c r="K182" s="47">
        <v>187.95</v>
      </c>
      <c r="L182" s="8" t="s">
        <v>38</v>
      </c>
      <c r="M182" s="8" t="s">
        <v>20</v>
      </c>
      <c r="N182" s="10" t="s">
        <v>58</v>
      </c>
    </row>
    <row r="183" spans="1:14" x14ac:dyDescent="0.25">
      <c r="A183" s="7" t="s">
        <v>320</v>
      </c>
      <c r="B183" s="16">
        <v>45629</v>
      </c>
      <c r="C183" s="8" t="str">
        <f>TRIM(Sales_Data!C183)</f>
        <v>Hernandez, Laura</v>
      </c>
      <c r="D183" s="8" t="str">
        <f>PROPER(TRIM(Sales_Data!D183))</f>
        <v>Italy</v>
      </c>
      <c r="E183" s="8" t="s">
        <v>17</v>
      </c>
      <c r="F183" s="8" t="s">
        <v>18</v>
      </c>
      <c r="G183" s="8">
        <v>41</v>
      </c>
      <c r="H183" s="9">
        <v>43.18</v>
      </c>
      <c r="I183" s="87">
        <f>PRODUCT(Table1[[#This Row],[Quantity]],Table1[[#This Row],[Unit_Price]])</f>
        <v>1770.3799999999999</v>
      </c>
      <c r="J183" s="9">
        <v>128.4</v>
      </c>
      <c r="K183" s="47">
        <v>206.98</v>
      </c>
      <c r="L183" s="8" t="s">
        <v>26</v>
      </c>
      <c r="M183" s="8" t="s">
        <v>32</v>
      </c>
      <c r="N183" s="10" t="s">
        <v>28</v>
      </c>
    </row>
    <row r="184" spans="1:14" x14ac:dyDescent="0.25">
      <c r="A184" s="7" t="s">
        <v>321</v>
      </c>
      <c r="B184" s="16">
        <v>45367</v>
      </c>
      <c r="C184" s="8" t="str">
        <f>TRIM(Sales_Data!C184)</f>
        <v>Jones, Laura</v>
      </c>
      <c r="D184" s="8" t="str">
        <f>PROPER(TRIM(Sales_Data!D184))</f>
        <v>Australia</v>
      </c>
      <c r="E184" s="8" t="s">
        <v>63</v>
      </c>
      <c r="F184" s="8" t="s">
        <v>37</v>
      </c>
      <c r="G184" s="8">
        <v>37</v>
      </c>
      <c r="H184" s="9">
        <v>19.8</v>
      </c>
      <c r="I184" s="87">
        <f>PRODUCT(Table1[[#This Row],[Quantity]],Table1[[#This Row],[Unit_Price]])</f>
        <v>732.6</v>
      </c>
      <c r="J184" s="9">
        <v>54.68</v>
      </c>
      <c r="K184" s="47">
        <v>206.17</v>
      </c>
      <c r="L184" s="8" t="s">
        <v>19</v>
      </c>
      <c r="M184" s="8" t="s">
        <v>27</v>
      </c>
      <c r="N184" s="10" t="s">
        <v>130</v>
      </c>
    </row>
    <row r="185" spans="1:14" x14ac:dyDescent="0.25">
      <c r="A185" s="7" t="s">
        <v>322</v>
      </c>
      <c r="B185" s="16">
        <v>45372</v>
      </c>
      <c r="C185" s="8" t="str">
        <f>TRIM(Sales_Data!C185)</f>
        <v>Miller, Emma</v>
      </c>
      <c r="D185" s="8" t="str">
        <f>PROPER(TRIM(Sales_Data!D185))</f>
        <v>Mexico</v>
      </c>
      <c r="E185" s="8" t="s">
        <v>63</v>
      </c>
      <c r="F185" s="8" t="s">
        <v>37</v>
      </c>
      <c r="G185" s="8">
        <v>4</v>
      </c>
      <c r="H185" s="9">
        <v>18.059999999999999</v>
      </c>
      <c r="I185" s="87">
        <f>PRODUCT(Table1[[#This Row],[Quantity]],Table1[[#This Row],[Unit_Price]])</f>
        <v>72.239999999999995</v>
      </c>
      <c r="J185" s="9">
        <v>4.66</v>
      </c>
      <c r="K185" s="47">
        <v>16.579999999999998</v>
      </c>
      <c r="L185" s="8" t="s">
        <v>19</v>
      </c>
      <c r="M185" s="8" t="s">
        <v>20</v>
      </c>
      <c r="N185" s="10" t="s">
        <v>21</v>
      </c>
    </row>
    <row r="186" spans="1:14" x14ac:dyDescent="0.25">
      <c r="A186" s="7" t="s">
        <v>324</v>
      </c>
      <c r="B186" s="16">
        <v>45651</v>
      </c>
      <c r="C186" s="8" t="str">
        <f>TRIM(Sales_Data!C186)</f>
        <v>Martinez, John</v>
      </c>
      <c r="D186" s="8" t="str">
        <f>PROPER(TRIM(Sales_Data!D186))</f>
        <v>Usa</v>
      </c>
      <c r="E186" s="8" t="s">
        <v>17</v>
      </c>
      <c r="F186" s="8" t="s">
        <v>18</v>
      </c>
      <c r="G186" s="8">
        <v>40</v>
      </c>
      <c r="H186" s="9">
        <v>55.59</v>
      </c>
      <c r="I186" s="87">
        <f>PRODUCT(Table1[[#This Row],[Quantity]],Table1[[#This Row],[Unit_Price]])</f>
        <v>2223.6000000000004</v>
      </c>
      <c r="J186" s="9">
        <v>74.569999999999993</v>
      </c>
      <c r="K186" s="47">
        <v>749.03</v>
      </c>
      <c r="L186" s="8" t="s">
        <v>19</v>
      </c>
      <c r="M186" s="8" t="s">
        <v>20</v>
      </c>
      <c r="N186" s="10" t="s">
        <v>21</v>
      </c>
    </row>
    <row r="187" spans="1:14" x14ac:dyDescent="0.25">
      <c r="A187" s="7" t="s">
        <v>325</v>
      </c>
      <c r="B187" s="16">
        <v>45755</v>
      </c>
      <c r="C187" s="8" t="str">
        <f>TRIM(Sales_Data!C187)</f>
        <v>Smith, Emily</v>
      </c>
      <c r="D187" s="8" t="str">
        <f>PROPER(TRIM(Sales_Data!D187))</f>
        <v>Japan</v>
      </c>
      <c r="E187" s="8" t="s">
        <v>56</v>
      </c>
      <c r="F187" s="8" t="s">
        <v>57</v>
      </c>
      <c r="G187" s="8">
        <v>5</v>
      </c>
      <c r="H187" s="9">
        <v>31.58</v>
      </c>
      <c r="I187" s="87">
        <f>PRODUCT(Table1[[#This Row],[Quantity]],Table1[[#This Row],[Unit_Price]])</f>
        <v>157.89999999999998</v>
      </c>
      <c r="J187" s="9">
        <v>3.73</v>
      </c>
      <c r="K187" s="47">
        <v>29.17</v>
      </c>
      <c r="L187" s="8" t="s">
        <v>19</v>
      </c>
      <c r="M187" s="8" t="s">
        <v>27</v>
      </c>
      <c r="N187" s="10" t="s">
        <v>58</v>
      </c>
    </row>
    <row r="188" spans="1:14" x14ac:dyDescent="0.25">
      <c r="A188" s="7" t="s">
        <v>326</v>
      </c>
      <c r="B188" s="16">
        <v>45396</v>
      </c>
      <c r="C188" s="8" t="str">
        <f>TRIM(Sales_Data!C188)</f>
        <v>Miller, David</v>
      </c>
      <c r="D188" s="8" t="str">
        <f>PROPER(TRIM(Sales_Data!D188))</f>
        <v>Canada</v>
      </c>
      <c r="E188" s="8" t="s">
        <v>25</v>
      </c>
      <c r="F188" s="8" t="s">
        <v>18</v>
      </c>
      <c r="G188" s="8">
        <v>50</v>
      </c>
      <c r="H188" s="9">
        <v>26.67</v>
      </c>
      <c r="I188" s="87">
        <f>PRODUCT(Table1[[#This Row],[Quantity]],Table1[[#This Row],[Unit_Price]])</f>
        <v>1333.5</v>
      </c>
      <c r="J188" s="9">
        <v>80.150000000000006</v>
      </c>
      <c r="K188" s="47">
        <v>353.35</v>
      </c>
      <c r="L188" s="8" t="s">
        <v>38</v>
      </c>
      <c r="M188" s="8" t="s">
        <v>20</v>
      </c>
      <c r="N188" s="10" t="s">
        <v>21</v>
      </c>
    </row>
    <row r="189" spans="1:14" x14ac:dyDescent="0.25">
      <c r="A189" s="7" t="s">
        <v>327</v>
      </c>
      <c r="B189" s="16">
        <v>45381</v>
      </c>
      <c r="C189" s="8" t="str">
        <f>TRIM(Sales_Data!C189)</f>
        <v>Johnson, David</v>
      </c>
      <c r="D189" s="8" t="str">
        <f>PROPER(TRIM(Sales_Data!D189))</f>
        <v>Singapore</v>
      </c>
      <c r="E189" s="8" t="s">
        <v>60</v>
      </c>
      <c r="F189" s="8" t="s">
        <v>52</v>
      </c>
      <c r="G189" s="8">
        <v>17</v>
      </c>
      <c r="H189" s="9">
        <v>20.68</v>
      </c>
      <c r="I189" s="87">
        <f>PRODUCT(Table1[[#This Row],[Quantity]],Table1[[#This Row],[Unit_Price]])</f>
        <v>351.56</v>
      </c>
      <c r="J189" s="9">
        <v>18.47</v>
      </c>
      <c r="K189" s="47">
        <v>69.59</v>
      </c>
      <c r="L189" s="8" t="s">
        <v>38</v>
      </c>
      <c r="M189" s="8" t="s">
        <v>27</v>
      </c>
      <c r="N189" s="10" t="s">
        <v>58</v>
      </c>
    </row>
    <row r="190" spans="1:14" x14ac:dyDescent="0.25">
      <c r="A190" s="7" t="s">
        <v>328</v>
      </c>
      <c r="B190" s="16">
        <v>45756</v>
      </c>
      <c r="C190" s="8" t="str">
        <f>TRIM(Sales_Data!C190)</f>
        <v>Davis, Sophia</v>
      </c>
      <c r="D190" s="8" t="str">
        <f>PROPER(TRIM(Sales_Data!D190))</f>
        <v>South Africa</v>
      </c>
      <c r="E190" s="8" t="s">
        <v>17</v>
      </c>
      <c r="F190" s="8" t="s">
        <v>18</v>
      </c>
      <c r="G190" s="8">
        <v>29</v>
      </c>
      <c r="H190" s="9">
        <v>55.19</v>
      </c>
      <c r="I190" s="87">
        <f>PRODUCT(Table1[[#This Row],[Quantity]],Table1[[#This Row],[Unit_Price]])</f>
        <v>1600.51</v>
      </c>
      <c r="J190" s="9">
        <v>103.06</v>
      </c>
      <c r="K190" s="47">
        <v>482.45</v>
      </c>
      <c r="L190" s="8" t="s">
        <v>19</v>
      </c>
      <c r="M190" s="8" t="s">
        <v>32</v>
      </c>
      <c r="N190" s="10" t="s">
        <v>87</v>
      </c>
    </row>
    <row r="191" spans="1:14" x14ac:dyDescent="0.25">
      <c r="A191" s="7" t="s">
        <v>329</v>
      </c>
      <c r="B191" s="16">
        <v>45402</v>
      </c>
      <c r="C191" s="8" t="str">
        <f>TRIM(Sales_Data!C191)</f>
        <v>Garcia, Daniel</v>
      </c>
      <c r="D191" s="8" t="str">
        <f>PROPER(TRIM(Sales_Data!D191))</f>
        <v>Singapore</v>
      </c>
      <c r="E191" s="8" t="s">
        <v>17</v>
      </c>
      <c r="F191" s="8" t="s">
        <v>18</v>
      </c>
      <c r="G191" s="8">
        <v>34</v>
      </c>
      <c r="H191" s="9">
        <v>61.62</v>
      </c>
      <c r="I191" s="87">
        <f>PRODUCT(Table1[[#This Row],[Quantity]],Table1[[#This Row],[Unit_Price]])</f>
        <v>2095.08</v>
      </c>
      <c r="J191" s="9">
        <v>80.13</v>
      </c>
      <c r="K191" s="47">
        <v>824.95</v>
      </c>
      <c r="L191" s="8" t="s">
        <v>26</v>
      </c>
      <c r="M191" s="8" t="s">
        <v>20</v>
      </c>
      <c r="N191" s="10" t="s">
        <v>58</v>
      </c>
    </row>
    <row r="192" spans="1:14" x14ac:dyDescent="0.25">
      <c r="A192" s="7" t="s">
        <v>331</v>
      </c>
      <c r="B192" s="16">
        <v>45614</v>
      </c>
      <c r="C192" s="8" t="str">
        <f>TRIM(Sales_Data!C192)</f>
        <v>Garcia, Michael</v>
      </c>
      <c r="D192" s="8" t="str">
        <f>PROPER(TRIM(Sales_Data!D192))</f>
        <v>Mexico</v>
      </c>
      <c r="E192" s="8" t="s">
        <v>51</v>
      </c>
      <c r="F192" s="8" t="s">
        <v>52</v>
      </c>
      <c r="G192" s="8">
        <v>10</v>
      </c>
      <c r="H192" s="9">
        <v>40.03</v>
      </c>
      <c r="I192" s="87">
        <f>PRODUCT(Table1[[#This Row],[Quantity]],Table1[[#This Row],[Unit_Price]])</f>
        <v>400.3</v>
      </c>
      <c r="J192" s="9">
        <v>25.8</v>
      </c>
      <c r="K192" s="47">
        <v>149.5</v>
      </c>
      <c r="L192" s="8" t="s">
        <v>38</v>
      </c>
      <c r="M192" s="8" t="s">
        <v>20</v>
      </c>
      <c r="N192" s="10" t="s">
        <v>21</v>
      </c>
    </row>
    <row r="193" spans="1:14" x14ac:dyDescent="0.25">
      <c r="A193" s="7" t="s">
        <v>332</v>
      </c>
      <c r="B193" s="16">
        <v>45744</v>
      </c>
      <c r="C193" s="8" t="str">
        <f>TRIM(Sales_Data!C193)</f>
        <v>Smith, Sarah</v>
      </c>
      <c r="D193" s="8" t="str">
        <f>PROPER(TRIM(Sales_Data!D193))</f>
        <v>Uae</v>
      </c>
      <c r="E193" s="8" t="s">
        <v>48</v>
      </c>
      <c r="F193" s="8" t="s">
        <v>37</v>
      </c>
      <c r="G193" s="8">
        <v>23</v>
      </c>
      <c r="H193" s="9">
        <v>31.3</v>
      </c>
      <c r="I193" s="87">
        <f>PRODUCT(Table1[[#This Row],[Quantity]],Table1[[#This Row],[Unit_Price]])</f>
        <v>719.9</v>
      </c>
      <c r="J193" s="9">
        <v>47.88</v>
      </c>
      <c r="K193" s="47">
        <v>212.02</v>
      </c>
      <c r="L193" s="8" t="s">
        <v>26</v>
      </c>
      <c r="M193" s="8" t="s">
        <v>27</v>
      </c>
      <c r="N193" s="10" t="s">
        <v>58</v>
      </c>
    </row>
    <row r="194" spans="1:14" x14ac:dyDescent="0.25">
      <c r="A194" s="7" t="s">
        <v>333</v>
      </c>
      <c r="B194" s="16">
        <v>45778</v>
      </c>
      <c r="C194" s="8" t="str">
        <f>TRIM(Sales_Data!C194)</f>
        <v>Johnson, Sarah</v>
      </c>
      <c r="D194" s="8" t="str">
        <f>PROPER(TRIM(Sales_Data!D194))</f>
        <v>Mexico</v>
      </c>
      <c r="E194" s="8" t="s">
        <v>17</v>
      </c>
      <c r="F194" s="8" t="s">
        <v>18</v>
      </c>
      <c r="G194" s="8">
        <v>37</v>
      </c>
      <c r="H194" s="9">
        <v>50.39</v>
      </c>
      <c r="I194" s="87">
        <f>PRODUCT(Table1[[#This Row],[Quantity]],Table1[[#This Row],[Unit_Price]])</f>
        <v>1864.43</v>
      </c>
      <c r="J194" s="9">
        <v>60.06</v>
      </c>
      <c r="K194" s="47">
        <v>509.37</v>
      </c>
      <c r="L194" s="8" t="s">
        <v>26</v>
      </c>
      <c r="M194" s="8" t="s">
        <v>27</v>
      </c>
      <c r="N194" s="10" t="s">
        <v>21</v>
      </c>
    </row>
    <row r="195" spans="1:14" x14ac:dyDescent="0.25">
      <c r="A195" s="7" t="s">
        <v>334</v>
      </c>
      <c r="B195" s="16">
        <v>45644</v>
      </c>
      <c r="C195" s="8" t="str">
        <f>TRIM(Sales_Data!C195)</f>
        <v>Jones, Daniel</v>
      </c>
      <c r="D195" s="8" t="str">
        <f>PROPER(TRIM(Sales_Data!D195))</f>
        <v>Usa</v>
      </c>
      <c r="E195" s="8" t="s">
        <v>63</v>
      </c>
      <c r="F195" s="8" t="s">
        <v>37</v>
      </c>
      <c r="G195" s="8">
        <v>38</v>
      </c>
      <c r="H195" s="9">
        <v>16.97</v>
      </c>
      <c r="I195" s="87">
        <f>PRODUCT(Table1[[#This Row],[Quantity]],Table1[[#This Row],[Unit_Price]])</f>
        <v>644.8599999999999</v>
      </c>
      <c r="J195" s="9">
        <v>40</v>
      </c>
      <c r="K195" s="47">
        <v>120.36</v>
      </c>
      <c r="L195" s="8" t="s">
        <v>38</v>
      </c>
      <c r="M195" s="8" t="s">
        <v>20</v>
      </c>
      <c r="N195" s="10" t="s">
        <v>21</v>
      </c>
    </row>
    <row r="196" spans="1:14" x14ac:dyDescent="0.25">
      <c r="A196" s="7" t="s">
        <v>335</v>
      </c>
      <c r="B196" s="16">
        <v>45484</v>
      </c>
      <c r="C196" s="8" t="str">
        <f>TRIM(Sales_Data!C196)</f>
        <v>Miller, Sarah</v>
      </c>
      <c r="D196" s="8" t="str">
        <f>PROPER(TRIM(Sales_Data!D196))</f>
        <v>South Africa</v>
      </c>
      <c r="E196" s="8" t="s">
        <v>48</v>
      </c>
      <c r="F196" s="8" t="s">
        <v>37</v>
      </c>
      <c r="G196" s="8">
        <v>2</v>
      </c>
      <c r="H196" s="9">
        <v>35.92</v>
      </c>
      <c r="I196" s="87">
        <f>PRODUCT(Table1[[#This Row],[Quantity]],Table1[[#This Row],[Unit_Price]])</f>
        <v>71.84</v>
      </c>
      <c r="J196" s="9">
        <v>2.34</v>
      </c>
      <c r="K196" s="47">
        <v>29.5</v>
      </c>
      <c r="L196" s="8" t="s">
        <v>38</v>
      </c>
      <c r="M196" s="8" t="s">
        <v>27</v>
      </c>
      <c r="N196" s="10" t="s">
        <v>87</v>
      </c>
    </row>
    <row r="197" spans="1:14" x14ac:dyDescent="0.25">
      <c r="A197" s="7" t="s">
        <v>336</v>
      </c>
      <c r="B197" s="16">
        <v>45436</v>
      </c>
      <c r="C197" s="8" t="str">
        <f>TRIM(Sales_Data!C197)</f>
        <v>Martinez, Laura</v>
      </c>
      <c r="D197" s="8" t="str">
        <f>PROPER(TRIM(Sales_Data!D197))</f>
        <v>Brazil</v>
      </c>
      <c r="E197" s="8" t="s">
        <v>48</v>
      </c>
      <c r="F197" s="8" t="s">
        <v>37</v>
      </c>
      <c r="G197" s="8">
        <v>48</v>
      </c>
      <c r="H197" s="9">
        <v>31.87</v>
      </c>
      <c r="I197" s="87">
        <f>PRODUCT(Table1[[#This Row],[Quantity]],Table1[[#This Row],[Unit_Price]])</f>
        <v>1529.76</v>
      </c>
      <c r="J197" s="9">
        <v>89.85</v>
      </c>
      <c r="K197" s="47">
        <v>479.91</v>
      </c>
      <c r="L197" s="8" t="s">
        <v>38</v>
      </c>
      <c r="M197" s="8" t="s">
        <v>20</v>
      </c>
      <c r="N197" s="10" t="s">
        <v>39</v>
      </c>
    </row>
    <row r="198" spans="1:14" x14ac:dyDescent="0.25">
      <c r="A198" s="7" t="s">
        <v>337</v>
      </c>
      <c r="B198" s="16">
        <v>45635</v>
      </c>
      <c r="C198" s="8" t="str">
        <f>TRIM(Sales_Data!C198)</f>
        <v>Johnson, David</v>
      </c>
      <c r="D198" s="8" t="str">
        <f>PROPER(TRIM(Sales_Data!D198))</f>
        <v>Australia</v>
      </c>
      <c r="E198" s="8" t="s">
        <v>43</v>
      </c>
      <c r="F198" s="8" t="s">
        <v>44</v>
      </c>
      <c r="G198" s="8">
        <v>46</v>
      </c>
      <c r="H198" s="9">
        <v>70</v>
      </c>
      <c r="I198" s="87">
        <f>PRODUCT(Table1[[#This Row],[Quantity]],Table1[[#This Row],[Unit_Price]])</f>
        <v>3220</v>
      </c>
      <c r="J198" s="9">
        <v>160.11000000000001</v>
      </c>
      <c r="K198" s="47">
        <v>1219.8900000000001</v>
      </c>
      <c r="L198" s="8" t="s">
        <v>26</v>
      </c>
      <c r="M198" s="8" t="s">
        <v>27</v>
      </c>
      <c r="N198" s="10" t="s">
        <v>130</v>
      </c>
    </row>
    <row r="199" spans="1:14" x14ac:dyDescent="0.25">
      <c r="A199" s="7" t="s">
        <v>338</v>
      </c>
      <c r="B199" s="16">
        <v>45776</v>
      </c>
      <c r="C199" s="8" t="str">
        <f>TRIM(Sales_Data!C199)</f>
        <v>Jones, Emily</v>
      </c>
      <c r="D199" s="8" t="str">
        <f>PROPER(TRIM(Sales_Data!D199))</f>
        <v>Singapore</v>
      </c>
      <c r="E199" s="8" t="s">
        <v>17</v>
      </c>
      <c r="F199" s="8" t="s">
        <v>18</v>
      </c>
      <c r="G199" s="8">
        <v>45</v>
      </c>
      <c r="H199" s="9">
        <v>57.7</v>
      </c>
      <c r="I199" s="87">
        <f>PRODUCT(Table1[[#This Row],[Quantity]],Table1[[#This Row],[Unit_Price]])</f>
        <v>2596.5</v>
      </c>
      <c r="J199" s="9">
        <v>102.52</v>
      </c>
      <c r="K199" s="47">
        <v>918.98</v>
      </c>
      <c r="L199" s="8" t="s">
        <v>26</v>
      </c>
      <c r="M199" s="8" t="s">
        <v>20</v>
      </c>
      <c r="N199" s="10" t="s">
        <v>58</v>
      </c>
    </row>
    <row r="200" spans="1:14" x14ac:dyDescent="0.25">
      <c r="A200" s="7" t="s">
        <v>339</v>
      </c>
      <c r="B200" s="16">
        <v>45782</v>
      </c>
      <c r="C200" s="8" t="str">
        <f>TRIM(Sales_Data!C200)</f>
        <v>Smith, Michael</v>
      </c>
      <c r="D200" s="8" t="str">
        <f>PROPER(TRIM(Sales_Data!D200))</f>
        <v>Japan</v>
      </c>
      <c r="E200" s="8" t="s">
        <v>63</v>
      </c>
      <c r="F200" s="8" t="s">
        <v>37</v>
      </c>
      <c r="G200" s="8">
        <v>23</v>
      </c>
      <c r="H200" s="9">
        <v>20.23</v>
      </c>
      <c r="I200" s="87">
        <f>PRODUCT(Table1[[#This Row],[Quantity]],Table1[[#This Row],[Unit_Price]])</f>
        <v>465.29</v>
      </c>
      <c r="J200" s="9">
        <v>17.29</v>
      </c>
      <c r="K200" s="47">
        <v>154.75</v>
      </c>
      <c r="L200" s="8" t="s">
        <v>38</v>
      </c>
      <c r="M200" s="8" t="s">
        <v>20</v>
      </c>
      <c r="N200" s="10" t="s">
        <v>58</v>
      </c>
    </row>
    <row r="201" spans="1:14" x14ac:dyDescent="0.25">
      <c r="A201" s="7" t="s">
        <v>340</v>
      </c>
      <c r="B201" s="16">
        <v>45767</v>
      </c>
      <c r="C201" s="8" t="str">
        <f>TRIM(Sales_Data!C201)</f>
        <v>Martinez, Sarah</v>
      </c>
      <c r="D201" s="8" t="str">
        <f>PROPER(TRIM(Sales_Data!D201))</f>
        <v>Italy</v>
      </c>
      <c r="E201" s="8" t="s">
        <v>25</v>
      </c>
      <c r="F201" s="8" t="s">
        <v>18</v>
      </c>
      <c r="G201" s="8">
        <v>10</v>
      </c>
      <c r="H201" s="9">
        <v>22.96</v>
      </c>
      <c r="I201" s="87">
        <f>PRODUCT(Table1[[#This Row],[Quantity]],Table1[[#This Row],[Unit_Price]])</f>
        <v>229.60000000000002</v>
      </c>
      <c r="J201" s="9">
        <v>18.260000000000002</v>
      </c>
      <c r="K201" s="47">
        <v>31.34</v>
      </c>
      <c r="L201" s="8" t="s">
        <v>19</v>
      </c>
      <c r="M201" s="8" t="s">
        <v>32</v>
      </c>
      <c r="N201" s="10" t="s">
        <v>28</v>
      </c>
    </row>
    <row r="202" spans="1:14" x14ac:dyDescent="0.25">
      <c r="A202" s="7" t="s">
        <v>341</v>
      </c>
      <c r="B202" s="16">
        <v>45530</v>
      </c>
      <c r="C202" s="8" t="str">
        <f>TRIM(Sales_Data!C202)</f>
        <v>Jones, Sarah</v>
      </c>
      <c r="D202" s="8" t="str">
        <f>PROPER(TRIM(Sales_Data!D202))</f>
        <v>Brazil</v>
      </c>
      <c r="E202" s="8" t="s">
        <v>17</v>
      </c>
      <c r="F202" s="8" t="s">
        <v>18</v>
      </c>
      <c r="G202" s="8">
        <v>40</v>
      </c>
      <c r="H202" s="9">
        <v>54.84</v>
      </c>
      <c r="I202" s="87">
        <f>PRODUCT(Table1[[#This Row],[Quantity]],Table1[[#This Row],[Unit_Price]])</f>
        <v>2193.6000000000004</v>
      </c>
      <c r="J202" s="9">
        <v>89.26</v>
      </c>
      <c r="K202" s="47">
        <v>704.34</v>
      </c>
      <c r="L202" s="8" t="s">
        <v>26</v>
      </c>
      <c r="M202" s="8" t="s">
        <v>20</v>
      </c>
      <c r="N202" s="10" t="s">
        <v>39</v>
      </c>
    </row>
    <row r="203" spans="1:14" x14ac:dyDescent="0.25">
      <c r="A203" s="7" t="s">
        <v>343</v>
      </c>
      <c r="B203" s="16">
        <v>45389</v>
      </c>
      <c r="C203" s="8" t="str">
        <f>TRIM(Sales_Data!C203)</f>
        <v>Brown, Daniel</v>
      </c>
      <c r="D203" s="8" t="str">
        <f>PROPER(TRIM(Sales_Data!D203))</f>
        <v>Singapore</v>
      </c>
      <c r="E203" s="8" t="s">
        <v>56</v>
      </c>
      <c r="F203" s="8" t="s">
        <v>57</v>
      </c>
      <c r="G203" s="8">
        <v>7</v>
      </c>
      <c r="H203" s="9">
        <v>36.43</v>
      </c>
      <c r="I203" s="87">
        <f>PRODUCT(Table1[[#This Row],[Quantity]],Table1[[#This Row],[Unit_Price]])</f>
        <v>255.01</v>
      </c>
      <c r="J203" s="9">
        <v>6.3</v>
      </c>
      <c r="K203" s="47">
        <v>73.709999999999994</v>
      </c>
      <c r="L203" s="8" t="s">
        <v>19</v>
      </c>
      <c r="M203" s="8" t="s">
        <v>27</v>
      </c>
      <c r="N203" s="10" t="s">
        <v>58</v>
      </c>
    </row>
    <row r="204" spans="1:14" x14ac:dyDescent="0.25">
      <c r="A204" s="7" t="s">
        <v>344</v>
      </c>
      <c r="B204" s="16">
        <v>45738</v>
      </c>
      <c r="C204" s="8" t="str">
        <f>TRIM(Sales_Data!C204)</f>
        <v>Miller, Sarah</v>
      </c>
      <c r="D204" s="8" t="str">
        <f>PROPER(TRIM(Sales_Data!D204))</f>
        <v>Mexico</v>
      </c>
      <c r="E204" s="8" t="s">
        <v>63</v>
      </c>
      <c r="F204" s="8" t="s">
        <v>37</v>
      </c>
      <c r="G204" s="8">
        <v>39</v>
      </c>
      <c r="H204" s="9">
        <v>19.48</v>
      </c>
      <c r="I204" s="87">
        <f>PRODUCT(Table1[[#This Row],[Quantity]],Table1[[#This Row],[Unit_Price]])</f>
        <v>759.72</v>
      </c>
      <c r="J204" s="9">
        <v>40.090000000000003</v>
      </c>
      <c r="K204" s="47">
        <v>222.38</v>
      </c>
      <c r="L204" s="8" t="s">
        <v>38</v>
      </c>
      <c r="M204" s="8" t="s">
        <v>27</v>
      </c>
      <c r="N204" s="10" t="s">
        <v>21</v>
      </c>
    </row>
    <row r="205" spans="1:14" x14ac:dyDescent="0.25">
      <c r="A205" s="7" t="s">
        <v>345</v>
      </c>
      <c r="B205" s="16">
        <v>45351</v>
      </c>
      <c r="C205" s="8" t="str">
        <f>TRIM(Sales_Data!C205)</f>
        <v>Brown, James</v>
      </c>
      <c r="D205" s="8" t="str">
        <f>PROPER(TRIM(Sales_Data!D205))</f>
        <v>South Africa</v>
      </c>
      <c r="E205" s="8" t="s">
        <v>51</v>
      </c>
      <c r="F205" s="8" t="s">
        <v>52</v>
      </c>
      <c r="G205" s="8">
        <v>35</v>
      </c>
      <c r="H205" s="9">
        <v>38.83</v>
      </c>
      <c r="I205" s="87">
        <f>PRODUCT(Table1[[#This Row],[Quantity]],Table1[[#This Row],[Unit_Price]])</f>
        <v>1359.05</v>
      </c>
      <c r="J205" s="9">
        <v>93.92</v>
      </c>
      <c r="K205" s="47">
        <v>477.63</v>
      </c>
      <c r="L205" s="8" t="s">
        <v>38</v>
      </c>
      <c r="M205" s="8" t="s">
        <v>27</v>
      </c>
      <c r="N205" s="10" t="s">
        <v>87</v>
      </c>
    </row>
    <row r="206" spans="1:14" x14ac:dyDescent="0.25">
      <c r="A206" s="7" t="s">
        <v>346</v>
      </c>
      <c r="B206" s="16">
        <v>45570</v>
      </c>
      <c r="C206" s="8" t="str">
        <f>TRIM(Sales_Data!C206)</f>
        <v>Johnson, Daniel</v>
      </c>
      <c r="D206" s="8" t="str">
        <f>PROPER(TRIM(Sales_Data!D206))</f>
        <v>China</v>
      </c>
      <c r="E206" s="8" t="s">
        <v>48</v>
      </c>
      <c r="F206" s="8" t="s">
        <v>37</v>
      </c>
      <c r="G206" s="8">
        <v>39</v>
      </c>
      <c r="H206" s="9">
        <v>32.76</v>
      </c>
      <c r="I206" s="87">
        <f>PRODUCT(Table1[[#This Row],[Quantity]],Table1[[#This Row],[Unit_Price]])</f>
        <v>1277.6399999999999</v>
      </c>
      <c r="J206" s="9">
        <v>35.81</v>
      </c>
      <c r="K206" s="47">
        <v>461.83</v>
      </c>
      <c r="L206" s="8" t="s">
        <v>26</v>
      </c>
      <c r="M206" s="8" t="s">
        <v>32</v>
      </c>
      <c r="N206" s="10" t="s">
        <v>58</v>
      </c>
    </row>
    <row r="207" spans="1:14" x14ac:dyDescent="0.25">
      <c r="A207" s="7" t="s">
        <v>347</v>
      </c>
      <c r="B207" s="16">
        <v>45685</v>
      </c>
      <c r="C207" s="8" t="str">
        <f>TRIM(Sales_Data!C207)</f>
        <v>Davis, Emma</v>
      </c>
      <c r="D207" s="8" t="str">
        <f>PROPER(TRIM(Sales_Data!D207))</f>
        <v>Usa</v>
      </c>
      <c r="E207" s="8" t="s">
        <v>36</v>
      </c>
      <c r="F207" s="8" t="s">
        <v>37</v>
      </c>
      <c r="G207" s="8">
        <v>8</v>
      </c>
      <c r="H207" s="9">
        <v>39.869999999999997</v>
      </c>
      <c r="I207" s="87">
        <f>PRODUCT(Table1[[#This Row],[Quantity]],Table1[[#This Row],[Unit_Price]])</f>
        <v>318.95999999999998</v>
      </c>
      <c r="J207" s="9">
        <v>15.95</v>
      </c>
      <c r="K207" s="47">
        <v>47.01</v>
      </c>
      <c r="L207" s="8" t="s">
        <v>38</v>
      </c>
      <c r="M207" s="8" t="s">
        <v>32</v>
      </c>
      <c r="N207" s="10" t="s">
        <v>21</v>
      </c>
    </row>
    <row r="208" spans="1:14" x14ac:dyDescent="0.25">
      <c r="A208" s="7" t="s">
        <v>348</v>
      </c>
      <c r="B208" s="16">
        <v>45771</v>
      </c>
      <c r="C208" s="8" t="str">
        <f>TRIM(Sales_Data!C208)</f>
        <v>Brown, Emily</v>
      </c>
      <c r="D208" s="8" t="str">
        <f>PROPER(TRIM(Sales_Data!D208))</f>
        <v>Uae</v>
      </c>
      <c r="E208" s="8" t="s">
        <v>43</v>
      </c>
      <c r="F208" s="8" t="s">
        <v>44</v>
      </c>
      <c r="G208" s="8">
        <v>10</v>
      </c>
      <c r="H208" s="9">
        <v>63.1</v>
      </c>
      <c r="I208" s="87">
        <f>PRODUCT(Table1[[#This Row],[Quantity]],Table1[[#This Row],[Unit_Price]])</f>
        <v>631</v>
      </c>
      <c r="J208" s="9">
        <v>26.93</v>
      </c>
      <c r="K208" s="47">
        <v>204.07</v>
      </c>
      <c r="L208" s="8" t="s">
        <v>26</v>
      </c>
      <c r="M208" s="8" t="s">
        <v>27</v>
      </c>
      <c r="N208" s="10" t="s">
        <v>58</v>
      </c>
    </row>
    <row r="209" spans="1:14" x14ac:dyDescent="0.25">
      <c r="A209" s="7" t="s">
        <v>349</v>
      </c>
      <c r="B209" s="16">
        <v>45431</v>
      </c>
      <c r="C209" s="8" t="str">
        <f>TRIM(Sales_Data!C209)</f>
        <v>Jones, Laura</v>
      </c>
      <c r="D209" s="8" t="str">
        <f>PROPER(TRIM(Sales_Data!D209))</f>
        <v>Germany</v>
      </c>
      <c r="E209" s="8" t="s">
        <v>36</v>
      </c>
      <c r="F209" s="8" t="s">
        <v>37</v>
      </c>
      <c r="G209" s="8">
        <v>3</v>
      </c>
      <c r="H209" s="9">
        <v>55.1</v>
      </c>
      <c r="I209" s="87">
        <f>PRODUCT(Table1[[#This Row],[Quantity]],Table1[[#This Row],[Unit_Price]])</f>
        <v>165.3</v>
      </c>
      <c r="J209" s="9">
        <v>9.17</v>
      </c>
      <c r="K209" s="47">
        <v>60.13</v>
      </c>
      <c r="L209" s="8" t="s">
        <v>19</v>
      </c>
      <c r="M209" s="8" t="s">
        <v>20</v>
      </c>
      <c r="N209" s="10" t="s">
        <v>28</v>
      </c>
    </row>
    <row r="210" spans="1:14" x14ac:dyDescent="0.25">
      <c r="A210" s="7" t="s">
        <v>350</v>
      </c>
      <c r="B210" s="16">
        <v>45337</v>
      </c>
      <c r="C210" s="8" t="str">
        <f>TRIM(Sales_Data!C210)</f>
        <v>Smith, Emma</v>
      </c>
      <c r="D210" s="8" t="str">
        <f>PROPER(TRIM(Sales_Data!D210))</f>
        <v>India</v>
      </c>
      <c r="E210" s="8" t="s">
        <v>60</v>
      </c>
      <c r="F210" s="8" t="s">
        <v>52</v>
      </c>
      <c r="G210" s="8">
        <v>26</v>
      </c>
      <c r="H210" s="9">
        <v>19.809999999999999</v>
      </c>
      <c r="I210" s="87">
        <f>PRODUCT(Table1[[#This Row],[Quantity]],Table1[[#This Row],[Unit_Price]])</f>
        <v>515.05999999999995</v>
      </c>
      <c r="J210" s="9">
        <v>10.3</v>
      </c>
      <c r="K210" s="47">
        <v>101.76</v>
      </c>
      <c r="L210" s="8" t="s">
        <v>38</v>
      </c>
      <c r="M210" s="8" t="s">
        <v>27</v>
      </c>
      <c r="N210" s="10" t="s">
        <v>58</v>
      </c>
    </row>
    <row r="211" spans="1:14" x14ac:dyDescent="0.25">
      <c r="A211" s="7" t="s">
        <v>351</v>
      </c>
      <c r="B211" s="16">
        <v>45750</v>
      </c>
      <c r="C211" s="8" t="str">
        <f>TRIM(Sales_Data!C211)</f>
        <v>Garcia, Sophia</v>
      </c>
      <c r="D211" s="8" t="str">
        <f>PROPER(TRIM(Sales_Data!D211))</f>
        <v>Uae</v>
      </c>
      <c r="E211" s="8" t="s">
        <v>43</v>
      </c>
      <c r="F211" s="8" t="s">
        <v>44</v>
      </c>
      <c r="G211" s="8">
        <v>17</v>
      </c>
      <c r="H211" s="9">
        <v>53.34</v>
      </c>
      <c r="I211" s="87">
        <f>PRODUCT(Table1[[#This Row],[Quantity]],Table1[[#This Row],[Unit_Price]])</f>
        <v>906.78000000000009</v>
      </c>
      <c r="J211" s="9">
        <v>30.6</v>
      </c>
      <c r="K211" s="47">
        <v>196.18</v>
      </c>
      <c r="L211" s="8" t="s">
        <v>19</v>
      </c>
      <c r="M211" s="8" t="s">
        <v>27</v>
      </c>
      <c r="N211" s="10" t="s">
        <v>58</v>
      </c>
    </row>
    <row r="212" spans="1:14" x14ac:dyDescent="0.25">
      <c r="A212" s="7" t="s">
        <v>352</v>
      </c>
      <c r="B212" s="16">
        <v>45478</v>
      </c>
      <c r="C212" s="8" t="str">
        <f>TRIM(Sales_Data!C212)</f>
        <v>Hernandez, Sophia</v>
      </c>
      <c r="D212" s="8" t="str">
        <f>PROPER(TRIM(Sales_Data!D212))</f>
        <v>China</v>
      </c>
      <c r="E212" s="8" t="s">
        <v>48</v>
      </c>
      <c r="F212" s="8" t="s">
        <v>37</v>
      </c>
      <c r="G212" s="8">
        <v>17</v>
      </c>
      <c r="H212" s="9">
        <v>28.23</v>
      </c>
      <c r="I212" s="87">
        <f>PRODUCT(Table1[[#This Row],[Quantity]],Table1[[#This Row],[Unit_Price]])</f>
        <v>479.91</v>
      </c>
      <c r="J212" s="9">
        <v>31.88</v>
      </c>
      <c r="K212" s="47">
        <v>108.03</v>
      </c>
      <c r="L212" s="8" t="s">
        <v>26</v>
      </c>
      <c r="M212" s="8" t="s">
        <v>20</v>
      </c>
      <c r="N212" s="10" t="s">
        <v>58</v>
      </c>
    </row>
    <row r="213" spans="1:14" x14ac:dyDescent="0.25">
      <c r="A213" s="7" t="s">
        <v>353</v>
      </c>
      <c r="B213" s="16">
        <v>45357</v>
      </c>
      <c r="C213" s="8" t="str">
        <f>TRIM(Sales_Data!C213)</f>
        <v>Brown, David</v>
      </c>
      <c r="D213" s="8" t="str">
        <f>PROPER(TRIM(Sales_Data!D213))</f>
        <v>Germany</v>
      </c>
      <c r="E213" s="8" t="s">
        <v>25</v>
      </c>
      <c r="F213" s="8" t="s">
        <v>18</v>
      </c>
      <c r="G213" s="8">
        <v>42</v>
      </c>
      <c r="H213" s="9">
        <v>25.26</v>
      </c>
      <c r="I213" s="87">
        <f>PRODUCT(Table1[[#This Row],[Quantity]],Table1[[#This Row],[Unit_Price]])</f>
        <v>1060.92</v>
      </c>
      <c r="J213" s="9">
        <v>77.05</v>
      </c>
      <c r="K213" s="47">
        <v>227.87</v>
      </c>
      <c r="L213" s="8" t="s">
        <v>19</v>
      </c>
      <c r="M213" s="8" t="s">
        <v>32</v>
      </c>
      <c r="N213" s="10" t="s">
        <v>28</v>
      </c>
    </row>
    <row r="214" spans="1:14" x14ac:dyDescent="0.25">
      <c r="A214" s="7" t="s">
        <v>355</v>
      </c>
      <c r="B214" s="16">
        <v>45555</v>
      </c>
      <c r="C214" s="8" t="str">
        <f>TRIM(Sales_Data!C214)</f>
        <v>Garcia, Sarah</v>
      </c>
      <c r="D214" s="8" t="str">
        <f>PROPER(TRIM(Sales_Data!D214))</f>
        <v>India</v>
      </c>
      <c r="E214" s="8" t="s">
        <v>25</v>
      </c>
      <c r="F214" s="8" t="s">
        <v>18</v>
      </c>
      <c r="G214" s="8">
        <v>2</v>
      </c>
      <c r="H214" s="9">
        <v>27.27</v>
      </c>
      <c r="I214" s="87">
        <f>PRODUCT(Table1[[#This Row],[Quantity]],Table1[[#This Row],[Unit_Price]])</f>
        <v>54.54</v>
      </c>
      <c r="J214" s="9">
        <v>1.45</v>
      </c>
      <c r="K214" s="47">
        <v>17.09</v>
      </c>
      <c r="L214" s="8" t="s">
        <v>19</v>
      </c>
      <c r="M214" s="8" t="s">
        <v>32</v>
      </c>
      <c r="N214" s="10" t="s">
        <v>58</v>
      </c>
    </row>
    <row r="215" spans="1:14" x14ac:dyDescent="0.25">
      <c r="A215" s="7" t="s">
        <v>356</v>
      </c>
      <c r="B215" s="16">
        <v>45618</v>
      </c>
      <c r="C215" s="8" t="str">
        <f>TRIM(Sales_Data!C215)</f>
        <v>Martinez, Emily</v>
      </c>
      <c r="D215" s="8" t="str">
        <f>PROPER(TRIM(Sales_Data!D215))</f>
        <v>Uae</v>
      </c>
      <c r="E215" s="8" t="s">
        <v>83</v>
      </c>
      <c r="F215" s="8" t="s">
        <v>52</v>
      </c>
      <c r="G215" s="8">
        <v>48</v>
      </c>
      <c r="H215" s="9">
        <v>44.95</v>
      </c>
      <c r="I215" s="87">
        <f>PRODUCT(Table1[[#This Row],[Quantity]],Table1[[#This Row],[Unit_Price]])</f>
        <v>2157.6000000000004</v>
      </c>
      <c r="J215" s="9">
        <v>148.41</v>
      </c>
      <c r="K215" s="47">
        <v>665.19</v>
      </c>
      <c r="L215" s="8" t="s">
        <v>19</v>
      </c>
      <c r="M215" s="8" t="s">
        <v>20</v>
      </c>
      <c r="N215" s="10" t="s">
        <v>58</v>
      </c>
    </row>
    <row r="216" spans="1:14" x14ac:dyDescent="0.25">
      <c r="A216" s="7" t="s">
        <v>357</v>
      </c>
      <c r="B216" s="16">
        <v>45758</v>
      </c>
      <c r="C216" s="8" t="str">
        <f>TRIM(Sales_Data!C216)</f>
        <v>Brown, David</v>
      </c>
      <c r="D216" s="8" t="str">
        <f>PROPER(TRIM(Sales_Data!D216))</f>
        <v>Singapore</v>
      </c>
      <c r="E216" s="8" t="s">
        <v>48</v>
      </c>
      <c r="F216" s="8" t="s">
        <v>37</v>
      </c>
      <c r="G216" s="8">
        <v>23</v>
      </c>
      <c r="H216" s="9">
        <v>28.6</v>
      </c>
      <c r="I216" s="87">
        <f>PRODUCT(Table1[[#This Row],[Quantity]],Table1[[#This Row],[Unit_Price]])</f>
        <v>657.80000000000007</v>
      </c>
      <c r="J216" s="9">
        <v>13.36</v>
      </c>
      <c r="K216" s="47">
        <v>184.44</v>
      </c>
      <c r="L216" s="8" t="s">
        <v>19</v>
      </c>
      <c r="M216" s="8" t="s">
        <v>32</v>
      </c>
      <c r="N216" s="10" t="s">
        <v>58</v>
      </c>
    </row>
    <row r="217" spans="1:14" x14ac:dyDescent="0.25">
      <c r="A217" s="7" t="s">
        <v>358</v>
      </c>
      <c r="B217" s="16">
        <v>45608</v>
      </c>
      <c r="C217" s="8" t="str">
        <f>TRIM(Sales_Data!C217)</f>
        <v>Garcia, Sophia</v>
      </c>
      <c r="D217" s="8" t="str">
        <f>PROPER(TRIM(Sales_Data!D217))</f>
        <v>France</v>
      </c>
      <c r="E217" s="8" t="s">
        <v>60</v>
      </c>
      <c r="F217" s="8" t="s">
        <v>52</v>
      </c>
      <c r="G217" s="8">
        <v>18</v>
      </c>
      <c r="H217" s="9">
        <v>26.1</v>
      </c>
      <c r="I217" s="87">
        <f>PRODUCT(Table1[[#This Row],[Quantity]],Table1[[#This Row],[Unit_Price]])</f>
        <v>469.8</v>
      </c>
      <c r="J217" s="9">
        <v>19.52</v>
      </c>
      <c r="K217" s="47">
        <v>171.28</v>
      </c>
      <c r="L217" s="8" t="s">
        <v>38</v>
      </c>
      <c r="M217" s="8" t="s">
        <v>20</v>
      </c>
      <c r="N217" s="10" t="s">
        <v>28</v>
      </c>
    </row>
    <row r="218" spans="1:14" x14ac:dyDescent="0.25">
      <c r="A218" s="7" t="s">
        <v>359</v>
      </c>
      <c r="B218" s="16">
        <v>45567</v>
      </c>
      <c r="C218" s="8" t="str">
        <f>TRIM(Sales_Data!C218)</f>
        <v>Johnson, John</v>
      </c>
      <c r="D218" s="8" t="str">
        <f>PROPER(TRIM(Sales_Data!D218))</f>
        <v>Mexico</v>
      </c>
      <c r="E218" s="8" t="s">
        <v>83</v>
      </c>
      <c r="F218" s="8" t="s">
        <v>52</v>
      </c>
      <c r="G218" s="8">
        <v>21</v>
      </c>
      <c r="H218" s="9">
        <v>37.450000000000003</v>
      </c>
      <c r="I218" s="87">
        <f>PRODUCT(Table1[[#This Row],[Quantity]],Table1[[#This Row],[Unit_Price]])</f>
        <v>786.45</v>
      </c>
      <c r="J218" s="9">
        <v>62.4</v>
      </c>
      <c r="K218" s="47">
        <v>136.05000000000001</v>
      </c>
      <c r="L218" s="8" t="s">
        <v>19</v>
      </c>
      <c r="M218" s="8" t="s">
        <v>32</v>
      </c>
      <c r="N218" s="10" t="s">
        <v>21</v>
      </c>
    </row>
    <row r="219" spans="1:14" x14ac:dyDescent="0.25">
      <c r="A219" s="7" t="s">
        <v>361</v>
      </c>
      <c r="B219" s="16">
        <v>45641</v>
      </c>
      <c r="C219" s="8" t="str">
        <f>TRIM(Sales_Data!C219)</f>
        <v>Miller, Emma</v>
      </c>
      <c r="D219" s="8" t="str">
        <f>PROPER(TRIM(Sales_Data!D219))</f>
        <v>Singapore</v>
      </c>
      <c r="E219" s="8" t="s">
        <v>48</v>
      </c>
      <c r="F219" s="8" t="s">
        <v>37</v>
      </c>
      <c r="G219" s="8">
        <v>25</v>
      </c>
      <c r="H219" s="9">
        <v>28.54</v>
      </c>
      <c r="I219" s="87">
        <f>PRODUCT(Table1[[#This Row],[Quantity]],Table1[[#This Row],[Unit_Price]])</f>
        <v>713.5</v>
      </c>
      <c r="J219" s="9">
        <v>50.38</v>
      </c>
      <c r="K219" s="47">
        <v>163.12</v>
      </c>
      <c r="L219" s="8" t="s">
        <v>19</v>
      </c>
      <c r="M219" s="8" t="s">
        <v>20</v>
      </c>
      <c r="N219" s="10" t="s">
        <v>58</v>
      </c>
    </row>
    <row r="220" spans="1:14" x14ac:dyDescent="0.25">
      <c r="A220" s="7" t="s">
        <v>362</v>
      </c>
      <c r="B220" s="16">
        <v>45716</v>
      </c>
      <c r="C220" s="8" t="str">
        <f>TRIM(Sales_Data!C220)</f>
        <v>Hernandez, John</v>
      </c>
      <c r="D220" s="8" t="str">
        <f>PROPER(TRIM(Sales_Data!D220))</f>
        <v>Usa</v>
      </c>
      <c r="E220" s="8" t="s">
        <v>56</v>
      </c>
      <c r="F220" s="8" t="s">
        <v>57</v>
      </c>
      <c r="G220" s="8">
        <v>11</v>
      </c>
      <c r="H220" s="9">
        <v>38.07</v>
      </c>
      <c r="I220" s="87">
        <f>PRODUCT(Table1[[#This Row],[Quantity]],Table1[[#This Row],[Unit_Price]])</f>
        <v>418.77</v>
      </c>
      <c r="J220" s="9">
        <v>29.02</v>
      </c>
      <c r="K220" s="47">
        <v>114.75</v>
      </c>
      <c r="L220" s="8" t="s">
        <v>26</v>
      </c>
      <c r="M220" s="8" t="s">
        <v>20</v>
      </c>
      <c r="N220" s="10" t="s">
        <v>21</v>
      </c>
    </row>
    <row r="221" spans="1:14" x14ac:dyDescent="0.25">
      <c r="A221" s="7" t="s">
        <v>363</v>
      </c>
      <c r="B221" s="16">
        <v>45587</v>
      </c>
      <c r="C221" s="8" t="str">
        <f>TRIM(Sales_Data!C221)</f>
        <v>Brown, Sophia</v>
      </c>
      <c r="D221" s="8" t="str">
        <f>PROPER(TRIM(Sales_Data!D221))</f>
        <v>Canada</v>
      </c>
      <c r="E221" s="8" t="s">
        <v>60</v>
      </c>
      <c r="F221" s="8" t="s">
        <v>52</v>
      </c>
      <c r="G221" s="8">
        <v>18</v>
      </c>
      <c r="H221" s="9">
        <v>19.32</v>
      </c>
      <c r="I221" s="87">
        <f>PRODUCT(Table1[[#This Row],[Quantity]],Table1[[#This Row],[Unit_Price]])</f>
        <v>347.76</v>
      </c>
      <c r="J221" s="9">
        <v>21.34</v>
      </c>
      <c r="K221" s="47">
        <v>47.42</v>
      </c>
      <c r="L221" s="8" t="s">
        <v>26</v>
      </c>
      <c r="M221" s="8" t="s">
        <v>20</v>
      </c>
      <c r="N221" s="10" t="s">
        <v>21</v>
      </c>
    </row>
    <row r="222" spans="1:14" x14ac:dyDescent="0.25">
      <c r="A222" s="7" t="s">
        <v>365</v>
      </c>
      <c r="B222" s="16">
        <v>45450</v>
      </c>
      <c r="C222" s="8" t="str">
        <f>TRIM(Sales_Data!C222)</f>
        <v>Martinez, James</v>
      </c>
      <c r="D222" s="8" t="str">
        <f>PROPER(TRIM(Sales_Data!D222))</f>
        <v>Uk</v>
      </c>
      <c r="E222" s="8" t="s">
        <v>83</v>
      </c>
      <c r="F222" s="8" t="s">
        <v>52</v>
      </c>
      <c r="G222" s="8">
        <v>42</v>
      </c>
      <c r="H222" s="9">
        <v>50.02</v>
      </c>
      <c r="I222" s="87">
        <f>PRODUCT(Table1[[#This Row],[Quantity]],Table1[[#This Row],[Unit_Price]])</f>
        <v>2100.84</v>
      </c>
      <c r="J222" s="9">
        <v>89.65</v>
      </c>
      <c r="K222" s="47">
        <v>835.19</v>
      </c>
      <c r="L222" s="8" t="s">
        <v>26</v>
      </c>
      <c r="M222" s="8" t="s">
        <v>27</v>
      </c>
      <c r="N222" s="10" t="s">
        <v>28</v>
      </c>
    </row>
    <row r="223" spans="1:14" x14ac:dyDescent="0.25">
      <c r="A223" s="7" t="s">
        <v>366</v>
      </c>
      <c r="B223" s="16">
        <v>45663</v>
      </c>
      <c r="C223" s="8" t="str">
        <f>TRIM(Sales_Data!C223)</f>
        <v>Smith, James</v>
      </c>
      <c r="D223" s="8" t="str">
        <f>PROPER(TRIM(Sales_Data!D223))</f>
        <v>Australia</v>
      </c>
      <c r="E223" s="8" t="s">
        <v>83</v>
      </c>
      <c r="F223" s="8" t="s">
        <v>52</v>
      </c>
      <c r="G223" s="8">
        <v>13</v>
      </c>
      <c r="H223" s="9">
        <v>49.39</v>
      </c>
      <c r="I223" s="87">
        <f>PRODUCT(Table1[[#This Row],[Quantity]],Table1[[#This Row],[Unit_Price]])</f>
        <v>642.07000000000005</v>
      </c>
      <c r="J223" s="9">
        <v>38.32</v>
      </c>
      <c r="K223" s="47">
        <v>239.75</v>
      </c>
      <c r="L223" s="8" t="s">
        <v>26</v>
      </c>
      <c r="M223" s="8" t="s">
        <v>20</v>
      </c>
      <c r="N223" s="10" t="s">
        <v>130</v>
      </c>
    </row>
    <row r="224" spans="1:14" x14ac:dyDescent="0.25">
      <c r="A224" s="7" t="s">
        <v>367</v>
      </c>
      <c r="B224" s="16">
        <v>45784</v>
      </c>
      <c r="C224" s="8" t="str">
        <f>TRIM(Sales_Data!C224)</f>
        <v>Miller, David</v>
      </c>
      <c r="D224" s="8" t="str">
        <f>PROPER(TRIM(Sales_Data!D224))</f>
        <v>Uk</v>
      </c>
      <c r="E224" s="8" t="s">
        <v>25</v>
      </c>
      <c r="F224" s="8" t="s">
        <v>18</v>
      </c>
      <c r="G224" s="8">
        <v>15</v>
      </c>
      <c r="H224" s="9">
        <v>22.86</v>
      </c>
      <c r="I224" s="87">
        <f>PRODUCT(Table1[[#This Row],[Quantity]],Table1[[#This Row],[Unit_Price]])</f>
        <v>342.9</v>
      </c>
      <c r="J224" s="9">
        <v>27.16</v>
      </c>
      <c r="K224" s="47">
        <v>45.74</v>
      </c>
      <c r="L224" s="8" t="s">
        <v>38</v>
      </c>
      <c r="M224" s="8" t="s">
        <v>32</v>
      </c>
      <c r="N224" s="10" t="s">
        <v>28</v>
      </c>
    </row>
    <row r="225" spans="1:14" x14ac:dyDescent="0.25">
      <c r="A225" s="7" t="s">
        <v>368</v>
      </c>
      <c r="B225" s="16">
        <v>45554</v>
      </c>
      <c r="C225" s="8" t="str">
        <f>TRIM(Sales_Data!C225)</f>
        <v>Johnson, John</v>
      </c>
      <c r="D225" s="8" t="str">
        <f>PROPER(TRIM(Sales_Data!D225))</f>
        <v>India</v>
      </c>
      <c r="E225" s="8" t="s">
        <v>56</v>
      </c>
      <c r="F225" s="8" t="s">
        <v>57</v>
      </c>
      <c r="G225" s="8">
        <v>37</v>
      </c>
      <c r="H225" s="9">
        <v>37.270000000000003</v>
      </c>
      <c r="I225" s="87">
        <f>PRODUCT(Table1[[#This Row],[Quantity]],Table1[[#This Row],[Unit_Price]])</f>
        <v>1378.99</v>
      </c>
      <c r="J225" s="9">
        <v>92.92</v>
      </c>
      <c r="K225" s="47">
        <v>361.07</v>
      </c>
      <c r="L225" s="8" t="s">
        <v>19</v>
      </c>
      <c r="M225" s="8" t="s">
        <v>20</v>
      </c>
      <c r="N225" s="10" t="s">
        <v>58</v>
      </c>
    </row>
    <row r="226" spans="1:14" x14ac:dyDescent="0.25">
      <c r="A226" s="7" t="s">
        <v>369</v>
      </c>
      <c r="B226" s="16">
        <v>45374</v>
      </c>
      <c r="C226" s="8" t="str">
        <f>TRIM(Sales_Data!C226)</f>
        <v>Johnson, Michael</v>
      </c>
      <c r="D226" s="8" t="str">
        <f>PROPER(TRIM(Sales_Data!D226))</f>
        <v>France</v>
      </c>
      <c r="E226" s="8" t="s">
        <v>17</v>
      </c>
      <c r="F226" s="8" t="s">
        <v>18</v>
      </c>
      <c r="G226" s="8">
        <v>49</v>
      </c>
      <c r="H226" s="9">
        <v>54.05</v>
      </c>
      <c r="I226" s="87">
        <f>PRODUCT(Table1[[#This Row],[Quantity]],Table1[[#This Row],[Unit_Price]])</f>
        <v>2648.45</v>
      </c>
      <c r="J226" s="9">
        <v>66.8</v>
      </c>
      <c r="K226" s="47">
        <v>866.65</v>
      </c>
      <c r="L226" s="8" t="s">
        <v>38</v>
      </c>
      <c r="M226" s="8" t="s">
        <v>20</v>
      </c>
      <c r="N226" s="10" t="s">
        <v>28</v>
      </c>
    </row>
    <row r="227" spans="1:14" x14ac:dyDescent="0.25">
      <c r="A227" s="7" t="s">
        <v>370</v>
      </c>
      <c r="B227" s="16">
        <v>45522</v>
      </c>
      <c r="C227" s="8" t="str">
        <f>TRIM(Sales_Data!C227)</f>
        <v>Jones, Emma</v>
      </c>
      <c r="D227" s="8" t="str">
        <f>PROPER(TRIM(Sales_Data!D227))</f>
        <v>Uk</v>
      </c>
      <c r="E227" s="8" t="s">
        <v>63</v>
      </c>
      <c r="F227" s="8" t="s">
        <v>37</v>
      </c>
      <c r="G227" s="8">
        <v>33</v>
      </c>
      <c r="H227" s="9">
        <v>20.059999999999999</v>
      </c>
      <c r="I227" s="87">
        <f>PRODUCT(Table1[[#This Row],[Quantity]],Table1[[#This Row],[Unit_Price]])</f>
        <v>661.9799999999999</v>
      </c>
      <c r="J227" s="9">
        <v>50.02</v>
      </c>
      <c r="K227" s="47">
        <v>191.21</v>
      </c>
      <c r="L227" s="8" t="s">
        <v>38</v>
      </c>
      <c r="M227" s="8" t="s">
        <v>27</v>
      </c>
      <c r="N227" s="10" t="s">
        <v>28</v>
      </c>
    </row>
    <row r="228" spans="1:14" x14ac:dyDescent="0.25">
      <c r="A228" s="7" t="s">
        <v>372</v>
      </c>
      <c r="B228" s="16">
        <v>45603</v>
      </c>
      <c r="C228" s="8" t="str">
        <f>TRIM(Sales_Data!C228)</f>
        <v>Miller, Sarah</v>
      </c>
      <c r="D228" s="8" t="str">
        <f>PROPER(TRIM(Sales_Data!D228))</f>
        <v>Germany</v>
      </c>
      <c r="E228" s="8" t="s">
        <v>83</v>
      </c>
      <c r="F228" s="8" t="s">
        <v>52</v>
      </c>
      <c r="G228" s="8">
        <v>49</v>
      </c>
      <c r="H228" s="9">
        <v>35.68</v>
      </c>
      <c r="I228" s="87">
        <f>PRODUCT(Table1[[#This Row],[Quantity]],Table1[[#This Row],[Unit_Price]])</f>
        <v>1748.32</v>
      </c>
      <c r="J228" s="9">
        <v>124.47</v>
      </c>
      <c r="K228" s="47">
        <v>251.85</v>
      </c>
      <c r="L228" s="8" t="s">
        <v>38</v>
      </c>
      <c r="M228" s="8" t="s">
        <v>32</v>
      </c>
      <c r="N228" s="10" t="s">
        <v>28</v>
      </c>
    </row>
    <row r="229" spans="1:14" x14ac:dyDescent="0.25">
      <c r="A229" s="7" t="s">
        <v>373</v>
      </c>
      <c r="B229" s="16">
        <v>45718</v>
      </c>
      <c r="C229" s="8" t="str">
        <f>TRIM(Sales_Data!C229)</f>
        <v>Davis, John</v>
      </c>
      <c r="D229" s="8" t="str">
        <f>PROPER(TRIM(Sales_Data!D229))</f>
        <v>India</v>
      </c>
      <c r="E229" s="8" t="s">
        <v>56</v>
      </c>
      <c r="F229" s="8" t="s">
        <v>57</v>
      </c>
      <c r="G229" s="8">
        <v>23</v>
      </c>
      <c r="H229" s="9">
        <v>30.89</v>
      </c>
      <c r="I229" s="87">
        <f>PRODUCT(Table1[[#This Row],[Quantity]],Table1[[#This Row],[Unit_Price]])</f>
        <v>710.47</v>
      </c>
      <c r="J229" s="9">
        <v>18.739999999999998</v>
      </c>
      <c r="K229" s="47">
        <v>116.73</v>
      </c>
      <c r="L229" s="8" t="s">
        <v>26</v>
      </c>
      <c r="M229" s="8" t="s">
        <v>20</v>
      </c>
      <c r="N229" s="10" t="s">
        <v>58</v>
      </c>
    </row>
    <row r="230" spans="1:14" x14ac:dyDescent="0.25">
      <c r="A230" s="7" t="s">
        <v>374</v>
      </c>
      <c r="B230" s="16">
        <v>45566</v>
      </c>
      <c r="C230" s="8" t="str">
        <f>TRIM(Sales_Data!C230)</f>
        <v>Miller, Daniel</v>
      </c>
      <c r="D230" s="8" t="str">
        <f>PROPER(TRIM(Sales_Data!D230))</f>
        <v>France</v>
      </c>
      <c r="E230" s="8" t="s">
        <v>17</v>
      </c>
      <c r="F230" s="8" t="s">
        <v>18</v>
      </c>
      <c r="G230" s="8">
        <v>14</v>
      </c>
      <c r="H230" s="9">
        <v>59.6</v>
      </c>
      <c r="I230" s="87">
        <f>PRODUCT(Table1[[#This Row],[Quantity]],Table1[[#This Row],[Unit_Price]])</f>
        <v>834.4</v>
      </c>
      <c r="J230" s="9">
        <v>19.11</v>
      </c>
      <c r="K230" s="47">
        <v>325.29000000000002</v>
      </c>
      <c r="L230" s="8" t="s">
        <v>26</v>
      </c>
      <c r="M230" s="8" t="s">
        <v>27</v>
      </c>
      <c r="N230" s="10" t="s">
        <v>28</v>
      </c>
    </row>
    <row r="231" spans="1:14" x14ac:dyDescent="0.25">
      <c r="A231" s="7" t="s">
        <v>375</v>
      </c>
      <c r="B231" s="16">
        <v>45709</v>
      </c>
      <c r="C231" s="8" t="str">
        <f>TRIM(Sales_Data!C231)</f>
        <v>Jones, Emily</v>
      </c>
      <c r="D231" s="8" t="str">
        <f>PROPER(TRIM(Sales_Data!D231))</f>
        <v>Germany</v>
      </c>
      <c r="E231" s="8" t="s">
        <v>51</v>
      </c>
      <c r="F231" s="8" t="s">
        <v>52</v>
      </c>
      <c r="G231" s="8">
        <v>3</v>
      </c>
      <c r="H231" s="9">
        <v>28.36</v>
      </c>
      <c r="I231" s="87">
        <f>PRODUCT(Table1[[#This Row],[Quantity]],Table1[[#This Row],[Unit_Price]])</f>
        <v>85.08</v>
      </c>
      <c r="J231" s="9">
        <v>4.46</v>
      </c>
      <c r="K231" s="47">
        <v>13.12</v>
      </c>
      <c r="L231" s="8" t="s">
        <v>19</v>
      </c>
      <c r="M231" s="8" t="s">
        <v>27</v>
      </c>
      <c r="N231" s="10" t="s">
        <v>28</v>
      </c>
    </row>
    <row r="232" spans="1:14" x14ac:dyDescent="0.25">
      <c r="A232" s="7" t="s">
        <v>376</v>
      </c>
      <c r="B232" s="16">
        <v>45625</v>
      </c>
      <c r="C232" s="8" t="str">
        <f>TRIM(Sales_Data!C232)</f>
        <v>Smith, Daniel</v>
      </c>
      <c r="D232" s="8" t="str">
        <f>PROPER(TRIM(Sales_Data!D232))</f>
        <v>Germany</v>
      </c>
      <c r="E232" s="8" t="s">
        <v>63</v>
      </c>
      <c r="F232" s="8" t="s">
        <v>37</v>
      </c>
      <c r="G232" s="8">
        <v>28</v>
      </c>
      <c r="H232" s="9">
        <v>22.13</v>
      </c>
      <c r="I232" s="87">
        <f>PRODUCT(Table1[[#This Row],[Quantity]],Table1[[#This Row],[Unit_Price]])</f>
        <v>619.64</v>
      </c>
      <c r="J232" s="9">
        <v>17.2</v>
      </c>
      <c r="K232" s="47">
        <v>245.44</v>
      </c>
      <c r="L232" s="8" t="s">
        <v>26</v>
      </c>
      <c r="M232" s="8" t="s">
        <v>32</v>
      </c>
      <c r="N232" s="10" t="s">
        <v>28</v>
      </c>
    </row>
    <row r="233" spans="1:14" x14ac:dyDescent="0.25">
      <c r="A233" s="7" t="s">
        <v>377</v>
      </c>
      <c r="B233" s="16">
        <v>45643</v>
      </c>
      <c r="C233" s="8" t="str">
        <f>TRIM(Sales_Data!C233)</f>
        <v>Hernandez, Daniel</v>
      </c>
      <c r="D233" s="8" t="str">
        <f>PROPER(TRIM(Sales_Data!D233))</f>
        <v>Usa</v>
      </c>
      <c r="E233" s="8" t="s">
        <v>25</v>
      </c>
      <c r="F233" s="8" t="s">
        <v>18</v>
      </c>
      <c r="G233" s="8">
        <v>28</v>
      </c>
      <c r="H233" s="9">
        <v>27.62</v>
      </c>
      <c r="I233" s="87">
        <f>PRODUCT(Table1[[#This Row],[Quantity]],Table1[[#This Row],[Unit_Price]])</f>
        <v>773.36</v>
      </c>
      <c r="J233" s="9">
        <v>29.88</v>
      </c>
      <c r="K233" s="47">
        <v>239.48</v>
      </c>
      <c r="L233" s="8" t="s">
        <v>19</v>
      </c>
      <c r="M233" s="8" t="s">
        <v>20</v>
      </c>
      <c r="N233" s="10" t="s">
        <v>21</v>
      </c>
    </row>
    <row r="234" spans="1:14" x14ac:dyDescent="0.25">
      <c r="A234" s="7" t="s">
        <v>378</v>
      </c>
      <c r="B234" s="16">
        <v>45723</v>
      </c>
      <c r="C234" s="8" t="str">
        <f>TRIM(Sales_Data!C234)</f>
        <v>Martinez, Sarah</v>
      </c>
      <c r="D234" s="8" t="str">
        <f>PROPER(TRIM(Sales_Data!D234))</f>
        <v>Canada</v>
      </c>
      <c r="E234" s="8" t="s">
        <v>56</v>
      </c>
      <c r="F234" s="8" t="s">
        <v>57</v>
      </c>
      <c r="G234" s="8">
        <v>40</v>
      </c>
      <c r="H234" s="9">
        <v>34.229999999999997</v>
      </c>
      <c r="I234" s="87">
        <f>PRODUCT(Table1[[#This Row],[Quantity]],Table1[[#This Row],[Unit_Price]])</f>
        <v>1369.1999999999998</v>
      </c>
      <c r="J234" s="9">
        <v>78.03</v>
      </c>
      <c r="K234" s="47">
        <v>291.17</v>
      </c>
      <c r="L234" s="8" t="s">
        <v>19</v>
      </c>
      <c r="M234" s="8" t="s">
        <v>20</v>
      </c>
      <c r="N234" s="10" t="s">
        <v>21</v>
      </c>
    </row>
    <row r="235" spans="1:14" x14ac:dyDescent="0.25">
      <c r="A235" s="7" t="s">
        <v>379</v>
      </c>
      <c r="B235" s="16">
        <v>45665</v>
      </c>
      <c r="C235" s="8" t="str">
        <f>TRIM(Sales_Data!C235)</f>
        <v>Miller, Sophia</v>
      </c>
      <c r="D235" s="8" t="str">
        <f>PROPER(TRIM(Sales_Data!D235))</f>
        <v>Japan</v>
      </c>
      <c r="E235" s="8" t="s">
        <v>43</v>
      </c>
      <c r="F235" s="8" t="s">
        <v>44</v>
      </c>
      <c r="G235" s="8">
        <v>9</v>
      </c>
      <c r="H235" s="9">
        <v>52.2</v>
      </c>
      <c r="I235" s="87">
        <f>PRODUCT(Table1[[#This Row],[Quantity]],Table1[[#This Row],[Unit_Price]])</f>
        <v>469.8</v>
      </c>
      <c r="J235" s="9">
        <v>31.5</v>
      </c>
      <c r="K235" s="47">
        <v>78.3</v>
      </c>
      <c r="L235" s="8" t="s">
        <v>38</v>
      </c>
      <c r="M235" s="8" t="s">
        <v>32</v>
      </c>
      <c r="N235" s="10" t="s">
        <v>58</v>
      </c>
    </row>
    <row r="236" spans="1:14" x14ac:dyDescent="0.25">
      <c r="A236" s="7" t="s">
        <v>380</v>
      </c>
      <c r="B236" s="16">
        <v>45745</v>
      </c>
      <c r="C236" s="8" t="str">
        <f>TRIM(Sales_Data!C236)</f>
        <v>Hernandez, Daniel</v>
      </c>
      <c r="D236" s="8" t="str">
        <f>PROPER(TRIM(Sales_Data!D236))</f>
        <v>France</v>
      </c>
      <c r="E236" s="8" t="s">
        <v>56</v>
      </c>
      <c r="F236" s="8" t="s">
        <v>57</v>
      </c>
      <c r="G236" s="8">
        <v>31</v>
      </c>
      <c r="H236" s="9">
        <v>43.54</v>
      </c>
      <c r="I236" s="87">
        <f>PRODUCT(Table1[[#This Row],[Quantity]],Table1[[#This Row],[Unit_Price]])</f>
        <v>1349.74</v>
      </c>
      <c r="J236" s="9">
        <v>99.86</v>
      </c>
      <c r="K236" s="47">
        <v>474.88</v>
      </c>
      <c r="L236" s="8" t="s">
        <v>19</v>
      </c>
      <c r="M236" s="8" t="s">
        <v>27</v>
      </c>
      <c r="N236" s="10" t="s">
        <v>28</v>
      </c>
    </row>
    <row r="237" spans="1:14" x14ac:dyDescent="0.25">
      <c r="A237" s="7" t="s">
        <v>381</v>
      </c>
      <c r="B237" s="16">
        <v>45788</v>
      </c>
      <c r="C237" s="8" t="str">
        <f>TRIM(Sales_Data!C237)</f>
        <v>Williams, Laura</v>
      </c>
      <c r="D237" s="8" t="str">
        <f>PROPER(TRIM(Sales_Data!D237))</f>
        <v>Uae</v>
      </c>
      <c r="E237" s="8" t="s">
        <v>60</v>
      </c>
      <c r="F237" s="8" t="s">
        <v>52</v>
      </c>
      <c r="G237" s="8">
        <v>31</v>
      </c>
      <c r="H237" s="9">
        <v>18.63</v>
      </c>
      <c r="I237" s="87">
        <f>PRODUCT(Table1[[#This Row],[Quantity]],Table1[[#This Row],[Unit_Price]])</f>
        <v>577.53</v>
      </c>
      <c r="J237" s="9">
        <v>36.65</v>
      </c>
      <c r="K237" s="47">
        <v>60.38</v>
      </c>
      <c r="L237" s="8" t="s">
        <v>38</v>
      </c>
      <c r="M237" s="8" t="s">
        <v>20</v>
      </c>
      <c r="N237" s="10" t="s">
        <v>58</v>
      </c>
    </row>
    <row r="238" spans="1:14" x14ac:dyDescent="0.25">
      <c r="A238" s="7" t="s">
        <v>382</v>
      </c>
      <c r="B238" s="16">
        <v>45331</v>
      </c>
      <c r="C238" s="8" t="str">
        <f>TRIM(Sales_Data!C238)</f>
        <v>Jones, Daniel</v>
      </c>
      <c r="D238" s="8" t="str">
        <f>PROPER(TRIM(Sales_Data!D238))</f>
        <v>Japan</v>
      </c>
      <c r="E238" s="8" t="s">
        <v>48</v>
      </c>
      <c r="F238" s="8" t="s">
        <v>37</v>
      </c>
      <c r="G238" s="8">
        <v>38</v>
      </c>
      <c r="H238" s="9">
        <v>27.28</v>
      </c>
      <c r="I238" s="87">
        <f>PRODUCT(Table1[[#This Row],[Quantity]],Table1[[#This Row],[Unit_Price]])</f>
        <v>1036.6400000000001</v>
      </c>
      <c r="J238" s="9">
        <v>38.770000000000003</v>
      </c>
      <c r="K238" s="47">
        <v>237.87</v>
      </c>
      <c r="L238" s="8" t="s">
        <v>19</v>
      </c>
      <c r="M238" s="8" t="s">
        <v>32</v>
      </c>
      <c r="N238" s="10" t="s">
        <v>58</v>
      </c>
    </row>
    <row r="239" spans="1:14" x14ac:dyDescent="0.25">
      <c r="A239" s="7" t="s">
        <v>383</v>
      </c>
      <c r="B239" s="16">
        <v>45616</v>
      </c>
      <c r="C239" s="8" t="str">
        <f>TRIM(Sales_Data!C239)</f>
        <v>Miller, Sarah</v>
      </c>
      <c r="D239" s="8" t="str">
        <f>PROPER(TRIM(Sales_Data!D239))</f>
        <v>Brazil</v>
      </c>
      <c r="E239" s="8" t="s">
        <v>25</v>
      </c>
      <c r="F239" s="8" t="s">
        <v>18</v>
      </c>
      <c r="G239" s="8">
        <v>50</v>
      </c>
      <c r="H239" s="9">
        <v>30.97</v>
      </c>
      <c r="I239" s="87">
        <f>PRODUCT(Table1[[#This Row],[Quantity]],Table1[[#This Row],[Unit_Price]])</f>
        <v>1548.5</v>
      </c>
      <c r="J239" s="9">
        <v>82.09</v>
      </c>
      <c r="K239" s="47">
        <v>566.41</v>
      </c>
      <c r="L239" s="8" t="s">
        <v>26</v>
      </c>
      <c r="M239" s="8" t="s">
        <v>27</v>
      </c>
      <c r="N239" s="10" t="s">
        <v>39</v>
      </c>
    </row>
    <row r="240" spans="1:14" x14ac:dyDescent="0.25">
      <c r="A240" s="7" t="s">
        <v>384</v>
      </c>
      <c r="B240" s="16">
        <v>45350</v>
      </c>
      <c r="C240" s="8" t="str">
        <f>TRIM(Sales_Data!C240)</f>
        <v>Williams, David</v>
      </c>
      <c r="D240" s="8" t="str">
        <f>PROPER(TRIM(Sales_Data!D240))</f>
        <v>Japan</v>
      </c>
      <c r="E240" s="8" t="s">
        <v>43</v>
      </c>
      <c r="F240" s="8" t="s">
        <v>44</v>
      </c>
      <c r="G240" s="8">
        <v>17</v>
      </c>
      <c r="H240" s="9">
        <v>60.91</v>
      </c>
      <c r="I240" s="87">
        <f>PRODUCT(Table1[[#This Row],[Quantity]],Table1[[#This Row],[Unit_Price]])</f>
        <v>1035.47</v>
      </c>
      <c r="J240" s="9">
        <v>54.09</v>
      </c>
      <c r="K240" s="47">
        <v>301.38</v>
      </c>
      <c r="L240" s="8" t="s">
        <v>38</v>
      </c>
      <c r="M240" s="8" t="s">
        <v>20</v>
      </c>
      <c r="N240" s="10" t="s">
        <v>58</v>
      </c>
    </row>
    <row r="241" spans="1:14" x14ac:dyDescent="0.25">
      <c r="A241" s="7" t="s">
        <v>385</v>
      </c>
      <c r="B241" s="16">
        <v>45789</v>
      </c>
      <c r="C241" s="8" t="str">
        <f>TRIM(Sales_Data!C241)</f>
        <v>Johnson, Sophia</v>
      </c>
      <c r="D241" s="8" t="str">
        <f>PROPER(TRIM(Sales_Data!D241))</f>
        <v>China</v>
      </c>
      <c r="E241" s="8" t="s">
        <v>48</v>
      </c>
      <c r="F241" s="8" t="s">
        <v>37</v>
      </c>
      <c r="G241" s="8">
        <v>25</v>
      </c>
      <c r="H241" s="9">
        <v>31.15</v>
      </c>
      <c r="I241" s="87">
        <f>PRODUCT(Table1[[#This Row],[Quantity]],Table1[[#This Row],[Unit_Price]])</f>
        <v>778.75</v>
      </c>
      <c r="J241" s="9">
        <v>47.45</v>
      </c>
      <c r="K241" s="47">
        <v>231.3</v>
      </c>
      <c r="L241" s="8" t="s">
        <v>19</v>
      </c>
      <c r="M241" s="8" t="s">
        <v>32</v>
      </c>
      <c r="N241" s="10" t="s">
        <v>58</v>
      </c>
    </row>
    <row r="242" spans="1:14" x14ac:dyDescent="0.25">
      <c r="A242" s="7" t="s">
        <v>386</v>
      </c>
      <c r="B242" s="16">
        <v>45499</v>
      </c>
      <c r="C242" s="8" t="str">
        <f>TRIM(Sales_Data!C242)</f>
        <v>Brown, John</v>
      </c>
      <c r="D242" s="8" t="str">
        <f>PROPER(TRIM(Sales_Data!D242))</f>
        <v>France</v>
      </c>
      <c r="E242" s="8" t="s">
        <v>25</v>
      </c>
      <c r="F242" s="8" t="s">
        <v>18</v>
      </c>
      <c r="G242" s="8">
        <v>30</v>
      </c>
      <c r="H242" s="9">
        <v>31.12</v>
      </c>
      <c r="I242" s="87">
        <f>PRODUCT(Table1[[#This Row],[Quantity]],Table1[[#This Row],[Unit_Price]])</f>
        <v>933.6</v>
      </c>
      <c r="J242" s="9">
        <v>50.88</v>
      </c>
      <c r="K242" s="47">
        <v>342.72</v>
      </c>
      <c r="L242" s="8" t="s">
        <v>26</v>
      </c>
      <c r="M242" s="8" t="s">
        <v>27</v>
      </c>
      <c r="N242" s="10" t="s">
        <v>28</v>
      </c>
    </row>
    <row r="243" spans="1:14" x14ac:dyDescent="0.25">
      <c r="A243" s="7" t="s">
        <v>387</v>
      </c>
      <c r="B243" s="16">
        <v>45691</v>
      </c>
      <c r="C243" s="8" t="str">
        <f>TRIM(Sales_Data!C243)</f>
        <v>Hernandez, John</v>
      </c>
      <c r="D243" s="8" t="str">
        <f>PROPER(TRIM(Sales_Data!D243))</f>
        <v>Mexico</v>
      </c>
      <c r="E243" s="8" t="s">
        <v>60</v>
      </c>
      <c r="F243" s="8" t="s">
        <v>52</v>
      </c>
      <c r="G243" s="8">
        <v>17</v>
      </c>
      <c r="H243" s="9">
        <v>19.64</v>
      </c>
      <c r="I243" s="87">
        <f>PRODUCT(Table1[[#This Row],[Quantity]],Table1[[#This Row],[Unit_Price]])</f>
        <v>333.88</v>
      </c>
      <c r="J243" s="9">
        <v>22.23</v>
      </c>
      <c r="K243" s="47">
        <v>48.15</v>
      </c>
      <c r="L243" s="8" t="s">
        <v>38</v>
      </c>
      <c r="M243" s="8" t="s">
        <v>32</v>
      </c>
      <c r="N243" s="10" t="s">
        <v>21</v>
      </c>
    </row>
    <row r="244" spans="1:14" x14ac:dyDescent="0.25">
      <c r="A244" s="7" t="s">
        <v>388</v>
      </c>
      <c r="B244" s="16">
        <v>45457</v>
      </c>
      <c r="C244" s="8" t="str">
        <f>TRIM(Sales_Data!C244)</f>
        <v>Johnson, Laura</v>
      </c>
      <c r="D244" s="8" t="str">
        <f>PROPER(TRIM(Sales_Data!D244))</f>
        <v>Usa</v>
      </c>
      <c r="E244" s="8" t="s">
        <v>36</v>
      </c>
      <c r="F244" s="8" t="s">
        <v>37</v>
      </c>
      <c r="G244" s="8">
        <v>37</v>
      </c>
      <c r="H244" s="9">
        <v>57.35</v>
      </c>
      <c r="I244" s="87">
        <f>PRODUCT(Table1[[#This Row],[Quantity]],Table1[[#This Row],[Unit_Price]])</f>
        <v>2121.9500000000003</v>
      </c>
      <c r="J244" s="9">
        <v>147.38999999999999</v>
      </c>
      <c r="K244" s="47">
        <v>790.56</v>
      </c>
      <c r="L244" s="8" t="s">
        <v>19</v>
      </c>
      <c r="M244" s="8" t="s">
        <v>20</v>
      </c>
      <c r="N244" s="10" t="s">
        <v>21</v>
      </c>
    </row>
    <row r="245" spans="1:14" x14ac:dyDescent="0.25">
      <c r="A245" s="7" t="s">
        <v>390</v>
      </c>
      <c r="B245" s="16">
        <v>45707</v>
      </c>
      <c r="C245" s="8" t="str">
        <f>TRIM(Sales_Data!C245)</f>
        <v>Smith, Emily</v>
      </c>
      <c r="D245" s="8" t="str">
        <f>PROPER(TRIM(Sales_Data!D245))</f>
        <v>Italy</v>
      </c>
      <c r="E245" s="8" t="s">
        <v>17</v>
      </c>
      <c r="F245" s="8" t="s">
        <v>18</v>
      </c>
      <c r="G245" s="8">
        <v>45</v>
      </c>
      <c r="H245" s="9">
        <v>42.6</v>
      </c>
      <c r="I245" s="87">
        <f>PRODUCT(Table1[[#This Row],[Quantity]],Table1[[#This Row],[Unit_Price]])</f>
        <v>1917</v>
      </c>
      <c r="J245" s="9">
        <v>104.27</v>
      </c>
      <c r="K245" s="47">
        <v>237.73</v>
      </c>
      <c r="L245" s="8" t="s">
        <v>26</v>
      </c>
      <c r="M245" s="8" t="s">
        <v>32</v>
      </c>
      <c r="N245" s="10" t="s">
        <v>28</v>
      </c>
    </row>
    <row r="246" spans="1:14" x14ac:dyDescent="0.25">
      <c r="A246" s="7" t="s">
        <v>391</v>
      </c>
      <c r="B246" s="16">
        <v>45465</v>
      </c>
      <c r="C246" s="8" t="str">
        <f>TRIM(Sales_Data!C246)</f>
        <v>Brown, Michael</v>
      </c>
      <c r="D246" s="8" t="str">
        <f>PROPER(TRIM(Sales_Data!D246))</f>
        <v>Uk</v>
      </c>
      <c r="E246" s="8" t="s">
        <v>48</v>
      </c>
      <c r="F246" s="8" t="s">
        <v>37</v>
      </c>
      <c r="G246" s="8">
        <v>25</v>
      </c>
      <c r="H246" s="9">
        <v>31.82</v>
      </c>
      <c r="I246" s="87">
        <f>PRODUCT(Table1[[#This Row],[Quantity]],Table1[[#This Row],[Unit_Price]])</f>
        <v>795.5</v>
      </c>
      <c r="J246" s="9">
        <v>37.33</v>
      </c>
      <c r="K246" s="47">
        <v>258.17</v>
      </c>
      <c r="L246" s="8" t="s">
        <v>19</v>
      </c>
      <c r="M246" s="8" t="s">
        <v>27</v>
      </c>
      <c r="N246" s="10" t="s">
        <v>28</v>
      </c>
    </row>
    <row r="247" spans="1:14" x14ac:dyDescent="0.25">
      <c r="A247" s="7" t="s">
        <v>392</v>
      </c>
      <c r="B247" s="16">
        <v>45778</v>
      </c>
      <c r="C247" s="8" t="str">
        <f>TRIM(Sales_Data!C247)</f>
        <v>Williams, Emma</v>
      </c>
      <c r="D247" s="8" t="str">
        <f>PROPER(TRIM(Sales_Data!D247))</f>
        <v>India</v>
      </c>
      <c r="E247" s="8" t="s">
        <v>56</v>
      </c>
      <c r="F247" s="8" t="s">
        <v>57</v>
      </c>
      <c r="G247" s="8">
        <v>17</v>
      </c>
      <c r="H247" s="9">
        <v>36.270000000000003</v>
      </c>
      <c r="I247" s="87">
        <f>PRODUCT(Table1[[#This Row],[Quantity]],Table1[[#This Row],[Unit_Price]])</f>
        <v>616.59</v>
      </c>
      <c r="J247" s="9">
        <v>22.76</v>
      </c>
      <c r="K247" s="47">
        <v>168.83</v>
      </c>
      <c r="L247" s="8" t="s">
        <v>38</v>
      </c>
      <c r="M247" s="8" t="s">
        <v>20</v>
      </c>
      <c r="N247" s="10" t="s">
        <v>58</v>
      </c>
    </row>
    <row r="248" spans="1:14" x14ac:dyDescent="0.25">
      <c r="A248" s="7" t="s">
        <v>393</v>
      </c>
      <c r="B248" s="16">
        <v>45601</v>
      </c>
      <c r="C248" s="8" t="str">
        <f>TRIM(Sales_Data!C248)</f>
        <v>Garcia, Emma</v>
      </c>
      <c r="D248" s="8" t="str">
        <f>PROPER(TRIM(Sales_Data!D248))</f>
        <v>Uae</v>
      </c>
      <c r="E248" s="8" t="s">
        <v>25</v>
      </c>
      <c r="F248" s="8" t="s">
        <v>18</v>
      </c>
      <c r="G248" s="8">
        <v>4</v>
      </c>
      <c r="H248" s="9">
        <v>27.01</v>
      </c>
      <c r="I248" s="87">
        <f>PRODUCT(Table1[[#This Row],[Quantity]],Table1[[#This Row],[Unit_Price]])</f>
        <v>108.04</v>
      </c>
      <c r="J248" s="9">
        <v>4.7300000000000004</v>
      </c>
      <c r="K248" s="47">
        <v>31.31</v>
      </c>
      <c r="L248" s="8" t="s">
        <v>38</v>
      </c>
      <c r="M248" s="8" t="s">
        <v>32</v>
      </c>
      <c r="N248" s="10" t="s">
        <v>58</v>
      </c>
    </row>
    <row r="249" spans="1:14" x14ac:dyDescent="0.25">
      <c r="A249" s="7" t="s">
        <v>394</v>
      </c>
      <c r="B249" s="16">
        <v>45417</v>
      </c>
      <c r="C249" s="8" t="str">
        <f>TRIM(Sales_Data!C249)</f>
        <v>Martinez, Emily</v>
      </c>
      <c r="D249" s="8" t="str">
        <f>PROPER(TRIM(Sales_Data!D249))</f>
        <v>Mexico</v>
      </c>
      <c r="E249" s="8" t="s">
        <v>17</v>
      </c>
      <c r="F249" s="8" t="s">
        <v>18</v>
      </c>
      <c r="G249" s="8">
        <v>22</v>
      </c>
      <c r="H249" s="9">
        <v>57.6</v>
      </c>
      <c r="I249" s="87">
        <f>PRODUCT(Table1[[#This Row],[Quantity]],Table1[[#This Row],[Unit_Price]])</f>
        <v>1267.2</v>
      </c>
      <c r="J249" s="9">
        <v>35.32</v>
      </c>
      <c r="K249" s="47">
        <v>461.88</v>
      </c>
      <c r="L249" s="8" t="s">
        <v>38</v>
      </c>
      <c r="M249" s="8" t="s">
        <v>20</v>
      </c>
      <c r="N249" s="10" t="s">
        <v>21</v>
      </c>
    </row>
    <row r="250" spans="1:14" x14ac:dyDescent="0.25">
      <c r="A250" s="7" t="s">
        <v>395</v>
      </c>
      <c r="B250" s="16">
        <v>45306</v>
      </c>
      <c r="C250" s="8" t="str">
        <f>TRIM(Sales_Data!C250)</f>
        <v>Brown, Emily</v>
      </c>
      <c r="D250" s="8" t="str">
        <f>PROPER(TRIM(Sales_Data!D250))</f>
        <v>Germany</v>
      </c>
      <c r="E250" s="8" t="s">
        <v>56</v>
      </c>
      <c r="F250" s="8" t="s">
        <v>57</v>
      </c>
      <c r="G250" s="8">
        <v>24</v>
      </c>
      <c r="H250" s="9">
        <v>43.34</v>
      </c>
      <c r="I250" s="87">
        <f>PRODUCT(Table1[[#This Row],[Quantity]],Table1[[#This Row],[Unit_Price]])</f>
        <v>1040.1600000000001</v>
      </c>
      <c r="J250" s="9">
        <v>41.18</v>
      </c>
      <c r="K250" s="47">
        <v>398.98</v>
      </c>
      <c r="L250" s="8" t="s">
        <v>19</v>
      </c>
      <c r="M250" s="8" t="s">
        <v>32</v>
      </c>
      <c r="N250" s="10" t="s">
        <v>28</v>
      </c>
    </row>
    <row r="251" spans="1:14" x14ac:dyDescent="0.25">
      <c r="A251" s="7" t="s">
        <v>396</v>
      </c>
      <c r="B251" s="16">
        <v>45711</v>
      </c>
      <c r="C251" s="8" t="str">
        <f>TRIM(Sales_Data!C251)</f>
        <v>Brown, Daniel</v>
      </c>
      <c r="D251" s="8" t="str">
        <f>PROPER(TRIM(Sales_Data!D251))</f>
        <v>Mexico</v>
      </c>
      <c r="E251" s="8" t="s">
        <v>43</v>
      </c>
      <c r="F251" s="8" t="s">
        <v>44</v>
      </c>
      <c r="G251" s="8">
        <v>37</v>
      </c>
      <c r="H251" s="9">
        <v>71.8</v>
      </c>
      <c r="I251" s="87">
        <f>PRODUCT(Table1[[#This Row],[Quantity]],Table1[[#This Row],[Unit_Price]])</f>
        <v>2656.6</v>
      </c>
      <c r="J251" s="9">
        <v>60.3</v>
      </c>
      <c r="K251" s="47">
        <v>1116.3</v>
      </c>
      <c r="L251" s="8" t="s">
        <v>26</v>
      </c>
      <c r="M251" s="8" t="s">
        <v>20</v>
      </c>
      <c r="N251" s="10" t="s">
        <v>21</v>
      </c>
    </row>
    <row r="252" spans="1:14" x14ac:dyDescent="0.25">
      <c r="A252" s="7" t="s">
        <v>397</v>
      </c>
      <c r="B252" s="16">
        <v>45471</v>
      </c>
      <c r="C252" s="8" t="str">
        <f>TRIM(Sales_Data!C252)</f>
        <v>Johnson, Laura</v>
      </c>
      <c r="D252" s="8" t="str">
        <f>PROPER(TRIM(Sales_Data!D252))</f>
        <v>Uae</v>
      </c>
      <c r="E252" s="8" t="s">
        <v>48</v>
      </c>
      <c r="F252" s="8" t="s">
        <v>37</v>
      </c>
      <c r="G252" s="8">
        <v>24</v>
      </c>
      <c r="H252" s="9">
        <v>29.11</v>
      </c>
      <c r="I252" s="87">
        <f>PRODUCT(Table1[[#This Row],[Quantity]],Table1[[#This Row],[Unit_Price]])</f>
        <v>698.64</v>
      </c>
      <c r="J252" s="9">
        <v>53.99</v>
      </c>
      <c r="K252" s="47">
        <v>164.65</v>
      </c>
      <c r="L252" s="8" t="s">
        <v>38</v>
      </c>
      <c r="M252" s="8" t="s">
        <v>32</v>
      </c>
      <c r="N252" s="10" t="s">
        <v>58</v>
      </c>
    </row>
    <row r="253" spans="1:14" x14ac:dyDescent="0.25">
      <c r="A253" s="7" t="s">
        <v>398</v>
      </c>
      <c r="B253" s="16">
        <v>45310</v>
      </c>
      <c r="C253" s="8" t="str">
        <f>TRIM(Sales_Data!C253)</f>
        <v>Smith, John</v>
      </c>
      <c r="D253" s="8" t="str">
        <f>PROPER(TRIM(Sales_Data!D253))</f>
        <v>Japan</v>
      </c>
      <c r="E253" s="8" t="s">
        <v>51</v>
      </c>
      <c r="F253" s="8" t="s">
        <v>52</v>
      </c>
      <c r="G253" s="8">
        <v>6</v>
      </c>
      <c r="H253" s="9">
        <v>27.91</v>
      </c>
      <c r="I253" s="87">
        <f>PRODUCT(Table1[[#This Row],[Quantity]],Table1[[#This Row],[Unit_Price]])</f>
        <v>167.46</v>
      </c>
      <c r="J253" s="9">
        <v>10.01</v>
      </c>
      <c r="K253" s="47">
        <v>22.45</v>
      </c>
      <c r="L253" s="8" t="s">
        <v>19</v>
      </c>
      <c r="M253" s="8" t="s">
        <v>20</v>
      </c>
      <c r="N253" s="10" t="s">
        <v>58</v>
      </c>
    </row>
    <row r="254" spans="1:14" x14ac:dyDescent="0.25">
      <c r="A254" s="7" t="s">
        <v>400</v>
      </c>
      <c r="B254" s="16">
        <v>45331</v>
      </c>
      <c r="C254" s="8" t="str">
        <f>TRIM(Sales_Data!C254)</f>
        <v>Miller, Daniel</v>
      </c>
      <c r="D254" s="8" t="str">
        <f>PROPER(TRIM(Sales_Data!D254))</f>
        <v>China</v>
      </c>
      <c r="E254" s="8" t="s">
        <v>51</v>
      </c>
      <c r="F254" s="8" t="s">
        <v>52</v>
      </c>
      <c r="G254" s="8">
        <v>28</v>
      </c>
      <c r="H254" s="9">
        <v>27.29</v>
      </c>
      <c r="I254" s="87">
        <f>PRODUCT(Table1[[#This Row],[Quantity]],Table1[[#This Row],[Unit_Price]])</f>
        <v>764.12</v>
      </c>
      <c r="J254" s="9">
        <v>25.78</v>
      </c>
      <c r="K254" s="47">
        <v>108.34</v>
      </c>
      <c r="L254" s="8" t="s">
        <v>38</v>
      </c>
      <c r="M254" s="8" t="s">
        <v>20</v>
      </c>
      <c r="N254" s="10" t="s">
        <v>58</v>
      </c>
    </row>
    <row r="255" spans="1:14" x14ac:dyDescent="0.25">
      <c r="A255" s="7" t="s">
        <v>401</v>
      </c>
      <c r="B255" s="16">
        <v>45347</v>
      </c>
      <c r="C255" s="8" t="str">
        <f>TRIM(Sales_Data!C255)</f>
        <v>Davis, Daniel</v>
      </c>
      <c r="D255" s="8" t="str">
        <f>PROPER(TRIM(Sales_Data!D255))</f>
        <v>Mexico</v>
      </c>
      <c r="E255" s="8" t="s">
        <v>51</v>
      </c>
      <c r="F255" s="8" t="s">
        <v>52</v>
      </c>
      <c r="G255" s="8">
        <v>47</v>
      </c>
      <c r="H255" s="9">
        <v>35.880000000000003</v>
      </c>
      <c r="I255" s="87">
        <f>PRODUCT(Table1[[#This Row],[Quantity]],Table1[[#This Row],[Unit_Price]])</f>
        <v>1686.3600000000001</v>
      </c>
      <c r="J255" s="9">
        <v>70.3</v>
      </c>
      <c r="K255" s="47">
        <v>558.55999999999995</v>
      </c>
      <c r="L255" s="8" t="s">
        <v>19</v>
      </c>
      <c r="M255" s="8" t="s">
        <v>27</v>
      </c>
      <c r="N255" s="10" t="s">
        <v>21</v>
      </c>
    </row>
    <row r="256" spans="1:14" x14ac:dyDescent="0.25">
      <c r="A256" s="7" t="s">
        <v>402</v>
      </c>
      <c r="B256" s="16">
        <v>45465</v>
      </c>
      <c r="C256" s="8" t="str">
        <f>TRIM(Sales_Data!C256)</f>
        <v>Davis, Emily</v>
      </c>
      <c r="D256" s="8" t="str">
        <f>PROPER(TRIM(Sales_Data!D256))</f>
        <v>France</v>
      </c>
      <c r="E256" s="8" t="s">
        <v>60</v>
      </c>
      <c r="F256" s="8" t="s">
        <v>52</v>
      </c>
      <c r="G256" s="8">
        <v>19</v>
      </c>
      <c r="H256" s="9">
        <v>27.47</v>
      </c>
      <c r="I256" s="87">
        <f>PRODUCT(Table1[[#This Row],[Quantity]],Table1[[#This Row],[Unit_Price]])</f>
        <v>521.92999999999995</v>
      </c>
      <c r="J256" s="9">
        <v>31.29</v>
      </c>
      <c r="K256" s="47">
        <v>196.14</v>
      </c>
      <c r="L256" s="8" t="s">
        <v>26</v>
      </c>
      <c r="M256" s="8" t="s">
        <v>32</v>
      </c>
      <c r="N256" s="10" t="s">
        <v>28</v>
      </c>
    </row>
    <row r="257" spans="1:14" x14ac:dyDescent="0.25">
      <c r="A257" s="7" t="s">
        <v>403</v>
      </c>
      <c r="B257" s="16">
        <v>45598</v>
      </c>
      <c r="C257" s="8" t="str">
        <f>TRIM(Sales_Data!C257)</f>
        <v>Smith, Daniel</v>
      </c>
      <c r="D257" s="8" t="str">
        <f>PROPER(TRIM(Sales_Data!D257))</f>
        <v>Australia</v>
      </c>
      <c r="E257" s="8" t="s">
        <v>48</v>
      </c>
      <c r="F257" s="8" t="s">
        <v>37</v>
      </c>
      <c r="G257" s="8">
        <v>13</v>
      </c>
      <c r="H257" s="9">
        <v>29.26</v>
      </c>
      <c r="I257" s="87">
        <f>PRODUCT(Table1[[#This Row],[Quantity]],Table1[[#This Row],[Unit_Price]])</f>
        <v>380.38</v>
      </c>
      <c r="J257" s="9">
        <v>9.4700000000000006</v>
      </c>
      <c r="K257" s="47">
        <v>110.91</v>
      </c>
      <c r="L257" s="8" t="s">
        <v>26</v>
      </c>
      <c r="M257" s="8" t="s">
        <v>32</v>
      </c>
      <c r="N257" s="10" t="s">
        <v>130</v>
      </c>
    </row>
    <row r="258" spans="1:14" x14ac:dyDescent="0.25">
      <c r="A258" s="7" t="s">
        <v>404</v>
      </c>
      <c r="B258" s="16">
        <v>45665</v>
      </c>
      <c r="C258" s="8" t="str">
        <f>TRIM(Sales_Data!C258)</f>
        <v>Miller, James</v>
      </c>
      <c r="D258" s="8" t="str">
        <f>PROPER(TRIM(Sales_Data!D258))</f>
        <v>Germany</v>
      </c>
      <c r="E258" s="8" t="s">
        <v>25</v>
      </c>
      <c r="F258" s="8" t="s">
        <v>18</v>
      </c>
      <c r="G258" s="8">
        <v>4</v>
      </c>
      <c r="H258" s="9">
        <v>26.17</v>
      </c>
      <c r="I258" s="87">
        <f>PRODUCT(Table1[[#This Row],[Quantity]],Table1[[#This Row],[Unit_Price]])</f>
        <v>104.68</v>
      </c>
      <c r="J258" s="9">
        <v>6.33</v>
      </c>
      <c r="K258" s="47">
        <v>26.35</v>
      </c>
      <c r="L258" s="8" t="s">
        <v>19</v>
      </c>
      <c r="M258" s="8" t="s">
        <v>27</v>
      </c>
      <c r="N258" s="10" t="s">
        <v>28</v>
      </c>
    </row>
    <row r="259" spans="1:14" x14ac:dyDescent="0.25">
      <c r="A259" s="7" t="s">
        <v>405</v>
      </c>
      <c r="B259" s="16">
        <v>45304</v>
      </c>
      <c r="C259" s="8" t="str">
        <f>TRIM(Sales_Data!C259)</f>
        <v>Brown, Daniel</v>
      </c>
      <c r="D259" s="8" t="str">
        <f>PROPER(TRIM(Sales_Data!D259))</f>
        <v>Germany</v>
      </c>
      <c r="E259" s="8" t="s">
        <v>51</v>
      </c>
      <c r="F259" s="8" t="s">
        <v>52</v>
      </c>
      <c r="G259" s="8">
        <v>43</v>
      </c>
      <c r="H259" s="9">
        <v>37.32</v>
      </c>
      <c r="I259" s="87">
        <f>PRODUCT(Table1[[#This Row],[Quantity]],Table1[[#This Row],[Unit_Price]])</f>
        <v>1604.76</v>
      </c>
      <c r="J259" s="9">
        <v>61.01</v>
      </c>
      <c r="K259" s="47">
        <v>576.25</v>
      </c>
      <c r="L259" s="8" t="s">
        <v>19</v>
      </c>
      <c r="M259" s="8" t="s">
        <v>27</v>
      </c>
      <c r="N259" s="10" t="s">
        <v>28</v>
      </c>
    </row>
    <row r="260" spans="1:14" x14ac:dyDescent="0.25">
      <c r="A260" s="7" t="s">
        <v>406</v>
      </c>
      <c r="B260" s="16">
        <v>45558</v>
      </c>
      <c r="C260" s="8" t="str">
        <f>TRIM(Sales_Data!C260)</f>
        <v>Martinez, David</v>
      </c>
      <c r="D260" s="8" t="str">
        <f>PROPER(TRIM(Sales_Data!D260))</f>
        <v>South Africa</v>
      </c>
      <c r="E260" s="8" t="s">
        <v>25</v>
      </c>
      <c r="F260" s="8" t="s">
        <v>18</v>
      </c>
      <c r="G260" s="8">
        <v>27</v>
      </c>
      <c r="H260" s="9">
        <v>23.05</v>
      </c>
      <c r="I260" s="87">
        <f>PRODUCT(Table1[[#This Row],[Quantity]],Table1[[#This Row],[Unit_Price]])</f>
        <v>622.35</v>
      </c>
      <c r="J260" s="9">
        <v>20.440000000000001</v>
      </c>
      <c r="K260" s="47">
        <v>115.91</v>
      </c>
      <c r="L260" s="8" t="s">
        <v>38</v>
      </c>
      <c r="M260" s="8" t="s">
        <v>27</v>
      </c>
      <c r="N260" s="10" t="s">
        <v>87</v>
      </c>
    </row>
    <row r="261" spans="1:14" x14ac:dyDescent="0.25">
      <c r="A261" s="7" t="s">
        <v>407</v>
      </c>
      <c r="B261" s="16">
        <v>45575</v>
      </c>
      <c r="C261" s="8" t="str">
        <f>TRIM(Sales_Data!C261)</f>
        <v>Williams, Sophia</v>
      </c>
      <c r="D261" s="8" t="str">
        <f>PROPER(TRIM(Sales_Data!D261))</f>
        <v>Japan</v>
      </c>
      <c r="E261" s="8" t="s">
        <v>63</v>
      </c>
      <c r="F261" s="8" t="s">
        <v>37</v>
      </c>
      <c r="G261" s="8">
        <v>38</v>
      </c>
      <c r="H261" s="9">
        <v>19.02</v>
      </c>
      <c r="I261" s="87">
        <f>PRODUCT(Table1[[#This Row],[Quantity]],Table1[[#This Row],[Unit_Price]])</f>
        <v>722.76</v>
      </c>
      <c r="J261" s="9">
        <v>14.63</v>
      </c>
      <c r="K261" s="47">
        <v>223.63</v>
      </c>
      <c r="L261" s="8" t="s">
        <v>26</v>
      </c>
      <c r="M261" s="8" t="s">
        <v>27</v>
      </c>
      <c r="N261" s="10" t="s">
        <v>58</v>
      </c>
    </row>
    <row r="262" spans="1:14" x14ac:dyDescent="0.25">
      <c r="A262" s="7" t="s">
        <v>409</v>
      </c>
      <c r="B262" s="16">
        <v>45469</v>
      </c>
      <c r="C262" s="8" t="str">
        <f>TRIM(Sales_Data!C262)</f>
        <v>Garcia, James</v>
      </c>
      <c r="D262" s="8" t="str">
        <f>PROPER(TRIM(Sales_Data!D262))</f>
        <v>Canada</v>
      </c>
      <c r="E262" s="8" t="s">
        <v>43</v>
      </c>
      <c r="F262" s="8" t="s">
        <v>44</v>
      </c>
      <c r="G262" s="8">
        <v>10</v>
      </c>
      <c r="H262" s="9">
        <v>70.94</v>
      </c>
      <c r="I262" s="87">
        <f>PRODUCT(Table1[[#This Row],[Quantity]],Table1[[#This Row],[Unit_Price]])</f>
        <v>709.4</v>
      </c>
      <c r="J262" s="9">
        <v>18.64</v>
      </c>
      <c r="K262" s="47">
        <v>290.76</v>
      </c>
      <c r="L262" s="8" t="s">
        <v>26</v>
      </c>
      <c r="M262" s="8" t="s">
        <v>32</v>
      </c>
      <c r="N262" s="10" t="s">
        <v>21</v>
      </c>
    </row>
    <row r="263" spans="1:14" x14ac:dyDescent="0.25">
      <c r="A263" s="7" t="s">
        <v>411</v>
      </c>
      <c r="B263" s="16">
        <v>45296</v>
      </c>
      <c r="C263" s="8" t="str">
        <f>TRIM(Sales_Data!C263)</f>
        <v>Jones, Daniel</v>
      </c>
      <c r="D263" s="8" t="str">
        <f>PROPER(TRIM(Sales_Data!D263))</f>
        <v>Singapore</v>
      </c>
      <c r="E263" s="8" t="s">
        <v>56</v>
      </c>
      <c r="F263" s="8" t="s">
        <v>57</v>
      </c>
      <c r="G263" s="8">
        <v>17</v>
      </c>
      <c r="H263" s="9">
        <v>38.28</v>
      </c>
      <c r="I263" s="87">
        <f>PRODUCT(Table1[[#This Row],[Quantity]],Table1[[#This Row],[Unit_Price]])</f>
        <v>650.76</v>
      </c>
      <c r="J263" s="9">
        <v>38.43</v>
      </c>
      <c r="K263" s="47">
        <v>187.33</v>
      </c>
      <c r="L263" s="8" t="s">
        <v>26</v>
      </c>
      <c r="M263" s="8" t="s">
        <v>32</v>
      </c>
      <c r="N263" s="10" t="s">
        <v>58</v>
      </c>
    </row>
    <row r="264" spans="1:14" x14ac:dyDescent="0.25">
      <c r="A264" s="7" t="s">
        <v>412</v>
      </c>
      <c r="B264" s="16">
        <v>45544</v>
      </c>
      <c r="C264" s="8" t="str">
        <f>TRIM(Sales_Data!C264)</f>
        <v>Brown, Sophia</v>
      </c>
      <c r="D264" s="8" t="str">
        <f>PROPER(TRIM(Sales_Data!D264))</f>
        <v>Usa</v>
      </c>
      <c r="E264" s="8" t="s">
        <v>36</v>
      </c>
      <c r="F264" s="8" t="s">
        <v>37</v>
      </c>
      <c r="G264" s="8">
        <v>10</v>
      </c>
      <c r="H264" s="9">
        <v>38.799999999999997</v>
      </c>
      <c r="I264" s="87">
        <f>PRODUCT(Table1[[#This Row],[Quantity]],Table1[[#This Row],[Unit_Price]])</f>
        <v>388</v>
      </c>
      <c r="J264" s="9">
        <v>16.39</v>
      </c>
      <c r="K264" s="47">
        <v>51.61</v>
      </c>
      <c r="L264" s="8" t="s">
        <v>38</v>
      </c>
      <c r="M264" s="8" t="s">
        <v>27</v>
      </c>
      <c r="N264" s="10" t="s">
        <v>21</v>
      </c>
    </row>
    <row r="265" spans="1:14" x14ac:dyDescent="0.25">
      <c r="A265" s="7" t="s">
        <v>413</v>
      </c>
      <c r="B265" s="16">
        <v>45416</v>
      </c>
      <c r="C265" s="8" t="str">
        <f>TRIM(Sales_Data!C265)</f>
        <v>Brown, Daniel</v>
      </c>
      <c r="D265" s="8" t="str">
        <f>PROPER(TRIM(Sales_Data!D265))</f>
        <v>China</v>
      </c>
      <c r="E265" s="8" t="s">
        <v>56</v>
      </c>
      <c r="F265" s="8" t="s">
        <v>57</v>
      </c>
      <c r="G265" s="8">
        <v>3</v>
      </c>
      <c r="H265" s="9">
        <v>33.840000000000003</v>
      </c>
      <c r="I265" s="87">
        <f>PRODUCT(Table1[[#This Row],[Quantity]],Table1[[#This Row],[Unit_Price]])</f>
        <v>101.52000000000001</v>
      </c>
      <c r="J265" s="9">
        <v>2.3199999999999998</v>
      </c>
      <c r="K265" s="47">
        <v>24.2</v>
      </c>
      <c r="L265" s="8" t="s">
        <v>38</v>
      </c>
      <c r="M265" s="8" t="s">
        <v>32</v>
      </c>
      <c r="N265" s="10" t="s">
        <v>58</v>
      </c>
    </row>
    <row r="266" spans="1:14" x14ac:dyDescent="0.25">
      <c r="A266" s="7" t="s">
        <v>414</v>
      </c>
      <c r="B266" s="16">
        <v>45382</v>
      </c>
      <c r="C266" s="8" t="str">
        <f>TRIM(Sales_Data!C266)</f>
        <v>Davis, Emily</v>
      </c>
      <c r="D266" s="8" t="str">
        <f>PROPER(TRIM(Sales_Data!D266))</f>
        <v>Germany</v>
      </c>
      <c r="E266" s="8" t="s">
        <v>60</v>
      </c>
      <c r="F266" s="8" t="s">
        <v>52</v>
      </c>
      <c r="G266" s="8">
        <v>20</v>
      </c>
      <c r="H266" s="9">
        <v>21.12</v>
      </c>
      <c r="I266" s="87">
        <f>PRODUCT(Table1[[#This Row],[Quantity]],Table1[[#This Row],[Unit_Price]])</f>
        <v>422.40000000000003</v>
      </c>
      <c r="J266" s="9">
        <v>22.08</v>
      </c>
      <c r="K266" s="47">
        <v>90.32</v>
      </c>
      <c r="L266" s="8" t="s">
        <v>26</v>
      </c>
      <c r="M266" s="8" t="s">
        <v>32</v>
      </c>
      <c r="N266" s="10" t="s">
        <v>28</v>
      </c>
    </row>
    <row r="267" spans="1:14" x14ac:dyDescent="0.25">
      <c r="A267" s="7" t="s">
        <v>415</v>
      </c>
      <c r="B267" s="16">
        <v>45657</v>
      </c>
      <c r="C267" s="8" t="str">
        <f>TRIM(Sales_Data!C267)</f>
        <v>Davis, Sophia</v>
      </c>
      <c r="D267" s="8" t="str">
        <f>PROPER(TRIM(Sales_Data!D267))</f>
        <v>South Africa</v>
      </c>
      <c r="E267" s="8" t="s">
        <v>17</v>
      </c>
      <c r="F267" s="8" t="s">
        <v>18</v>
      </c>
      <c r="G267" s="8">
        <v>1</v>
      </c>
      <c r="H267" s="9">
        <v>58.15</v>
      </c>
      <c r="I267" s="87">
        <f>PRODUCT(Table1[[#This Row],[Quantity]],Table1[[#This Row],[Unit_Price]])</f>
        <v>58.15</v>
      </c>
      <c r="J267" s="9">
        <v>4.2</v>
      </c>
      <c r="K267" s="47">
        <v>18.95</v>
      </c>
      <c r="L267" s="8" t="s">
        <v>26</v>
      </c>
      <c r="M267" s="8" t="s">
        <v>27</v>
      </c>
      <c r="N267" s="10" t="s">
        <v>87</v>
      </c>
    </row>
    <row r="268" spans="1:14" x14ac:dyDescent="0.25">
      <c r="A268" s="7" t="s">
        <v>416</v>
      </c>
      <c r="B268" s="16">
        <v>45360</v>
      </c>
      <c r="C268" s="8" t="str">
        <f>TRIM(Sales_Data!C268)</f>
        <v>Martinez, Michael</v>
      </c>
      <c r="D268" s="8" t="str">
        <f>PROPER(TRIM(Sales_Data!D268))</f>
        <v>Brazil</v>
      </c>
      <c r="E268" s="8" t="s">
        <v>36</v>
      </c>
      <c r="F268" s="8" t="s">
        <v>37</v>
      </c>
      <c r="G268" s="8">
        <v>32</v>
      </c>
      <c r="H268" s="9">
        <v>45.96</v>
      </c>
      <c r="I268" s="87">
        <f>PRODUCT(Table1[[#This Row],[Quantity]],Table1[[#This Row],[Unit_Price]])</f>
        <v>1470.72</v>
      </c>
      <c r="J268" s="9">
        <v>82.77</v>
      </c>
      <c r="K268" s="47">
        <v>363.95</v>
      </c>
      <c r="L268" s="8" t="s">
        <v>19</v>
      </c>
      <c r="M268" s="8" t="s">
        <v>27</v>
      </c>
      <c r="N268" s="10" t="s">
        <v>39</v>
      </c>
    </row>
    <row r="269" spans="1:14" x14ac:dyDescent="0.25">
      <c r="A269" s="7" t="s">
        <v>417</v>
      </c>
      <c r="B269" s="16">
        <v>45777</v>
      </c>
      <c r="C269" s="8" t="str">
        <f>TRIM(Sales_Data!C269)</f>
        <v>Johnson, Emily</v>
      </c>
      <c r="D269" s="8" t="str">
        <f>PROPER(TRIM(Sales_Data!D269))</f>
        <v>Italy</v>
      </c>
      <c r="E269" s="8" t="s">
        <v>63</v>
      </c>
      <c r="F269" s="8" t="s">
        <v>37</v>
      </c>
      <c r="G269" s="8">
        <v>37</v>
      </c>
      <c r="H269" s="9">
        <v>16.82</v>
      </c>
      <c r="I269" s="87">
        <f>PRODUCT(Table1[[#This Row],[Quantity]],Table1[[#This Row],[Unit_Price]])</f>
        <v>622.34</v>
      </c>
      <c r="J269" s="9">
        <v>32.9</v>
      </c>
      <c r="K269" s="47">
        <v>117.69</v>
      </c>
      <c r="L269" s="8" t="s">
        <v>38</v>
      </c>
      <c r="M269" s="8" t="s">
        <v>27</v>
      </c>
      <c r="N269" s="10" t="s">
        <v>28</v>
      </c>
    </row>
    <row r="270" spans="1:14" x14ac:dyDescent="0.25">
      <c r="A270" s="7" t="s">
        <v>418</v>
      </c>
      <c r="B270" s="16">
        <v>45391</v>
      </c>
      <c r="C270" s="8" t="str">
        <f>TRIM(Sales_Data!C270)</f>
        <v>Hernandez, Emma</v>
      </c>
      <c r="D270" s="8" t="str">
        <f>PROPER(TRIM(Sales_Data!D270))</f>
        <v>Italy</v>
      </c>
      <c r="E270" s="8" t="s">
        <v>36</v>
      </c>
      <c r="F270" s="8" t="s">
        <v>37</v>
      </c>
      <c r="G270" s="8">
        <v>18</v>
      </c>
      <c r="H270" s="9">
        <v>54.62</v>
      </c>
      <c r="I270" s="87">
        <f>PRODUCT(Table1[[#This Row],[Quantity]],Table1[[#This Row],[Unit_Price]])</f>
        <v>983.16</v>
      </c>
      <c r="J270" s="9">
        <v>22.61</v>
      </c>
      <c r="K270" s="47">
        <v>384.55</v>
      </c>
      <c r="L270" s="8" t="s">
        <v>38</v>
      </c>
      <c r="M270" s="8" t="s">
        <v>27</v>
      </c>
      <c r="N270" s="10" t="s">
        <v>28</v>
      </c>
    </row>
    <row r="271" spans="1:14" x14ac:dyDescent="0.25">
      <c r="A271" s="7" t="s">
        <v>419</v>
      </c>
      <c r="B271" s="16">
        <v>45733</v>
      </c>
      <c r="C271" s="8" t="str">
        <f>TRIM(Sales_Data!C271)</f>
        <v>Miller, Laura</v>
      </c>
      <c r="D271" s="8" t="str">
        <f>PROPER(TRIM(Sales_Data!D271))</f>
        <v>Italy</v>
      </c>
      <c r="E271" s="8" t="s">
        <v>63</v>
      </c>
      <c r="F271" s="8" t="s">
        <v>37</v>
      </c>
      <c r="G271" s="8">
        <v>30</v>
      </c>
      <c r="H271" s="9">
        <v>22.83</v>
      </c>
      <c r="I271" s="87">
        <f>PRODUCT(Table1[[#This Row],[Quantity]],Table1[[#This Row],[Unit_Price]])</f>
        <v>684.9</v>
      </c>
      <c r="J271" s="9">
        <v>32.31</v>
      </c>
      <c r="K271" s="47">
        <v>270.08999999999997</v>
      </c>
      <c r="L271" s="8" t="s">
        <v>19</v>
      </c>
      <c r="M271" s="8" t="s">
        <v>27</v>
      </c>
      <c r="N271" s="10" t="s">
        <v>28</v>
      </c>
    </row>
    <row r="272" spans="1:14" x14ac:dyDescent="0.25">
      <c r="A272" s="7" t="s">
        <v>420</v>
      </c>
      <c r="B272" s="16">
        <v>45643</v>
      </c>
      <c r="C272" s="8" t="str">
        <f>TRIM(Sales_Data!C272)</f>
        <v>Smith, Laura</v>
      </c>
      <c r="D272" s="8" t="str">
        <f>PROPER(TRIM(Sales_Data!D272))</f>
        <v>France</v>
      </c>
      <c r="E272" s="8" t="s">
        <v>36</v>
      </c>
      <c r="F272" s="8" t="s">
        <v>37</v>
      </c>
      <c r="G272" s="8">
        <v>39</v>
      </c>
      <c r="H272" s="9">
        <v>47.02</v>
      </c>
      <c r="I272" s="87">
        <f>PRODUCT(Table1[[#This Row],[Quantity]],Table1[[#This Row],[Unit_Price]])</f>
        <v>1833.7800000000002</v>
      </c>
      <c r="J272" s="9">
        <v>50.01</v>
      </c>
      <c r="K272" s="47">
        <v>535.77</v>
      </c>
      <c r="L272" s="8" t="s">
        <v>38</v>
      </c>
      <c r="M272" s="8" t="s">
        <v>27</v>
      </c>
      <c r="N272" s="10" t="s">
        <v>28</v>
      </c>
    </row>
    <row r="273" spans="1:14" x14ac:dyDescent="0.25">
      <c r="A273" s="7" t="s">
        <v>422</v>
      </c>
      <c r="B273" s="16">
        <v>45774</v>
      </c>
      <c r="C273" s="8" t="str">
        <f>TRIM(Sales_Data!C273)</f>
        <v>Davis, David</v>
      </c>
      <c r="D273" s="8" t="str">
        <f>PROPER(TRIM(Sales_Data!D273))</f>
        <v>Usa</v>
      </c>
      <c r="E273" s="8" t="s">
        <v>83</v>
      </c>
      <c r="F273" s="8" t="s">
        <v>52</v>
      </c>
      <c r="G273" s="8">
        <v>22</v>
      </c>
      <c r="H273" s="9">
        <v>43.32</v>
      </c>
      <c r="I273" s="87">
        <f>PRODUCT(Table1[[#This Row],[Quantity]],Table1[[#This Row],[Unit_Price]])</f>
        <v>953.04</v>
      </c>
      <c r="J273" s="9">
        <v>71.3</v>
      </c>
      <c r="K273" s="47">
        <v>265.74</v>
      </c>
      <c r="L273" s="8" t="s">
        <v>26</v>
      </c>
      <c r="M273" s="8" t="s">
        <v>32</v>
      </c>
      <c r="N273" s="10" t="s">
        <v>21</v>
      </c>
    </row>
    <row r="274" spans="1:14" x14ac:dyDescent="0.25">
      <c r="A274" s="7" t="s">
        <v>423</v>
      </c>
      <c r="B274" s="16">
        <v>45571</v>
      </c>
      <c r="C274" s="8" t="str">
        <f>TRIM(Sales_Data!C274)</f>
        <v>Garcia, John</v>
      </c>
      <c r="D274" s="8" t="str">
        <f>PROPER(TRIM(Sales_Data!D274))</f>
        <v>Japan</v>
      </c>
      <c r="E274" s="8" t="s">
        <v>51</v>
      </c>
      <c r="F274" s="8" t="s">
        <v>52</v>
      </c>
      <c r="G274" s="8">
        <v>6</v>
      </c>
      <c r="H274" s="9">
        <v>31.69</v>
      </c>
      <c r="I274" s="87">
        <f>PRODUCT(Table1[[#This Row],[Quantity]],Table1[[#This Row],[Unit_Price]])</f>
        <v>190.14000000000001</v>
      </c>
      <c r="J274" s="9">
        <v>12.52</v>
      </c>
      <c r="K274" s="47">
        <v>42.62</v>
      </c>
      <c r="L274" s="8" t="s">
        <v>38</v>
      </c>
      <c r="M274" s="8" t="s">
        <v>27</v>
      </c>
      <c r="N274" s="10" t="s">
        <v>58</v>
      </c>
    </row>
    <row r="275" spans="1:14" x14ac:dyDescent="0.25">
      <c r="A275" s="7" t="s">
        <v>424</v>
      </c>
      <c r="B275" s="16">
        <v>45460</v>
      </c>
      <c r="C275" s="8" t="str">
        <f>TRIM(Sales_Data!C275)</f>
        <v>Davis, Emily</v>
      </c>
      <c r="D275" s="8" t="str">
        <f>PROPER(TRIM(Sales_Data!D275))</f>
        <v>Germany</v>
      </c>
      <c r="E275" s="8" t="s">
        <v>17</v>
      </c>
      <c r="F275" s="8" t="s">
        <v>18</v>
      </c>
      <c r="G275" s="8">
        <v>19</v>
      </c>
      <c r="H275" s="9">
        <v>53.28</v>
      </c>
      <c r="I275" s="87">
        <f>PRODUCT(Table1[[#This Row],[Quantity]],Table1[[#This Row],[Unit_Price]])</f>
        <v>1012.32</v>
      </c>
      <c r="J275" s="9">
        <v>27.24</v>
      </c>
      <c r="K275" s="47">
        <v>320.08</v>
      </c>
      <c r="L275" s="8" t="s">
        <v>38</v>
      </c>
      <c r="M275" s="8" t="s">
        <v>27</v>
      </c>
      <c r="N275" s="10" t="s">
        <v>28</v>
      </c>
    </row>
    <row r="276" spans="1:14" x14ac:dyDescent="0.25">
      <c r="A276" s="7" t="s">
        <v>425</v>
      </c>
      <c r="B276" s="16">
        <v>45436</v>
      </c>
      <c r="C276" s="8" t="str">
        <f>TRIM(Sales_Data!C276)</f>
        <v>Williams, Michael</v>
      </c>
      <c r="D276" s="8" t="str">
        <f>PROPER(TRIM(Sales_Data!D276))</f>
        <v>Usa</v>
      </c>
      <c r="E276" s="8" t="s">
        <v>17</v>
      </c>
      <c r="F276" s="8" t="s">
        <v>18</v>
      </c>
      <c r="G276" s="8">
        <v>47</v>
      </c>
      <c r="H276" s="9">
        <v>47.53</v>
      </c>
      <c r="I276" s="87">
        <f>PRODUCT(Table1[[#This Row],[Quantity]],Table1[[#This Row],[Unit_Price]])</f>
        <v>2233.91</v>
      </c>
      <c r="J276" s="9">
        <v>128.91</v>
      </c>
      <c r="K276" s="47">
        <v>460</v>
      </c>
      <c r="L276" s="8" t="s">
        <v>26</v>
      </c>
      <c r="M276" s="8" t="s">
        <v>20</v>
      </c>
      <c r="N276" s="10" t="s">
        <v>21</v>
      </c>
    </row>
    <row r="277" spans="1:14" x14ac:dyDescent="0.25">
      <c r="A277" s="7" t="s">
        <v>426</v>
      </c>
      <c r="B277" s="16">
        <v>45609</v>
      </c>
      <c r="C277" s="8" t="str">
        <f>TRIM(Sales_Data!C277)</f>
        <v>Hernandez, Michael</v>
      </c>
      <c r="D277" s="8" t="str">
        <f>PROPER(TRIM(Sales_Data!D277))</f>
        <v>Singapore</v>
      </c>
      <c r="E277" s="8" t="s">
        <v>48</v>
      </c>
      <c r="F277" s="8" t="s">
        <v>37</v>
      </c>
      <c r="G277" s="8">
        <v>12</v>
      </c>
      <c r="H277" s="9">
        <v>24.02</v>
      </c>
      <c r="I277" s="87">
        <f>PRODUCT(Table1[[#This Row],[Quantity]],Table1[[#This Row],[Unit_Price]])</f>
        <v>288.24</v>
      </c>
      <c r="J277" s="9">
        <v>9.8000000000000007</v>
      </c>
      <c r="K277" s="47">
        <v>38.44</v>
      </c>
      <c r="L277" s="8" t="s">
        <v>19</v>
      </c>
      <c r="M277" s="8" t="s">
        <v>32</v>
      </c>
      <c r="N277" s="10" t="s">
        <v>58</v>
      </c>
    </row>
    <row r="278" spans="1:14" x14ac:dyDescent="0.25">
      <c r="A278" s="7" t="s">
        <v>427</v>
      </c>
      <c r="B278" s="16">
        <v>45663</v>
      </c>
      <c r="C278" s="8" t="str">
        <f>TRIM(Sales_Data!C278)</f>
        <v>Brown, Sophia</v>
      </c>
      <c r="D278" s="8" t="str">
        <f>PROPER(TRIM(Sales_Data!D278))</f>
        <v>Singapore</v>
      </c>
      <c r="E278" s="8" t="s">
        <v>63</v>
      </c>
      <c r="F278" s="8" t="s">
        <v>37</v>
      </c>
      <c r="G278" s="8">
        <v>32</v>
      </c>
      <c r="H278" s="9">
        <v>15.64</v>
      </c>
      <c r="I278" s="87">
        <f>PRODUCT(Table1[[#This Row],[Quantity]],Table1[[#This Row],[Unit_Price]])</f>
        <v>500.48</v>
      </c>
      <c r="J278" s="9">
        <v>24.69</v>
      </c>
      <c r="K278" s="47">
        <v>67.790000000000006</v>
      </c>
      <c r="L278" s="8" t="s">
        <v>38</v>
      </c>
      <c r="M278" s="8" t="s">
        <v>20</v>
      </c>
      <c r="N278" s="10" t="s">
        <v>58</v>
      </c>
    </row>
    <row r="279" spans="1:14" x14ac:dyDescent="0.25">
      <c r="A279" s="7" t="s">
        <v>428</v>
      </c>
      <c r="B279" s="16">
        <v>45592</v>
      </c>
      <c r="C279" s="8" t="str">
        <f>TRIM(Sales_Data!C279)</f>
        <v>Hernandez, David</v>
      </c>
      <c r="D279" s="8" t="str">
        <f>PROPER(TRIM(Sales_Data!D279))</f>
        <v>Australia</v>
      </c>
      <c r="E279" s="8" t="s">
        <v>36</v>
      </c>
      <c r="F279" s="8" t="s">
        <v>37</v>
      </c>
      <c r="G279" s="8">
        <v>22</v>
      </c>
      <c r="H279" s="9">
        <v>42.54</v>
      </c>
      <c r="I279" s="87">
        <f>PRODUCT(Table1[[#This Row],[Quantity]],Table1[[#This Row],[Unit_Price]])</f>
        <v>935.88</v>
      </c>
      <c r="J279" s="9">
        <v>45.37</v>
      </c>
      <c r="K279" s="47">
        <v>186.51</v>
      </c>
      <c r="L279" s="8" t="s">
        <v>19</v>
      </c>
      <c r="M279" s="8" t="s">
        <v>32</v>
      </c>
      <c r="N279" s="10" t="s">
        <v>130</v>
      </c>
    </row>
    <row r="280" spans="1:14" x14ac:dyDescent="0.25">
      <c r="A280" s="7" t="s">
        <v>429</v>
      </c>
      <c r="B280" s="16">
        <v>45447</v>
      </c>
      <c r="C280" s="8" t="str">
        <f>TRIM(Sales_Data!C280)</f>
        <v>Hernandez, Sarah</v>
      </c>
      <c r="D280" s="8" t="str">
        <f>PROPER(TRIM(Sales_Data!D280))</f>
        <v>India</v>
      </c>
      <c r="E280" s="8" t="s">
        <v>56</v>
      </c>
      <c r="F280" s="8" t="s">
        <v>57</v>
      </c>
      <c r="G280" s="8">
        <v>37</v>
      </c>
      <c r="H280" s="9">
        <v>43.55</v>
      </c>
      <c r="I280" s="87">
        <f>PRODUCT(Table1[[#This Row],[Quantity]],Table1[[#This Row],[Unit_Price]])</f>
        <v>1611.35</v>
      </c>
      <c r="J280" s="9">
        <v>67.78</v>
      </c>
      <c r="K280" s="47">
        <v>618.57000000000005</v>
      </c>
      <c r="L280" s="8" t="s">
        <v>26</v>
      </c>
      <c r="M280" s="8" t="s">
        <v>27</v>
      </c>
      <c r="N280" s="10" t="s">
        <v>58</v>
      </c>
    </row>
    <row r="281" spans="1:14" x14ac:dyDescent="0.25">
      <c r="A281" s="7" t="s">
        <v>430</v>
      </c>
      <c r="B281" s="16">
        <v>45528</v>
      </c>
      <c r="C281" s="8" t="str">
        <f>TRIM(Sales_Data!C281)</f>
        <v>Hernandez, John</v>
      </c>
      <c r="D281" s="8" t="str">
        <f>PROPER(TRIM(Sales_Data!D281))</f>
        <v>Brazil</v>
      </c>
      <c r="E281" s="8" t="s">
        <v>60</v>
      </c>
      <c r="F281" s="8" t="s">
        <v>52</v>
      </c>
      <c r="G281" s="8">
        <v>42</v>
      </c>
      <c r="H281" s="9">
        <v>20.260000000000002</v>
      </c>
      <c r="I281" s="87">
        <f>PRODUCT(Table1[[#This Row],[Quantity]],Table1[[#This Row],[Unit_Price]])</f>
        <v>850.92000000000007</v>
      </c>
      <c r="J281" s="9">
        <v>22.43</v>
      </c>
      <c r="K281" s="47">
        <v>177.49</v>
      </c>
      <c r="L281" s="8" t="s">
        <v>38</v>
      </c>
      <c r="M281" s="8" t="s">
        <v>32</v>
      </c>
      <c r="N281" s="10" t="s">
        <v>39</v>
      </c>
    </row>
    <row r="282" spans="1:14" x14ac:dyDescent="0.25">
      <c r="A282" s="7" t="s">
        <v>431</v>
      </c>
      <c r="B282" s="16">
        <v>45791</v>
      </c>
      <c r="C282" s="8" t="str">
        <f>TRIM(Sales_Data!C282)</f>
        <v>Davis, James</v>
      </c>
      <c r="D282" s="8" t="str">
        <f>PROPER(TRIM(Sales_Data!D282))</f>
        <v>Canada</v>
      </c>
      <c r="E282" s="8" t="s">
        <v>25</v>
      </c>
      <c r="F282" s="8" t="s">
        <v>18</v>
      </c>
      <c r="G282" s="8">
        <v>43</v>
      </c>
      <c r="H282" s="9">
        <v>24.08</v>
      </c>
      <c r="I282" s="87">
        <f>PRODUCT(Table1[[#This Row],[Quantity]],Table1[[#This Row],[Unit_Price]])</f>
        <v>1035.4399999999998</v>
      </c>
      <c r="J282" s="9">
        <v>35.07</v>
      </c>
      <c r="K282" s="47">
        <v>226.37</v>
      </c>
      <c r="L282" s="8" t="s">
        <v>26</v>
      </c>
      <c r="M282" s="8" t="s">
        <v>32</v>
      </c>
      <c r="N282" s="10" t="s">
        <v>21</v>
      </c>
    </row>
    <row r="283" spans="1:14" x14ac:dyDescent="0.25">
      <c r="A283" s="7" t="s">
        <v>432</v>
      </c>
      <c r="B283" s="16">
        <v>45472</v>
      </c>
      <c r="C283" s="8" t="str">
        <f>TRIM(Sales_Data!C283)</f>
        <v>Johnson, Emily</v>
      </c>
      <c r="D283" s="8" t="str">
        <f>PROPER(TRIM(Sales_Data!D283))</f>
        <v>Germany</v>
      </c>
      <c r="E283" s="8" t="s">
        <v>43</v>
      </c>
      <c r="F283" s="8" t="s">
        <v>44</v>
      </c>
      <c r="G283" s="8">
        <v>14</v>
      </c>
      <c r="H283" s="9">
        <v>69.010000000000005</v>
      </c>
      <c r="I283" s="87">
        <f>PRODUCT(Table1[[#This Row],[Quantity]],Table1[[#This Row],[Unit_Price]])</f>
        <v>966.1400000000001</v>
      </c>
      <c r="J283" s="9">
        <v>32.67</v>
      </c>
      <c r="K283" s="47">
        <v>373.47</v>
      </c>
      <c r="L283" s="8" t="s">
        <v>26</v>
      </c>
      <c r="M283" s="8" t="s">
        <v>20</v>
      </c>
      <c r="N283" s="10" t="s">
        <v>28</v>
      </c>
    </row>
    <row r="284" spans="1:14" x14ac:dyDescent="0.25">
      <c r="A284" s="7" t="s">
        <v>433</v>
      </c>
      <c r="B284" s="16">
        <v>45435</v>
      </c>
      <c r="C284" s="8" t="str">
        <f>TRIM(Sales_Data!C284)</f>
        <v>Miller, David</v>
      </c>
      <c r="D284" s="8" t="str">
        <f>PROPER(TRIM(Sales_Data!D284))</f>
        <v>Australia</v>
      </c>
      <c r="E284" s="8" t="s">
        <v>48</v>
      </c>
      <c r="F284" s="8" t="s">
        <v>37</v>
      </c>
      <c r="G284" s="8">
        <v>29</v>
      </c>
      <c r="H284" s="9">
        <v>28.29</v>
      </c>
      <c r="I284" s="87">
        <f>PRODUCT(Table1[[#This Row],[Quantity]],Table1[[#This Row],[Unit_Price]])</f>
        <v>820.41</v>
      </c>
      <c r="J284" s="9">
        <v>63.15</v>
      </c>
      <c r="K284" s="47">
        <v>177.26</v>
      </c>
      <c r="L284" s="8" t="s">
        <v>38</v>
      </c>
      <c r="M284" s="8" t="s">
        <v>32</v>
      </c>
      <c r="N284" s="10" t="s">
        <v>130</v>
      </c>
    </row>
    <row r="285" spans="1:14" x14ac:dyDescent="0.25">
      <c r="A285" s="7" t="s">
        <v>434</v>
      </c>
      <c r="B285" s="16">
        <v>45321</v>
      </c>
      <c r="C285" s="8" t="str">
        <f>TRIM(Sales_Data!C285)</f>
        <v>Johnson, David</v>
      </c>
      <c r="D285" s="8" t="str">
        <f>PROPER(TRIM(Sales_Data!D285))</f>
        <v>Mexico</v>
      </c>
      <c r="E285" s="8" t="s">
        <v>60</v>
      </c>
      <c r="F285" s="8" t="s">
        <v>52</v>
      </c>
      <c r="G285" s="8">
        <v>29</v>
      </c>
      <c r="H285" s="9">
        <v>26.51</v>
      </c>
      <c r="I285" s="87">
        <f>PRODUCT(Table1[[#This Row],[Quantity]],Table1[[#This Row],[Unit_Price]])</f>
        <v>768.79000000000008</v>
      </c>
      <c r="J285" s="9">
        <v>15.66</v>
      </c>
      <c r="K285" s="47">
        <v>303.63</v>
      </c>
      <c r="L285" s="8" t="s">
        <v>26</v>
      </c>
      <c r="M285" s="8" t="s">
        <v>20</v>
      </c>
      <c r="N285" s="10" t="s">
        <v>21</v>
      </c>
    </row>
    <row r="286" spans="1:14" x14ac:dyDescent="0.25">
      <c r="A286" s="7" t="s">
        <v>435</v>
      </c>
      <c r="B286" s="16">
        <v>45656</v>
      </c>
      <c r="C286" s="8" t="str">
        <f>TRIM(Sales_Data!C286)</f>
        <v>Martinez, Sarah</v>
      </c>
      <c r="D286" s="8" t="str">
        <f>PROPER(TRIM(Sales_Data!D286))</f>
        <v>Canada</v>
      </c>
      <c r="E286" s="8" t="s">
        <v>17</v>
      </c>
      <c r="F286" s="8" t="s">
        <v>18</v>
      </c>
      <c r="G286" s="8">
        <v>11</v>
      </c>
      <c r="H286" s="9">
        <v>58.07</v>
      </c>
      <c r="I286" s="87">
        <f>PRODUCT(Table1[[#This Row],[Quantity]],Table1[[#This Row],[Unit_Price]])</f>
        <v>638.77</v>
      </c>
      <c r="J286" s="9">
        <v>43.89</v>
      </c>
      <c r="K286" s="47">
        <v>209.88</v>
      </c>
      <c r="L286" s="8" t="s">
        <v>19</v>
      </c>
      <c r="M286" s="8" t="s">
        <v>27</v>
      </c>
      <c r="N286" s="10" t="s">
        <v>21</v>
      </c>
    </row>
    <row r="287" spans="1:14" x14ac:dyDescent="0.25">
      <c r="A287" s="7" t="s">
        <v>436</v>
      </c>
      <c r="B287" s="16">
        <v>45782</v>
      </c>
      <c r="C287" s="8" t="str">
        <f>TRIM(Sales_Data!C287)</f>
        <v>Smith, Sophia</v>
      </c>
      <c r="D287" s="8" t="str">
        <f>PROPER(TRIM(Sales_Data!D287))</f>
        <v>Uk</v>
      </c>
      <c r="E287" s="8" t="s">
        <v>36</v>
      </c>
      <c r="F287" s="8" t="s">
        <v>37</v>
      </c>
      <c r="G287" s="8">
        <v>3</v>
      </c>
      <c r="H287" s="9">
        <v>48.76</v>
      </c>
      <c r="I287" s="87">
        <f>PRODUCT(Table1[[#This Row],[Quantity]],Table1[[#This Row],[Unit_Price]])</f>
        <v>146.28</v>
      </c>
      <c r="J287" s="9">
        <v>10.45</v>
      </c>
      <c r="K287" s="47">
        <v>39.83</v>
      </c>
      <c r="L287" s="8" t="s">
        <v>38</v>
      </c>
      <c r="M287" s="8" t="s">
        <v>27</v>
      </c>
      <c r="N287" s="10" t="s">
        <v>28</v>
      </c>
    </row>
    <row r="288" spans="1:14" x14ac:dyDescent="0.25">
      <c r="A288" s="7" t="s">
        <v>437</v>
      </c>
      <c r="B288" s="16">
        <v>45415</v>
      </c>
      <c r="C288" s="8" t="str">
        <f>TRIM(Sales_Data!C288)</f>
        <v>Williams, Emily</v>
      </c>
      <c r="D288" s="8" t="str">
        <f>PROPER(TRIM(Sales_Data!D288))</f>
        <v>India</v>
      </c>
      <c r="E288" s="8" t="s">
        <v>48</v>
      </c>
      <c r="F288" s="8" t="s">
        <v>37</v>
      </c>
      <c r="G288" s="8">
        <v>49</v>
      </c>
      <c r="H288" s="9">
        <v>30.46</v>
      </c>
      <c r="I288" s="87">
        <f>PRODUCT(Table1[[#This Row],[Quantity]],Table1[[#This Row],[Unit_Price]])</f>
        <v>1492.54</v>
      </c>
      <c r="J288" s="9">
        <v>51.82</v>
      </c>
      <c r="K288" s="47">
        <v>460.72</v>
      </c>
      <c r="L288" s="8" t="s">
        <v>26</v>
      </c>
      <c r="M288" s="8" t="s">
        <v>20</v>
      </c>
      <c r="N288" s="10" t="s">
        <v>58</v>
      </c>
    </row>
    <row r="289" spans="1:14" x14ac:dyDescent="0.25">
      <c r="A289" s="7" t="s">
        <v>438</v>
      </c>
      <c r="B289" s="16">
        <v>45564</v>
      </c>
      <c r="C289" s="8" t="str">
        <f>TRIM(Sales_Data!C289)</f>
        <v>Davis, John</v>
      </c>
      <c r="D289" s="8" t="str">
        <f>PROPER(TRIM(Sales_Data!D289))</f>
        <v>China</v>
      </c>
      <c r="E289" s="8" t="s">
        <v>83</v>
      </c>
      <c r="F289" s="8" t="s">
        <v>52</v>
      </c>
      <c r="G289" s="8">
        <v>25</v>
      </c>
      <c r="H289" s="9">
        <v>35.21</v>
      </c>
      <c r="I289" s="87">
        <f>PRODUCT(Table1[[#This Row],[Quantity]],Table1[[#This Row],[Unit_Price]])</f>
        <v>880.25</v>
      </c>
      <c r="J289" s="9">
        <v>39.799999999999997</v>
      </c>
      <c r="K289" s="47">
        <v>140.44999999999999</v>
      </c>
      <c r="L289" s="8" t="s">
        <v>38</v>
      </c>
      <c r="M289" s="8" t="s">
        <v>27</v>
      </c>
      <c r="N289" s="10" t="s">
        <v>58</v>
      </c>
    </row>
    <row r="290" spans="1:14" x14ac:dyDescent="0.25">
      <c r="A290" s="7" t="s">
        <v>439</v>
      </c>
      <c r="B290" s="16">
        <v>45316</v>
      </c>
      <c r="C290" s="8" t="str">
        <f>TRIM(Sales_Data!C290)</f>
        <v>Johnson, David</v>
      </c>
      <c r="D290" s="8" t="str">
        <f>PROPER(TRIM(Sales_Data!D290))</f>
        <v>Usa</v>
      </c>
      <c r="E290" s="8" t="s">
        <v>83</v>
      </c>
      <c r="F290" s="8" t="s">
        <v>52</v>
      </c>
      <c r="G290" s="8">
        <v>37</v>
      </c>
      <c r="H290" s="9">
        <v>44.82</v>
      </c>
      <c r="I290" s="87">
        <f>PRODUCT(Table1[[#This Row],[Quantity]],Table1[[#This Row],[Unit_Price]])</f>
        <v>1658.34</v>
      </c>
      <c r="J290" s="9">
        <v>65.75</v>
      </c>
      <c r="K290" s="47">
        <v>556.59</v>
      </c>
      <c r="L290" s="8" t="s">
        <v>26</v>
      </c>
      <c r="M290" s="8" t="s">
        <v>27</v>
      </c>
      <c r="N290" s="10" t="s">
        <v>21</v>
      </c>
    </row>
    <row r="291" spans="1:14" x14ac:dyDescent="0.25">
      <c r="A291" s="7" t="s">
        <v>440</v>
      </c>
      <c r="B291" s="16">
        <v>45459</v>
      </c>
      <c r="C291" s="8" t="str">
        <f>TRIM(Sales_Data!C291)</f>
        <v>Miller, James</v>
      </c>
      <c r="D291" s="8" t="str">
        <f>PROPER(TRIM(Sales_Data!D291))</f>
        <v>Germany</v>
      </c>
      <c r="E291" s="8" t="s">
        <v>60</v>
      </c>
      <c r="F291" s="8" t="s">
        <v>52</v>
      </c>
      <c r="G291" s="8">
        <v>11</v>
      </c>
      <c r="H291" s="9">
        <v>18.75</v>
      </c>
      <c r="I291" s="87">
        <f>PRODUCT(Table1[[#This Row],[Quantity]],Table1[[#This Row],[Unit_Price]])</f>
        <v>206.25</v>
      </c>
      <c r="J291" s="9">
        <v>11.67</v>
      </c>
      <c r="K291" s="47">
        <v>24.08</v>
      </c>
      <c r="L291" s="8" t="s">
        <v>19</v>
      </c>
      <c r="M291" s="8" t="s">
        <v>20</v>
      </c>
      <c r="N291" s="10" t="s">
        <v>28</v>
      </c>
    </row>
    <row r="292" spans="1:14" x14ac:dyDescent="0.25">
      <c r="A292" s="7" t="s">
        <v>441</v>
      </c>
      <c r="B292" s="16">
        <v>45335</v>
      </c>
      <c r="C292" s="8" t="str">
        <f>TRIM(Sales_Data!C292)</f>
        <v>Johnson, David</v>
      </c>
      <c r="D292" s="8" t="str">
        <f>PROPER(TRIM(Sales_Data!D292))</f>
        <v>Brazil</v>
      </c>
      <c r="E292" s="8" t="s">
        <v>48</v>
      </c>
      <c r="F292" s="8" t="s">
        <v>37</v>
      </c>
      <c r="G292" s="8">
        <v>37</v>
      </c>
      <c r="H292" s="9">
        <v>31.66</v>
      </c>
      <c r="I292" s="87">
        <f>PRODUCT(Table1[[#This Row],[Quantity]],Table1[[#This Row],[Unit_Price]])</f>
        <v>1171.42</v>
      </c>
      <c r="J292" s="9">
        <v>58.95</v>
      </c>
      <c r="K292" s="47">
        <v>372.47</v>
      </c>
      <c r="L292" s="8" t="s">
        <v>38</v>
      </c>
      <c r="M292" s="8" t="s">
        <v>20</v>
      </c>
      <c r="N292" s="10" t="s">
        <v>39</v>
      </c>
    </row>
    <row r="293" spans="1:14" x14ac:dyDescent="0.25">
      <c r="A293" s="7" t="s">
        <v>442</v>
      </c>
      <c r="B293" s="16">
        <v>45494</v>
      </c>
      <c r="C293" s="8" t="str">
        <f>TRIM(Sales_Data!C293)</f>
        <v>Garcia, John</v>
      </c>
      <c r="D293" s="8" t="str">
        <f>PROPER(TRIM(Sales_Data!D293))</f>
        <v>Uk</v>
      </c>
      <c r="E293" s="8" t="s">
        <v>48</v>
      </c>
      <c r="F293" s="8" t="s">
        <v>37</v>
      </c>
      <c r="G293" s="8">
        <v>17</v>
      </c>
      <c r="H293" s="9">
        <v>32.74</v>
      </c>
      <c r="I293" s="87">
        <f>PRODUCT(Table1[[#This Row],[Quantity]],Table1[[#This Row],[Unit_Price]])</f>
        <v>556.58000000000004</v>
      </c>
      <c r="J293" s="9">
        <v>14.68</v>
      </c>
      <c r="K293" s="47">
        <v>201.9</v>
      </c>
      <c r="L293" s="8" t="s">
        <v>26</v>
      </c>
      <c r="M293" s="8" t="s">
        <v>27</v>
      </c>
      <c r="N293" s="10" t="s">
        <v>28</v>
      </c>
    </row>
    <row r="294" spans="1:14" x14ac:dyDescent="0.25">
      <c r="A294" s="7" t="s">
        <v>443</v>
      </c>
      <c r="B294" s="16">
        <v>45401</v>
      </c>
      <c r="C294" s="8" t="str">
        <f>TRIM(Sales_Data!C294)</f>
        <v>Davis, James</v>
      </c>
      <c r="D294" s="8" t="str">
        <f>PROPER(TRIM(Sales_Data!D294))</f>
        <v>Usa</v>
      </c>
      <c r="E294" s="8" t="s">
        <v>83</v>
      </c>
      <c r="F294" s="8" t="s">
        <v>52</v>
      </c>
      <c r="G294" s="8">
        <v>7</v>
      </c>
      <c r="H294" s="9">
        <v>46.64</v>
      </c>
      <c r="I294" s="87">
        <f>PRODUCT(Table1[[#This Row],[Quantity]],Table1[[#This Row],[Unit_Price]])</f>
        <v>326.48</v>
      </c>
      <c r="J294" s="9">
        <v>25.19</v>
      </c>
      <c r="K294" s="47">
        <v>105.29</v>
      </c>
      <c r="L294" s="8" t="s">
        <v>26</v>
      </c>
      <c r="M294" s="8" t="s">
        <v>32</v>
      </c>
      <c r="N294" s="10" t="s">
        <v>21</v>
      </c>
    </row>
    <row r="295" spans="1:14" x14ac:dyDescent="0.25">
      <c r="A295" s="7" t="s">
        <v>444</v>
      </c>
      <c r="B295" s="16">
        <v>45698</v>
      </c>
      <c r="C295" s="8" t="str">
        <f>TRIM(Sales_Data!C295)</f>
        <v>Smith, Daniel</v>
      </c>
      <c r="D295" s="8" t="str">
        <f>PROPER(TRIM(Sales_Data!D295))</f>
        <v>Uae</v>
      </c>
      <c r="E295" s="8" t="s">
        <v>25</v>
      </c>
      <c r="F295" s="8" t="s">
        <v>18</v>
      </c>
      <c r="G295" s="8">
        <v>16</v>
      </c>
      <c r="H295" s="9">
        <v>24.77</v>
      </c>
      <c r="I295" s="87">
        <f>PRODUCT(Table1[[#This Row],[Quantity]],Table1[[#This Row],[Unit_Price]])</f>
        <v>396.32</v>
      </c>
      <c r="J295" s="9">
        <v>15.6</v>
      </c>
      <c r="K295" s="47">
        <v>92.72</v>
      </c>
      <c r="L295" s="8" t="s">
        <v>19</v>
      </c>
      <c r="M295" s="8" t="s">
        <v>32</v>
      </c>
      <c r="N295" s="10" t="s">
        <v>58</v>
      </c>
    </row>
    <row r="296" spans="1:14" x14ac:dyDescent="0.25">
      <c r="A296" s="7" t="s">
        <v>445</v>
      </c>
      <c r="B296" s="16">
        <v>45763</v>
      </c>
      <c r="C296" s="8" t="str">
        <f>TRIM(Sales_Data!C296)</f>
        <v>Martinez, Laura</v>
      </c>
      <c r="D296" s="8" t="str">
        <f>PROPER(TRIM(Sales_Data!D296))</f>
        <v>Mexico</v>
      </c>
      <c r="E296" s="8" t="s">
        <v>43</v>
      </c>
      <c r="F296" s="8" t="s">
        <v>44</v>
      </c>
      <c r="G296" s="8">
        <v>39</v>
      </c>
      <c r="H296" s="9">
        <v>56.5</v>
      </c>
      <c r="I296" s="87">
        <f>PRODUCT(Table1[[#This Row],[Quantity]],Table1[[#This Row],[Unit_Price]])</f>
        <v>2203.5</v>
      </c>
      <c r="J296" s="9">
        <v>141.58000000000001</v>
      </c>
      <c r="K296" s="47">
        <v>501.92</v>
      </c>
      <c r="L296" s="8" t="s">
        <v>38</v>
      </c>
      <c r="M296" s="8" t="s">
        <v>20</v>
      </c>
      <c r="N296" s="10" t="s">
        <v>21</v>
      </c>
    </row>
    <row r="297" spans="1:14" x14ac:dyDescent="0.25">
      <c r="A297" s="7" t="s">
        <v>446</v>
      </c>
      <c r="B297" s="16">
        <v>45562</v>
      </c>
      <c r="C297" s="8" t="str">
        <f>TRIM(Sales_Data!C297)</f>
        <v>Brown, Sophia</v>
      </c>
      <c r="D297" s="8" t="str">
        <f>PROPER(TRIM(Sales_Data!D297))</f>
        <v>India</v>
      </c>
      <c r="E297" s="8" t="s">
        <v>60</v>
      </c>
      <c r="F297" s="8" t="s">
        <v>52</v>
      </c>
      <c r="G297" s="8">
        <v>1</v>
      </c>
      <c r="H297" s="9">
        <v>24.01</v>
      </c>
      <c r="I297" s="87">
        <f>PRODUCT(Table1[[#This Row],[Quantity]],Table1[[#This Row],[Unit_Price]])</f>
        <v>24.01</v>
      </c>
      <c r="J297" s="9">
        <v>1.58</v>
      </c>
      <c r="K297" s="47">
        <v>6.93</v>
      </c>
      <c r="L297" s="8" t="s">
        <v>19</v>
      </c>
      <c r="M297" s="8" t="s">
        <v>20</v>
      </c>
      <c r="N297" s="10" t="s">
        <v>58</v>
      </c>
    </row>
    <row r="298" spans="1:14" x14ac:dyDescent="0.25">
      <c r="A298" s="7" t="s">
        <v>447</v>
      </c>
      <c r="B298" s="16">
        <v>45638</v>
      </c>
      <c r="C298" s="8" t="str">
        <f>TRIM(Sales_Data!C298)</f>
        <v>Jones, Laura</v>
      </c>
      <c r="D298" s="8" t="str">
        <f>PROPER(TRIM(Sales_Data!D298))</f>
        <v>India</v>
      </c>
      <c r="E298" s="8" t="s">
        <v>56</v>
      </c>
      <c r="F298" s="8" t="s">
        <v>57</v>
      </c>
      <c r="G298" s="8">
        <v>45</v>
      </c>
      <c r="H298" s="9">
        <v>35.99</v>
      </c>
      <c r="I298" s="87">
        <f>PRODUCT(Table1[[#This Row],[Quantity]],Table1[[#This Row],[Unit_Price]])</f>
        <v>1619.5500000000002</v>
      </c>
      <c r="J298" s="9">
        <v>49.95</v>
      </c>
      <c r="K298" s="47">
        <v>444.6</v>
      </c>
      <c r="L298" s="8" t="s">
        <v>19</v>
      </c>
      <c r="M298" s="8" t="s">
        <v>27</v>
      </c>
      <c r="N298" s="10" t="s">
        <v>58</v>
      </c>
    </row>
    <row r="299" spans="1:14" x14ac:dyDescent="0.25">
      <c r="A299" s="7" t="s">
        <v>448</v>
      </c>
      <c r="B299" s="16">
        <v>45716</v>
      </c>
      <c r="C299" s="8" t="str">
        <f>TRIM(Sales_Data!C299)</f>
        <v>Brown, Daniel</v>
      </c>
      <c r="D299" s="8" t="str">
        <f>PROPER(TRIM(Sales_Data!D299))</f>
        <v>Singapore</v>
      </c>
      <c r="E299" s="8" t="s">
        <v>48</v>
      </c>
      <c r="F299" s="8" t="s">
        <v>37</v>
      </c>
      <c r="G299" s="8">
        <v>5</v>
      </c>
      <c r="H299" s="9">
        <v>25.45</v>
      </c>
      <c r="I299" s="87">
        <f>PRODUCT(Table1[[#This Row],[Quantity]],Table1[[#This Row],[Unit_Price]])</f>
        <v>127.25</v>
      </c>
      <c r="J299" s="9">
        <v>7.22</v>
      </c>
      <c r="K299" s="47">
        <v>20.03</v>
      </c>
      <c r="L299" s="8" t="s">
        <v>38</v>
      </c>
      <c r="M299" s="8" t="s">
        <v>32</v>
      </c>
      <c r="N299" s="10" t="s">
        <v>58</v>
      </c>
    </row>
    <row r="300" spans="1:14" x14ac:dyDescent="0.25">
      <c r="A300" s="7" t="s">
        <v>449</v>
      </c>
      <c r="B300" s="16">
        <v>45682</v>
      </c>
      <c r="C300" s="8" t="str">
        <f>TRIM(Sales_Data!C300)</f>
        <v>Jones, Laura</v>
      </c>
      <c r="D300" s="8" t="str">
        <f>PROPER(TRIM(Sales_Data!D300))</f>
        <v>Japan</v>
      </c>
      <c r="E300" s="8" t="s">
        <v>60</v>
      </c>
      <c r="F300" s="8" t="s">
        <v>52</v>
      </c>
      <c r="G300" s="8">
        <v>24</v>
      </c>
      <c r="H300" s="9">
        <v>19.53</v>
      </c>
      <c r="I300" s="87">
        <f>PRODUCT(Table1[[#This Row],[Quantity]],Table1[[#This Row],[Unit_Price]])</f>
        <v>468.72</v>
      </c>
      <c r="J300" s="9">
        <v>14.12</v>
      </c>
      <c r="K300" s="47">
        <v>82.6</v>
      </c>
      <c r="L300" s="8" t="s">
        <v>19</v>
      </c>
      <c r="M300" s="8" t="s">
        <v>20</v>
      </c>
      <c r="N300" s="10" t="s">
        <v>58</v>
      </c>
    </row>
    <row r="301" spans="1:14" x14ac:dyDescent="0.25">
      <c r="A301" s="7" t="s">
        <v>450</v>
      </c>
      <c r="B301" s="16">
        <v>45687</v>
      </c>
      <c r="C301" s="8" t="str">
        <f>TRIM(Sales_Data!C301)</f>
        <v>Brown, Laura</v>
      </c>
      <c r="D301" s="8" t="str">
        <f>PROPER(TRIM(Sales_Data!D301))</f>
        <v>Canada</v>
      </c>
      <c r="E301" s="8" t="s">
        <v>63</v>
      </c>
      <c r="F301" s="8" t="s">
        <v>37</v>
      </c>
      <c r="G301" s="8">
        <v>28</v>
      </c>
      <c r="H301" s="9">
        <v>22.33</v>
      </c>
      <c r="I301" s="87">
        <f>PRODUCT(Table1[[#This Row],[Quantity]],Table1[[#This Row],[Unit_Price]])</f>
        <v>625.24</v>
      </c>
      <c r="J301" s="9">
        <v>44.24</v>
      </c>
      <c r="K301" s="47">
        <v>224</v>
      </c>
      <c r="L301" s="8" t="s">
        <v>19</v>
      </c>
      <c r="M301" s="8" t="s">
        <v>20</v>
      </c>
      <c r="N301" s="10" t="s">
        <v>21</v>
      </c>
    </row>
    <row r="302" spans="1:14" x14ac:dyDescent="0.25">
      <c r="A302" s="7" t="s">
        <v>451</v>
      </c>
      <c r="B302" s="16">
        <v>45612</v>
      </c>
      <c r="C302" s="8" t="str">
        <f>TRIM(Sales_Data!C302)</f>
        <v>Johnson, Sarah</v>
      </c>
      <c r="D302" s="8" t="str">
        <f>PROPER(TRIM(Sales_Data!D302))</f>
        <v>Italy</v>
      </c>
      <c r="E302" s="8" t="s">
        <v>36</v>
      </c>
      <c r="F302" s="8" t="s">
        <v>37</v>
      </c>
      <c r="G302" s="8">
        <v>49</v>
      </c>
      <c r="H302" s="9">
        <v>39.31</v>
      </c>
      <c r="I302" s="87">
        <f>PRODUCT(Table1[[#This Row],[Quantity]],Table1[[#This Row],[Unit_Price]])</f>
        <v>1926.19</v>
      </c>
      <c r="J302" s="9">
        <v>69.7</v>
      </c>
      <c r="K302" s="47">
        <v>288.49</v>
      </c>
      <c r="L302" s="8" t="s">
        <v>26</v>
      </c>
      <c r="M302" s="8" t="s">
        <v>20</v>
      </c>
      <c r="N302" s="10" t="s">
        <v>28</v>
      </c>
    </row>
    <row r="303" spans="1:14" x14ac:dyDescent="0.25">
      <c r="A303" s="7" t="s">
        <v>452</v>
      </c>
      <c r="B303" s="16">
        <v>45485</v>
      </c>
      <c r="C303" s="8" t="str">
        <f>TRIM(Sales_Data!C303)</f>
        <v>Davis, Michael</v>
      </c>
      <c r="D303" s="8" t="str">
        <f>PROPER(TRIM(Sales_Data!D303))</f>
        <v>India</v>
      </c>
      <c r="E303" s="8" t="s">
        <v>60</v>
      </c>
      <c r="F303" s="8" t="s">
        <v>52</v>
      </c>
      <c r="G303" s="8">
        <v>6</v>
      </c>
      <c r="H303" s="9">
        <v>22.95</v>
      </c>
      <c r="I303" s="87">
        <f>PRODUCT(Table1[[#This Row],[Quantity]],Table1[[#This Row],[Unit_Price]])</f>
        <v>137.69999999999999</v>
      </c>
      <c r="J303" s="9">
        <v>5.63</v>
      </c>
      <c r="K303" s="47">
        <v>39.07</v>
      </c>
      <c r="L303" s="8" t="s">
        <v>26</v>
      </c>
      <c r="M303" s="8" t="s">
        <v>27</v>
      </c>
      <c r="N303" s="10" t="s">
        <v>58</v>
      </c>
    </row>
    <row r="304" spans="1:14" x14ac:dyDescent="0.25">
      <c r="A304" s="7" t="s">
        <v>453</v>
      </c>
      <c r="B304" s="16">
        <v>45457</v>
      </c>
      <c r="C304" s="8" t="str">
        <f>TRIM(Sales_Data!C304)</f>
        <v>Williams, Michael</v>
      </c>
      <c r="D304" s="8" t="str">
        <f>PROPER(TRIM(Sales_Data!D304))</f>
        <v>Mexico</v>
      </c>
      <c r="E304" s="8" t="s">
        <v>48</v>
      </c>
      <c r="F304" s="8" t="s">
        <v>37</v>
      </c>
      <c r="G304" s="8">
        <v>35</v>
      </c>
      <c r="H304" s="9">
        <v>27.72</v>
      </c>
      <c r="I304" s="87">
        <f>PRODUCT(Table1[[#This Row],[Quantity]],Table1[[#This Row],[Unit_Price]])</f>
        <v>970.19999999999993</v>
      </c>
      <c r="J304" s="9">
        <v>61.74</v>
      </c>
      <c r="K304" s="47">
        <v>208.46</v>
      </c>
      <c r="L304" s="8" t="s">
        <v>19</v>
      </c>
      <c r="M304" s="8" t="s">
        <v>32</v>
      </c>
      <c r="N304" s="10" t="s">
        <v>21</v>
      </c>
    </row>
    <row r="305" spans="1:14" x14ac:dyDescent="0.25">
      <c r="A305" s="7" t="s">
        <v>454</v>
      </c>
      <c r="B305" s="16">
        <v>45579</v>
      </c>
      <c r="C305" s="8" t="str">
        <f>TRIM(Sales_Data!C305)</f>
        <v>Johnson, Daniel</v>
      </c>
      <c r="D305" s="8" t="str">
        <f>PROPER(TRIM(Sales_Data!D305))</f>
        <v>China</v>
      </c>
      <c r="E305" s="8" t="s">
        <v>43</v>
      </c>
      <c r="F305" s="8" t="s">
        <v>44</v>
      </c>
      <c r="G305" s="8">
        <v>34</v>
      </c>
      <c r="H305" s="9">
        <v>64.75</v>
      </c>
      <c r="I305" s="87">
        <f>PRODUCT(Table1[[#This Row],[Quantity]],Table1[[#This Row],[Unit_Price]])</f>
        <v>2201.5</v>
      </c>
      <c r="J305" s="9">
        <v>68.05</v>
      </c>
      <c r="K305" s="47">
        <v>773.45</v>
      </c>
      <c r="L305" s="8" t="s">
        <v>38</v>
      </c>
      <c r="M305" s="8" t="s">
        <v>32</v>
      </c>
      <c r="N305" s="10" t="s">
        <v>58</v>
      </c>
    </row>
    <row r="306" spans="1:14" x14ac:dyDescent="0.25">
      <c r="A306" s="7" t="s">
        <v>455</v>
      </c>
      <c r="B306" s="16">
        <v>45768</v>
      </c>
      <c r="C306" s="8" t="str">
        <f>TRIM(Sales_Data!C306)</f>
        <v>Smith, Michael</v>
      </c>
      <c r="D306" s="8" t="str">
        <f>PROPER(TRIM(Sales_Data!D306))</f>
        <v>Australia</v>
      </c>
      <c r="E306" s="8" t="s">
        <v>48</v>
      </c>
      <c r="F306" s="8" t="s">
        <v>37</v>
      </c>
      <c r="G306" s="8">
        <v>49</v>
      </c>
      <c r="H306" s="9">
        <v>26.02</v>
      </c>
      <c r="I306" s="87">
        <f>PRODUCT(Table1[[#This Row],[Quantity]],Table1[[#This Row],[Unit_Price]])</f>
        <v>1274.98</v>
      </c>
      <c r="J306" s="9">
        <v>61.84</v>
      </c>
      <c r="K306" s="47">
        <v>233.14</v>
      </c>
      <c r="L306" s="8" t="s">
        <v>38</v>
      </c>
      <c r="M306" s="8" t="s">
        <v>27</v>
      </c>
      <c r="N306" s="10" t="s">
        <v>130</v>
      </c>
    </row>
    <row r="307" spans="1:14" x14ac:dyDescent="0.25">
      <c r="A307" s="7" t="s">
        <v>456</v>
      </c>
      <c r="B307" s="16">
        <v>45647</v>
      </c>
      <c r="C307" s="8" t="str">
        <f>TRIM(Sales_Data!C307)</f>
        <v>Martinez, John</v>
      </c>
      <c r="D307" s="8" t="str">
        <f>PROPER(TRIM(Sales_Data!D307))</f>
        <v>Brazil</v>
      </c>
      <c r="E307" s="8" t="s">
        <v>56</v>
      </c>
      <c r="F307" s="8" t="s">
        <v>57</v>
      </c>
      <c r="G307" s="8">
        <v>1</v>
      </c>
      <c r="H307" s="9">
        <v>32.979999999999997</v>
      </c>
      <c r="I307" s="87">
        <f>PRODUCT(Table1[[#This Row],[Quantity]],Table1[[#This Row],[Unit_Price]])</f>
        <v>32.979999999999997</v>
      </c>
      <c r="J307" s="9">
        <v>1.89</v>
      </c>
      <c r="K307" s="47">
        <v>6.09</v>
      </c>
      <c r="L307" s="8" t="s">
        <v>38</v>
      </c>
      <c r="M307" s="8" t="s">
        <v>27</v>
      </c>
      <c r="N307" s="10" t="s">
        <v>39</v>
      </c>
    </row>
    <row r="308" spans="1:14" x14ac:dyDescent="0.25">
      <c r="A308" s="7" t="s">
        <v>457</v>
      </c>
      <c r="B308" s="16">
        <v>45598</v>
      </c>
      <c r="C308" s="8" t="str">
        <f>TRIM(Sales_Data!C308)</f>
        <v>Hernandez, Sarah</v>
      </c>
      <c r="D308" s="8" t="str">
        <f>PROPER(TRIM(Sales_Data!D308))</f>
        <v>Brazil</v>
      </c>
      <c r="E308" s="8" t="s">
        <v>63</v>
      </c>
      <c r="F308" s="8" t="s">
        <v>37</v>
      </c>
      <c r="G308" s="8">
        <v>18</v>
      </c>
      <c r="H308" s="9">
        <v>20.09</v>
      </c>
      <c r="I308" s="87">
        <f>PRODUCT(Table1[[#This Row],[Quantity]],Table1[[#This Row],[Unit_Price]])</f>
        <v>361.62</v>
      </c>
      <c r="J308" s="9">
        <v>8.3800000000000008</v>
      </c>
      <c r="K308" s="47">
        <v>123.74</v>
      </c>
      <c r="L308" s="8" t="s">
        <v>19</v>
      </c>
      <c r="M308" s="8" t="s">
        <v>20</v>
      </c>
      <c r="N308" s="10" t="s">
        <v>39</v>
      </c>
    </row>
    <row r="309" spans="1:14" x14ac:dyDescent="0.25">
      <c r="A309" s="7" t="s">
        <v>458</v>
      </c>
      <c r="B309" s="16">
        <v>45447</v>
      </c>
      <c r="C309" s="8" t="str">
        <f>TRIM(Sales_Data!C309)</f>
        <v>Brown, Daniel</v>
      </c>
      <c r="D309" s="8" t="str">
        <f>PROPER(TRIM(Sales_Data!D309))</f>
        <v>India</v>
      </c>
      <c r="E309" s="8" t="s">
        <v>17</v>
      </c>
      <c r="F309" s="8" t="s">
        <v>18</v>
      </c>
      <c r="G309" s="8">
        <v>39</v>
      </c>
      <c r="H309" s="9">
        <v>49.59</v>
      </c>
      <c r="I309" s="87">
        <f>PRODUCT(Table1[[#This Row],[Quantity]],Table1[[#This Row],[Unit_Price]])</f>
        <v>1934.0100000000002</v>
      </c>
      <c r="J309" s="9">
        <v>62.79</v>
      </c>
      <c r="K309" s="47">
        <v>506.22</v>
      </c>
      <c r="L309" s="8" t="s">
        <v>26</v>
      </c>
      <c r="M309" s="8" t="s">
        <v>27</v>
      </c>
      <c r="N309" s="10" t="s">
        <v>58</v>
      </c>
    </row>
    <row r="310" spans="1:14" x14ac:dyDescent="0.25">
      <c r="A310" s="7" t="s">
        <v>459</v>
      </c>
      <c r="B310" s="16">
        <v>45764</v>
      </c>
      <c r="C310" s="8" t="str">
        <f>TRIM(Sales_Data!C310)</f>
        <v>Brown, John</v>
      </c>
      <c r="D310" s="8" t="str">
        <f>PROPER(TRIM(Sales_Data!D310))</f>
        <v>Canada</v>
      </c>
      <c r="E310" s="8" t="s">
        <v>36</v>
      </c>
      <c r="F310" s="8" t="s">
        <v>37</v>
      </c>
      <c r="G310" s="8">
        <v>6</v>
      </c>
      <c r="H310" s="9">
        <v>41.99</v>
      </c>
      <c r="I310" s="87">
        <f>PRODUCT(Table1[[#This Row],[Quantity]],Table1[[#This Row],[Unit_Price]])</f>
        <v>251.94</v>
      </c>
      <c r="J310" s="9">
        <v>10.76</v>
      </c>
      <c r="K310" s="47">
        <v>49.18</v>
      </c>
      <c r="L310" s="8" t="s">
        <v>19</v>
      </c>
      <c r="M310" s="8" t="s">
        <v>20</v>
      </c>
      <c r="N310" s="10" t="s">
        <v>21</v>
      </c>
    </row>
    <row r="311" spans="1:14" x14ac:dyDescent="0.25">
      <c r="A311" s="7" t="s">
        <v>460</v>
      </c>
      <c r="B311" s="16">
        <v>45425</v>
      </c>
      <c r="C311" s="8" t="str">
        <f>TRIM(Sales_Data!C311)</f>
        <v>Davis, James</v>
      </c>
      <c r="D311" s="8" t="str">
        <f>PROPER(TRIM(Sales_Data!D311))</f>
        <v>Singapore</v>
      </c>
      <c r="E311" s="8" t="s">
        <v>17</v>
      </c>
      <c r="F311" s="8" t="s">
        <v>18</v>
      </c>
      <c r="G311" s="8">
        <v>12</v>
      </c>
      <c r="H311" s="9">
        <v>47.4</v>
      </c>
      <c r="I311" s="87">
        <f>PRODUCT(Table1[[#This Row],[Quantity]],Table1[[#This Row],[Unit_Price]])</f>
        <v>568.79999999999995</v>
      </c>
      <c r="J311" s="9">
        <v>23.31</v>
      </c>
      <c r="K311" s="47">
        <v>125.49</v>
      </c>
      <c r="L311" s="8" t="s">
        <v>38</v>
      </c>
      <c r="M311" s="8" t="s">
        <v>20</v>
      </c>
      <c r="N311" s="10" t="s">
        <v>58</v>
      </c>
    </row>
    <row r="312" spans="1:14" x14ac:dyDescent="0.25">
      <c r="A312" s="7" t="s">
        <v>461</v>
      </c>
      <c r="B312" s="16">
        <v>45482</v>
      </c>
      <c r="C312" s="8" t="str">
        <f>TRIM(Sales_Data!C312)</f>
        <v>Garcia, David</v>
      </c>
      <c r="D312" s="8" t="str">
        <f>PROPER(TRIM(Sales_Data!D312))</f>
        <v>Uae</v>
      </c>
      <c r="E312" s="8" t="s">
        <v>48</v>
      </c>
      <c r="F312" s="8" t="s">
        <v>37</v>
      </c>
      <c r="G312" s="8">
        <v>50</v>
      </c>
      <c r="H312" s="9">
        <v>34.28</v>
      </c>
      <c r="I312" s="87">
        <f>PRODUCT(Table1[[#This Row],[Quantity]],Table1[[#This Row],[Unit_Price]])</f>
        <v>1714</v>
      </c>
      <c r="J312" s="9">
        <v>59.84</v>
      </c>
      <c r="K312" s="47">
        <v>654.16</v>
      </c>
      <c r="L312" s="8" t="s">
        <v>19</v>
      </c>
      <c r="M312" s="8" t="s">
        <v>20</v>
      </c>
      <c r="N312" s="10" t="s">
        <v>58</v>
      </c>
    </row>
    <row r="313" spans="1:14" x14ac:dyDescent="0.25">
      <c r="A313" s="7" t="s">
        <v>462</v>
      </c>
      <c r="B313" s="16">
        <v>45743</v>
      </c>
      <c r="C313" s="8" t="str">
        <f>TRIM(Sales_Data!C313)</f>
        <v>Martinez, Sophia</v>
      </c>
      <c r="D313" s="8" t="str">
        <f>PROPER(TRIM(Sales_Data!D313))</f>
        <v>South Africa</v>
      </c>
      <c r="E313" s="8" t="s">
        <v>25</v>
      </c>
      <c r="F313" s="8" t="s">
        <v>18</v>
      </c>
      <c r="G313" s="8">
        <v>50</v>
      </c>
      <c r="H313" s="9">
        <v>29.39</v>
      </c>
      <c r="I313" s="87">
        <f>PRODUCT(Table1[[#This Row],[Quantity]],Table1[[#This Row],[Unit_Price]])</f>
        <v>1469.5</v>
      </c>
      <c r="J313" s="9">
        <v>101.51</v>
      </c>
      <c r="K313" s="47">
        <v>467.99</v>
      </c>
      <c r="L313" s="8" t="s">
        <v>38</v>
      </c>
      <c r="M313" s="8" t="s">
        <v>32</v>
      </c>
      <c r="N313" s="10" t="s">
        <v>87</v>
      </c>
    </row>
    <row r="314" spans="1:14" x14ac:dyDescent="0.25">
      <c r="A314" s="7" t="s">
        <v>463</v>
      </c>
      <c r="B314" s="16">
        <v>45526</v>
      </c>
      <c r="C314" s="8" t="str">
        <f>TRIM(Sales_Data!C314)</f>
        <v>Hernandez, John</v>
      </c>
      <c r="D314" s="8" t="str">
        <f>PROPER(TRIM(Sales_Data!D314))</f>
        <v>Brazil</v>
      </c>
      <c r="E314" s="8" t="s">
        <v>25</v>
      </c>
      <c r="F314" s="8" t="s">
        <v>18</v>
      </c>
      <c r="G314" s="8">
        <v>46</v>
      </c>
      <c r="H314" s="9">
        <v>30.34</v>
      </c>
      <c r="I314" s="87">
        <f>PRODUCT(Table1[[#This Row],[Quantity]],Table1[[#This Row],[Unit_Price]])</f>
        <v>1395.64</v>
      </c>
      <c r="J314" s="9">
        <v>104.2</v>
      </c>
      <c r="K314" s="47">
        <v>463.44</v>
      </c>
      <c r="L314" s="8" t="s">
        <v>19</v>
      </c>
      <c r="M314" s="8" t="s">
        <v>27</v>
      </c>
      <c r="N314" s="10" t="s">
        <v>39</v>
      </c>
    </row>
    <row r="315" spans="1:14" x14ac:dyDescent="0.25">
      <c r="A315" s="7" t="s">
        <v>464</v>
      </c>
      <c r="B315" s="16">
        <v>45380</v>
      </c>
      <c r="C315" s="8" t="str">
        <f>TRIM(Sales_Data!C315)</f>
        <v>Jones, James</v>
      </c>
      <c r="D315" s="8" t="str">
        <f>PROPER(TRIM(Sales_Data!D315))</f>
        <v>Singapore</v>
      </c>
      <c r="E315" s="8" t="s">
        <v>63</v>
      </c>
      <c r="F315" s="8" t="s">
        <v>37</v>
      </c>
      <c r="G315" s="8">
        <v>50</v>
      </c>
      <c r="H315" s="9">
        <v>18.809999999999999</v>
      </c>
      <c r="I315" s="87">
        <f>PRODUCT(Table1[[#This Row],[Quantity]],Table1[[#This Row],[Unit_Price]])</f>
        <v>940.49999999999989</v>
      </c>
      <c r="J315" s="9">
        <v>40.25</v>
      </c>
      <c r="K315" s="47">
        <v>262.75</v>
      </c>
      <c r="L315" s="8" t="s">
        <v>26</v>
      </c>
      <c r="M315" s="8" t="s">
        <v>27</v>
      </c>
      <c r="N315" s="10" t="s">
        <v>58</v>
      </c>
    </row>
    <row r="316" spans="1:14" x14ac:dyDescent="0.25">
      <c r="A316" s="7" t="s">
        <v>466</v>
      </c>
      <c r="B316" s="16">
        <v>45481</v>
      </c>
      <c r="C316" s="8" t="str">
        <f>TRIM(Sales_Data!C316)</f>
        <v>Martinez, Sophia</v>
      </c>
      <c r="D316" s="8" t="str">
        <f>PROPER(TRIM(Sales_Data!D316))</f>
        <v>Australia</v>
      </c>
      <c r="E316" s="8" t="s">
        <v>51</v>
      </c>
      <c r="F316" s="8" t="s">
        <v>52</v>
      </c>
      <c r="G316" s="8">
        <v>2</v>
      </c>
      <c r="H316" s="9">
        <v>29.64</v>
      </c>
      <c r="I316" s="87">
        <f>PRODUCT(Table1[[#This Row],[Quantity]],Table1[[#This Row],[Unit_Price]])</f>
        <v>59.28</v>
      </c>
      <c r="J316" s="9">
        <v>4.59</v>
      </c>
      <c r="K316" s="47">
        <v>9.69</v>
      </c>
      <c r="L316" s="8" t="s">
        <v>26</v>
      </c>
      <c r="M316" s="8" t="s">
        <v>32</v>
      </c>
      <c r="N316" s="10" t="s">
        <v>130</v>
      </c>
    </row>
    <row r="317" spans="1:14" x14ac:dyDescent="0.25">
      <c r="A317" s="7" t="s">
        <v>467</v>
      </c>
      <c r="B317" s="16">
        <v>45311</v>
      </c>
      <c r="C317" s="8" t="str">
        <f>TRIM(Sales_Data!C317)</f>
        <v>Brown, Sophia</v>
      </c>
      <c r="D317" s="8" t="str">
        <f>PROPER(TRIM(Sales_Data!D317))</f>
        <v>Singapore</v>
      </c>
      <c r="E317" s="8" t="s">
        <v>51</v>
      </c>
      <c r="F317" s="8" t="s">
        <v>52</v>
      </c>
      <c r="G317" s="8">
        <v>48</v>
      </c>
      <c r="H317" s="9">
        <v>27.9</v>
      </c>
      <c r="I317" s="87">
        <f>PRODUCT(Table1[[#This Row],[Quantity]],Table1[[#This Row],[Unit_Price]])</f>
        <v>1339.1999999999998</v>
      </c>
      <c r="J317" s="9">
        <v>66.31</v>
      </c>
      <c r="K317" s="47">
        <v>192.89</v>
      </c>
      <c r="L317" s="8" t="s">
        <v>26</v>
      </c>
      <c r="M317" s="8" t="s">
        <v>32</v>
      </c>
      <c r="N317" s="10" t="s">
        <v>58</v>
      </c>
    </row>
    <row r="318" spans="1:14" x14ac:dyDescent="0.25">
      <c r="A318" s="7" t="s">
        <v>468</v>
      </c>
      <c r="B318" s="16">
        <v>45644</v>
      </c>
      <c r="C318" s="8" t="str">
        <f>TRIM(Sales_Data!C318)</f>
        <v>Martinez, David</v>
      </c>
      <c r="D318" s="8" t="str">
        <f>PROPER(TRIM(Sales_Data!D318))</f>
        <v>France</v>
      </c>
      <c r="E318" s="8" t="s">
        <v>56</v>
      </c>
      <c r="F318" s="8" t="s">
        <v>57</v>
      </c>
      <c r="G318" s="8">
        <v>28</v>
      </c>
      <c r="H318" s="9">
        <v>38.520000000000003</v>
      </c>
      <c r="I318" s="87">
        <f>PRODUCT(Table1[[#This Row],[Quantity]],Table1[[#This Row],[Unit_Price]])</f>
        <v>1078.5600000000002</v>
      </c>
      <c r="J318" s="9">
        <v>64.510000000000005</v>
      </c>
      <c r="K318" s="47">
        <v>314.05</v>
      </c>
      <c r="L318" s="8" t="s">
        <v>19</v>
      </c>
      <c r="M318" s="8" t="s">
        <v>27</v>
      </c>
      <c r="N318" s="10" t="s">
        <v>28</v>
      </c>
    </row>
    <row r="319" spans="1:14" x14ac:dyDescent="0.25">
      <c r="A319" s="7" t="s">
        <v>469</v>
      </c>
      <c r="B319" s="16">
        <v>45377</v>
      </c>
      <c r="C319" s="8" t="str">
        <f>TRIM(Sales_Data!C319)</f>
        <v>Garcia, Laura</v>
      </c>
      <c r="D319" s="8" t="str">
        <f>PROPER(TRIM(Sales_Data!D319))</f>
        <v>Uk</v>
      </c>
      <c r="E319" s="8" t="s">
        <v>51</v>
      </c>
      <c r="F319" s="8" t="s">
        <v>52</v>
      </c>
      <c r="G319" s="8">
        <v>11</v>
      </c>
      <c r="H319" s="9">
        <v>31.08</v>
      </c>
      <c r="I319" s="87">
        <f>PRODUCT(Table1[[#This Row],[Quantity]],Table1[[#This Row],[Unit_Price]])</f>
        <v>341.88</v>
      </c>
      <c r="J319" s="9">
        <v>17.18</v>
      </c>
      <c r="K319" s="47">
        <v>77.2</v>
      </c>
      <c r="L319" s="8" t="s">
        <v>38</v>
      </c>
      <c r="M319" s="8" t="s">
        <v>32</v>
      </c>
      <c r="N319" s="10" t="s">
        <v>28</v>
      </c>
    </row>
    <row r="320" spans="1:14" x14ac:dyDescent="0.25">
      <c r="A320" s="7" t="s">
        <v>470</v>
      </c>
      <c r="B320" s="16">
        <v>45568</v>
      </c>
      <c r="C320" s="8" t="str">
        <f>TRIM(Sales_Data!C320)</f>
        <v>Martinez, John</v>
      </c>
      <c r="D320" s="8" t="str">
        <f>PROPER(TRIM(Sales_Data!D320))</f>
        <v>Mexico</v>
      </c>
      <c r="E320" s="8" t="s">
        <v>48</v>
      </c>
      <c r="F320" s="8" t="s">
        <v>37</v>
      </c>
      <c r="G320" s="8">
        <v>42</v>
      </c>
      <c r="H320" s="9">
        <v>25.95</v>
      </c>
      <c r="I320" s="87">
        <f>PRODUCT(Table1[[#This Row],[Quantity]],Table1[[#This Row],[Unit_Price]])</f>
        <v>1089.8999999999999</v>
      </c>
      <c r="J320" s="9">
        <v>27.5</v>
      </c>
      <c r="K320" s="47">
        <v>222.4</v>
      </c>
      <c r="L320" s="8" t="s">
        <v>38</v>
      </c>
      <c r="M320" s="8" t="s">
        <v>32</v>
      </c>
      <c r="N320" s="10" t="s">
        <v>21</v>
      </c>
    </row>
    <row r="321" spans="1:14" x14ac:dyDescent="0.25">
      <c r="A321" s="7" t="s">
        <v>471</v>
      </c>
      <c r="B321" s="16">
        <v>45535</v>
      </c>
      <c r="C321" s="8" t="str">
        <f>TRIM(Sales_Data!C321)</f>
        <v>Smith, John</v>
      </c>
      <c r="D321" s="8" t="str">
        <f>PROPER(TRIM(Sales_Data!D321))</f>
        <v>Singapore</v>
      </c>
      <c r="E321" s="8" t="s">
        <v>56</v>
      </c>
      <c r="F321" s="8" t="s">
        <v>57</v>
      </c>
      <c r="G321" s="8">
        <v>30</v>
      </c>
      <c r="H321" s="9">
        <v>30.16</v>
      </c>
      <c r="I321" s="87">
        <f>PRODUCT(Table1[[#This Row],[Quantity]],Table1[[#This Row],[Unit_Price]])</f>
        <v>904.8</v>
      </c>
      <c r="J321" s="9">
        <v>70.13</v>
      </c>
      <c r="K321" s="47">
        <v>84.67</v>
      </c>
      <c r="L321" s="8" t="s">
        <v>26</v>
      </c>
      <c r="M321" s="8" t="s">
        <v>20</v>
      </c>
      <c r="N321" s="10" t="s">
        <v>58</v>
      </c>
    </row>
    <row r="322" spans="1:14" x14ac:dyDescent="0.25">
      <c r="A322" s="7" t="s">
        <v>472</v>
      </c>
      <c r="B322" s="16">
        <v>45474</v>
      </c>
      <c r="C322" s="8" t="str">
        <f>TRIM(Sales_Data!C322)</f>
        <v>Jones, John</v>
      </c>
      <c r="D322" s="8" t="str">
        <f>PROPER(TRIM(Sales_Data!D322))</f>
        <v>Brazil</v>
      </c>
      <c r="E322" s="8" t="s">
        <v>48</v>
      </c>
      <c r="F322" s="8" t="s">
        <v>37</v>
      </c>
      <c r="G322" s="8">
        <v>40</v>
      </c>
      <c r="H322" s="9">
        <v>30.03</v>
      </c>
      <c r="I322" s="87">
        <f>PRODUCT(Table1[[#This Row],[Quantity]],Table1[[#This Row],[Unit_Price]])</f>
        <v>1201.2</v>
      </c>
      <c r="J322" s="9">
        <v>71.97</v>
      </c>
      <c r="K322" s="47">
        <v>329.23</v>
      </c>
      <c r="L322" s="8" t="s">
        <v>26</v>
      </c>
      <c r="M322" s="8" t="s">
        <v>20</v>
      </c>
      <c r="N322" s="10" t="s">
        <v>39</v>
      </c>
    </row>
    <row r="323" spans="1:14" x14ac:dyDescent="0.25">
      <c r="A323" s="7" t="s">
        <v>474</v>
      </c>
      <c r="B323" s="16">
        <v>45584</v>
      </c>
      <c r="C323" s="8" t="str">
        <f>TRIM(Sales_Data!C323)</f>
        <v>Jones, Laura</v>
      </c>
      <c r="D323" s="8" t="str">
        <f>PROPER(TRIM(Sales_Data!D323))</f>
        <v>South Africa</v>
      </c>
      <c r="E323" s="8" t="s">
        <v>48</v>
      </c>
      <c r="F323" s="8" t="s">
        <v>37</v>
      </c>
      <c r="G323" s="8">
        <v>15</v>
      </c>
      <c r="H323" s="9">
        <v>27.12</v>
      </c>
      <c r="I323" s="87">
        <f>PRODUCT(Table1[[#This Row],[Quantity]],Table1[[#This Row],[Unit_Price]])</f>
        <v>406.8</v>
      </c>
      <c r="J323" s="9">
        <v>24.28</v>
      </c>
      <c r="K323" s="47">
        <v>82.52</v>
      </c>
      <c r="L323" s="8" t="s">
        <v>26</v>
      </c>
      <c r="M323" s="8" t="s">
        <v>27</v>
      </c>
      <c r="N323" s="10" t="s">
        <v>87</v>
      </c>
    </row>
    <row r="324" spans="1:14" x14ac:dyDescent="0.25">
      <c r="A324" s="7" t="s">
        <v>475</v>
      </c>
      <c r="B324" s="16">
        <v>45567</v>
      </c>
      <c r="C324" s="8" t="str">
        <f>TRIM(Sales_Data!C324)</f>
        <v>Williams, Emily</v>
      </c>
      <c r="D324" s="8" t="str">
        <f>PROPER(TRIM(Sales_Data!D324))</f>
        <v>France</v>
      </c>
      <c r="E324" s="8" t="s">
        <v>63</v>
      </c>
      <c r="F324" s="8" t="s">
        <v>37</v>
      </c>
      <c r="G324" s="8">
        <v>35</v>
      </c>
      <c r="H324" s="9">
        <v>18.350000000000001</v>
      </c>
      <c r="I324" s="87">
        <f>PRODUCT(Table1[[#This Row],[Quantity]],Table1[[#This Row],[Unit_Price]])</f>
        <v>642.25</v>
      </c>
      <c r="J324" s="9">
        <v>29.35</v>
      </c>
      <c r="K324" s="47">
        <v>166.65</v>
      </c>
      <c r="L324" s="8" t="s">
        <v>19</v>
      </c>
      <c r="M324" s="8" t="s">
        <v>27</v>
      </c>
      <c r="N324" s="10" t="s">
        <v>28</v>
      </c>
    </row>
    <row r="325" spans="1:14" x14ac:dyDescent="0.25">
      <c r="A325" s="7" t="s">
        <v>476</v>
      </c>
      <c r="B325" s="16">
        <v>45459</v>
      </c>
      <c r="C325" s="8" t="str">
        <f>TRIM(Sales_Data!C325)</f>
        <v>Garcia, James</v>
      </c>
      <c r="D325" s="8" t="str">
        <f>PROPER(TRIM(Sales_Data!D325))</f>
        <v>South Africa</v>
      </c>
      <c r="E325" s="8" t="s">
        <v>17</v>
      </c>
      <c r="F325" s="8" t="s">
        <v>18</v>
      </c>
      <c r="G325" s="8">
        <v>21</v>
      </c>
      <c r="H325" s="9">
        <v>52.59</v>
      </c>
      <c r="I325" s="87">
        <f>PRODUCT(Table1[[#This Row],[Quantity]],Table1[[#This Row],[Unit_Price]])</f>
        <v>1104.3900000000001</v>
      </c>
      <c r="J325" s="9">
        <v>57.06</v>
      </c>
      <c r="K325" s="47">
        <v>312.33</v>
      </c>
      <c r="L325" s="8" t="s">
        <v>26</v>
      </c>
      <c r="M325" s="8" t="s">
        <v>27</v>
      </c>
      <c r="N325" s="10" t="s">
        <v>87</v>
      </c>
    </row>
    <row r="326" spans="1:14" x14ac:dyDescent="0.25">
      <c r="A326" s="7" t="s">
        <v>477</v>
      </c>
      <c r="B326" s="16">
        <v>45538</v>
      </c>
      <c r="C326" s="8" t="str">
        <f>TRIM(Sales_Data!C326)</f>
        <v>Brown, Sophia</v>
      </c>
      <c r="D326" s="8" t="str">
        <f>PROPER(TRIM(Sales_Data!D326))</f>
        <v>China</v>
      </c>
      <c r="E326" s="8" t="s">
        <v>83</v>
      </c>
      <c r="F326" s="8" t="s">
        <v>52</v>
      </c>
      <c r="G326" s="8">
        <v>10</v>
      </c>
      <c r="H326" s="9">
        <v>44.2</v>
      </c>
      <c r="I326" s="87">
        <f>PRODUCT(Table1[[#This Row],[Quantity]],Table1[[#This Row],[Unit_Price]])</f>
        <v>442</v>
      </c>
      <c r="J326" s="9">
        <v>18.45</v>
      </c>
      <c r="K326" s="47">
        <v>143.55000000000001</v>
      </c>
      <c r="L326" s="8" t="s">
        <v>19</v>
      </c>
      <c r="M326" s="8" t="s">
        <v>20</v>
      </c>
      <c r="N326" s="10" t="s">
        <v>58</v>
      </c>
    </row>
    <row r="327" spans="1:14" x14ac:dyDescent="0.25">
      <c r="A327" s="7" t="s">
        <v>478</v>
      </c>
      <c r="B327" s="16">
        <v>45635</v>
      </c>
      <c r="C327" s="8" t="str">
        <f>TRIM(Sales_Data!C327)</f>
        <v>Williams, James</v>
      </c>
      <c r="D327" s="8" t="str">
        <f>PROPER(TRIM(Sales_Data!D327))</f>
        <v>China</v>
      </c>
      <c r="E327" s="8" t="s">
        <v>17</v>
      </c>
      <c r="F327" s="8" t="s">
        <v>18</v>
      </c>
      <c r="G327" s="8">
        <v>11</v>
      </c>
      <c r="H327" s="9">
        <v>60.9</v>
      </c>
      <c r="I327" s="87">
        <f>PRODUCT(Table1[[#This Row],[Quantity]],Table1[[#This Row],[Unit_Price]])</f>
        <v>669.9</v>
      </c>
      <c r="J327" s="9">
        <v>26.28</v>
      </c>
      <c r="K327" s="47">
        <v>258.62</v>
      </c>
      <c r="L327" s="8" t="s">
        <v>26</v>
      </c>
      <c r="M327" s="8" t="s">
        <v>27</v>
      </c>
      <c r="N327" s="10" t="s">
        <v>58</v>
      </c>
    </row>
    <row r="328" spans="1:14" x14ac:dyDescent="0.25">
      <c r="A328" s="7" t="s">
        <v>479</v>
      </c>
      <c r="B328" s="16">
        <v>45545</v>
      </c>
      <c r="C328" s="8" t="str">
        <f>TRIM(Sales_Data!C328)</f>
        <v>Miller, John</v>
      </c>
      <c r="D328" s="8" t="str">
        <f>PROPER(TRIM(Sales_Data!D328))</f>
        <v>Uae</v>
      </c>
      <c r="E328" s="8" t="s">
        <v>63</v>
      </c>
      <c r="F328" s="8" t="s">
        <v>37</v>
      </c>
      <c r="G328" s="8">
        <v>26</v>
      </c>
      <c r="H328" s="9">
        <v>22.32</v>
      </c>
      <c r="I328" s="87">
        <f>PRODUCT(Table1[[#This Row],[Quantity]],Table1[[#This Row],[Unit_Price]])</f>
        <v>580.32000000000005</v>
      </c>
      <c r="J328" s="9">
        <v>45.08</v>
      </c>
      <c r="K328" s="47">
        <v>203.74</v>
      </c>
      <c r="L328" s="8" t="s">
        <v>26</v>
      </c>
      <c r="M328" s="8" t="s">
        <v>27</v>
      </c>
      <c r="N328" s="10" t="s">
        <v>58</v>
      </c>
    </row>
    <row r="329" spans="1:14" x14ac:dyDescent="0.25">
      <c r="A329" s="7" t="s">
        <v>480</v>
      </c>
      <c r="B329" s="16">
        <v>45680</v>
      </c>
      <c r="C329" s="8" t="str">
        <f>TRIM(Sales_Data!C329)</f>
        <v>Brown, Emily</v>
      </c>
      <c r="D329" s="8" t="str">
        <f>PROPER(TRIM(Sales_Data!D329))</f>
        <v>China</v>
      </c>
      <c r="E329" s="8" t="s">
        <v>83</v>
      </c>
      <c r="F329" s="8" t="s">
        <v>52</v>
      </c>
      <c r="G329" s="8">
        <v>46</v>
      </c>
      <c r="H329" s="9">
        <v>41.89</v>
      </c>
      <c r="I329" s="87">
        <f>PRODUCT(Table1[[#This Row],[Quantity]],Table1[[#This Row],[Unit_Price]])</f>
        <v>1926.94</v>
      </c>
      <c r="J329" s="9">
        <v>97.39</v>
      </c>
      <c r="K329" s="47">
        <v>541.54999999999995</v>
      </c>
      <c r="L329" s="8" t="s">
        <v>19</v>
      </c>
      <c r="M329" s="8" t="s">
        <v>32</v>
      </c>
      <c r="N329" s="10" t="s">
        <v>58</v>
      </c>
    </row>
    <row r="330" spans="1:14" x14ac:dyDescent="0.25">
      <c r="A330" s="7" t="s">
        <v>481</v>
      </c>
      <c r="B330" s="16">
        <v>45592</v>
      </c>
      <c r="C330" s="8" t="str">
        <f>TRIM(Sales_Data!C330)</f>
        <v>Garcia, Michael</v>
      </c>
      <c r="D330" s="8" t="str">
        <f>PROPER(TRIM(Sales_Data!D330))</f>
        <v>Uk</v>
      </c>
      <c r="E330" s="8" t="s">
        <v>63</v>
      </c>
      <c r="F330" s="8" t="s">
        <v>37</v>
      </c>
      <c r="G330" s="8">
        <v>43</v>
      </c>
      <c r="H330" s="9">
        <v>21.24</v>
      </c>
      <c r="I330" s="87">
        <f>PRODUCT(Table1[[#This Row],[Quantity]],Table1[[#This Row],[Unit_Price]])</f>
        <v>913.31999999999994</v>
      </c>
      <c r="J330" s="9">
        <v>50.32</v>
      </c>
      <c r="K330" s="47">
        <v>314.75</v>
      </c>
      <c r="L330" s="8" t="s">
        <v>26</v>
      </c>
      <c r="M330" s="8" t="s">
        <v>20</v>
      </c>
      <c r="N330" s="10" t="s">
        <v>28</v>
      </c>
    </row>
    <row r="331" spans="1:14" x14ac:dyDescent="0.25">
      <c r="A331" s="7" t="s">
        <v>482</v>
      </c>
      <c r="B331" s="16">
        <v>45360</v>
      </c>
      <c r="C331" s="8" t="str">
        <f>TRIM(Sales_Data!C331)</f>
        <v>Hernandez, Emily</v>
      </c>
      <c r="D331" s="8" t="str">
        <f>PROPER(TRIM(Sales_Data!D331))</f>
        <v>Germany</v>
      </c>
      <c r="E331" s="8" t="s">
        <v>51</v>
      </c>
      <c r="F331" s="8" t="s">
        <v>52</v>
      </c>
      <c r="G331" s="8">
        <v>28</v>
      </c>
      <c r="H331" s="9">
        <v>33.700000000000003</v>
      </c>
      <c r="I331" s="87">
        <f>PRODUCT(Table1[[#This Row],[Quantity]],Table1[[#This Row],[Unit_Price]])</f>
        <v>943.60000000000014</v>
      </c>
      <c r="J331" s="9">
        <v>20.170000000000002</v>
      </c>
      <c r="K331" s="47">
        <v>293.43</v>
      </c>
      <c r="L331" s="8" t="s">
        <v>19</v>
      </c>
      <c r="M331" s="8" t="s">
        <v>27</v>
      </c>
      <c r="N331" s="10" t="s">
        <v>28</v>
      </c>
    </row>
    <row r="332" spans="1:14" x14ac:dyDescent="0.25">
      <c r="A332" s="7" t="s">
        <v>484</v>
      </c>
      <c r="B332" s="16">
        <v>45519</v>
      </c>
      <c r="C332" s="8" t="str">
        <f>TRIM(Sales_Data!C332)</f>
        <v>Garcia, Emma</v>
      </c>
      <c r="D332" s="8" t="str">
        <f>PROPER(TRIM(Sales_Data!D332))</f>
        <v>India</v>
      </c>
      <c r="E332" s="8" t="s">
        <v>17</v>
      </c>
      <c r="F332" s="8" t="s">
        <v>18</v>
      </c>
      <c r="G332" s="8">
        <v>41</v>
      </c>
      <c r="H332" s="9">
        <v>42.74</v>
      </c>
      <c r="I332" s="87">
        <f>PRODUCT(Table1[[#This Row],[Quantity]],Table1[[#This Row],[Unit_Price]])</f>
        <v>1752.3400000000001</v>
      </c>
      <c r="J332" s="9">
        <v>92.09</v>
      </c>
      <c r="K332" s="47">
        <v>225.25</v>
      </c>
      <c r="L332" s="8" t="s">
        <v>38</v>
      </c>
      <c r="M332" s="8" t="s">
        <v>20</v>
      </c>
      <c r="N332" s="10" t="s">
        <v>58</v>
      </c>
    </row>
    <row r="333" spans="1:14" x14ac:dyDescent="0.25">
      <c r="A333" s="7" t="s">
        <v>485</v>
      </c>
      <c r="B333" s="16">
        <v>45559</v>
      </c>
      <c r="C333" s="8" t="str">
        <f>TRIM(Sales_Data!C333)</f>
        <v>Garcia, James</v>
      </c>
      <c r="D333" s="8" t="str">
        <f>PROPER(TRIM(Sales_Data!D333))</f>
        <v>Uk</v>
      </c>
      <c r="E333" s="8" t="s">
        <v>48</v>
      </c>
      <c r="F333" s="8" t="s">
        <v>37</v>
      </c>
      <c r="G333" s="8">
        <v>24</v>
      </c>
      <c r="H333" s="9">
        <v>30.18</v>
      </c>
      <c r="I333" s="87">
        <f>PRODUCT(Table1[[#This Row],[Quantity]],Table1[[#This Row],[Unit_Price]])</f>
        <v>724.31999999999994</v>
      </c>
      <c r="J333" s="9">
        <v>44.97</v>
      </c>
      <c r="K333" s="47">
        <v>199.35</v>
      </c>
      <c r="L333" s="8" t="s">
        <v>19</v>
      </c>
      <c r="M333" s="8" t="s">
        <v>20</v>
      </c>
      <c r="N333" s="10" t="s">
        <v>28</v>
      </c>
    </row>
    <row r="334" spans="1:14" x14ac:dyDescent="0.25">
      <c r="A334" s="7" t="s">
        <v>486</v>
      </c>
      <c r="B334" s="16">
        <v>45692</v>
      </c>
      <c r="C334" s="8" t="str">
        <f>TRIM(Sales_Data!C334)</f>
        <v>Smith, Sophia</v>
      </c>
      <c r="D334" s="8" t="str">
        <f>PROPER(TRIM(Sales_Data!D334))</f>
        <v>Japan</v>
      </c>
      <c r="E334" s="8" t="s">
        <v>60</v>
      </c>
      <c r="F334" s="8" t="s">
        <v>52</v>
      </c>
      <c r="G334" s="8">
        <v>44</v>
      </c>
      <c r="H334" s="9">
        <v>20.02</v>
      </c>
      <c r="I334" s="87">
        <f>PRODUCT(Table1[[#This Row],[Quantity]],Table1[[#This Row],[Unit_Price]])</f>
        <v>880.88</v>
      </c>
      <c r="J334" s="9">
        <v>60.27</v>
      </c>
      <c r="K334" s="47">
        <v>138.61000000000001</v>
      </c>
      <c r="L334" s="8" t="s">
        <v>26</v>
      </c>
      <c r="M334" s="8" t="s">
        <v>27</v>
      </c>
      <c r="N334" s="10" t="s">
        <v>58</v>
      </c>
    </row>
    <row r="335" spans="1:14" x14ac:dyDescent="0.25">
      <c r="A335" s="7" t="s">
        <v>487</v>
      </c>
      <c r="B335" s="16">
        <v>45522</v>
      </c>
      <c r="C335" s="8" t="str">
        <f>TRIM(Sales_Data!C335)</f>
        <v>Garcia, Sophia</v>
      </c>
      <c r="D335" s="8" t="str">
        <f>PROPER(TRIM(Sales_Data!D335))</f>
        <v>Uk</v>
      </c>
      <c r="E335" s="8" t="s">
        <v>48</v>
      </c>
      <c r="F335" s="8" t="s">
        <v>37</v>
      </c>
      <c r="G335" s="8">
        <v>12</v>
      </c>
      <c r="H335" s="9">
        <v>27.45</v>
      </c>
      <c r="I335" s="87">
        <f>PRODUCT(Table1[[#This Row],[Quantity]],Table1[[#This Row],[Unit_Price]])</f>
        <v>329.4</v>
      </c>
      <c r="J335" s="9">
        <v>13.22</v>
      </c>
      <c r="K335" s="47">
        <v>76.180000000000007</v>
      </c>
      <c r="L335" s="8" t="s">
        <v>38</v>
      </c>
      <c r="M335" s="8" t="s">
        <v>32</v>
      </c>
      <c r="N335" s="10" t="s">
        <v>28</v>
      </c>
    </row>
    <row r="336" spans="1:14" x14ac:dyDescent="0.25">
      <c r="A336" s="7" t="s">
        <v>488</v>
      </c>
      <c r="B336" s="16">
        <v>45614</v>
      </c>
      <c r="C336" s="8" t="str">
        <f>TRIM(Sales_Data!C336)</f>
        <v>Davis, David</v>
      </c>
      <c r="D336" s="8" t="str">
        <f>PROPER(TRIM(Sales_Data!D336))</f>
        <v>South Africa</v>
      </c>
      <c r="E336" s="8" t="s">
        <v>48</v>
      </c>
      <c r="F336" s="8" t="s">
        <v>37</v>
      </c>
      <c r="G336" s="8">
        <v>26</v>
      </c>
      <c r="H336" s="9">
        <v>30.57</v>
      </c>
      <c r="I336" s="87">
        <f>PRODUCT(Table1[[#This Row],[Quantity]],Table1[[#This Row],[Unit_Price]])</f>
        <v>794.82</v>
      </c>
      <c r="J336" s="9">
        <v>19.45</v>
      </c>
      <c r="K336" s="47">
        <v>255.37</v>
      </c>
      <c r="L336" s="8" t="s">
        <v>38</v>
      </c>
      <c r="M336" s="8" t="s">
        <v>27</v>
      </c>
      <c r="N336" s="10" t="s">
        <v>87</v>
      </c>
    </row>
    <row r="337" spans="1:14" x14ac:dyDescent="0.25">
      <c r="A337" s="7" t="s">
        <v>489</v>
      </c>
      <c r="B337" s="16">
        <v>45539</v>
      </c>
      <c r="C337" s="8" t="str">
        <f>TRIM(Sales_Data!C337)</f>
        <v>Williams, Laura</v>
      </c>
      <c r="D337" s="8" t="str">
        <f>PROPER(TRIM(Sales_Data!D337))</f>
        <v>Japan</v>
      </c>
      <c r="E337" s="8" t="s">
        <v>56</v>
      </c>
      <c r="F337" s="8" t="s">
        <v>57</v>
      </c>
      <c r="G337" s="8">
        <v>46</v>
      </c>
      <c r="H337" s="9">
        <v>32.19</v>
      </c>
      <c r="I337" s="87">
        <f>PRODUCT(Table1[[#This Row],[Quantity]],Table1[[#This Row],[Unit_Price]])</f>
        <v>1480.7399999999998</v>
      </c>
      <c r="J337" s="9">
        <v>111.13</v>
      </c>
      <c r="K337" s="47">
        <v>219.61</v>
      </c>
      <c r="L337" s="8" t="s">
        <v>38</v>
      </c>
      <c r="M337" s="8" t="s">
        <v>27</v>
      </c>
      <c r="N337" s="10" t="s">
        <v>58</v>
      </c>
    </row>
    <row r="338" spans="1:14" x14ac:dyDescent="0.25">
      <c r="A338" s="7" t="s">
        <v>490</v>
      </c>
      <c r="B338" s="16">
        <v>45734</v>
      </c>
      <c r="C338" s="8" t="str">
        <f>TRIM(Sales_Data!C338)</f>
        <v>Miller, Michael</v>
      </c>
      <c r="D338" s="8" t="str">
        <f>PROPER(TRIM(Sales_Data!D338))</f>
        <v>Singapore</v>
      </c>
      <c r="E338" s="8" t="s">
        <v>25</v>
      </c>
      <c r="F338" s="8" t="s">
        <v>18</v>
      </c>
      <c r="G338" s="8">
        <v>20</v>
      </c>
      <c r="H338" s="9">
        <v>31.79</v>
      </c>
      <c r="I338" s="87">
        <f>PRODUCT(Table1[[#This Row],[Quantity]],Table1[[#This Row],[Unit_Price]])</f>
        <v>635.79999999999995</v>
      </c>
      <c r="J338" s="9">
        <v>38.43</v>
      </c>
      <c r="K338" s="47">
        <v>237.37</v>
      </c>
      <c r="L338" s="8" t="s">
        <v>19</v>
      </c>
      <c r="M338" s="8" t="s">
        <v>27</v>
      </c>
      <c r="N338" s="10" t="s">
        <v>58</v>
      </c>
    </row>
    <row r="339" spans="1:14" x14ac:dyDescent="0.25">
      <c r="A339" s="7" t="s">
        <v>491</v>
      </c>
      <c r="B339" s="16">
        <v>45735</v>
      </c>
      <c r="C339" s="8" t="str">
        <f>TRIM(Sales_Data!C339)</f>
        <v>Smith, Emily</v>
      </c>
      <c r="D339" s="8" t="str">
        <f>PROPER(TRIM(Sales_Data!D339))</f>
        <v>Australia</v>
      </c>
      <c r="E339" s="8" t="s">
        <v>25</v>
      </c>
      <c r="F339" s="8" t="s">
        <v>18</v>
      </c>
      <c r="G339" s="8">
        <v>8</v>
      </c>
      <c r="H339" s="9">
        <v>28.94</v>
      </c>
      <c r="I339" s="87">
        <f>PRODUCT(Table1[[#This Row],[Quantity]],Table1[[#This Row],[Unit_Price]])</f>
        <v>231.52</v>
      </c>
      <c r="J339" s="9">
        <v>7</v>
      </c>
      <c r="K339" s="47">
        <v>80.52</v>
      </c>
      <c r="L339" s="8" t="s">
        <v>38</v>
      </c>
      <c r="M339" s="8" t="s">
        <v>27</v>
      </c>
      <c r="N339" s="10" t="s">
        <v>130</v>
      </c>
    </row>
    <row r="340" spans="1:14" x14ac:dyDescent="0.25">
      <c r="A340" s="7" t="s">
        <v>492</v>
      </c>
      <c r="B340" s="16">
        <v>45577</v>
      </c>
      <c r="C340" s="8" t="str">
        <f>TRIM(Sales_Data!C340)</f>
        <v>Garcia, Emma</v>
      </c>
      <c r="D340" s="8" t="str">
        <f>PROPER(TRIM(Sales_Data!D340))</f>
        <v>France</v>
      </c>
      <c r="E340" s="8" t="s">
        <v>25</v>
      </c>
      <c r="F340" s="8" t="s">
        <v>18</v>
      </c>
      <c r="G340" s="8">
        <v>40</v>
      </c>
      <c r="H340" s="9">
        <v>30.66</v>
      </c>
      <c r="I340" s="87">
        <f>PRODUCT(Table1[[#This Row],[Quantity]],Table1[[#This Row],[Unit_Price]])</f>
        <v>1226.4000000000001</v>
      </c>
      <c r="J340" s="9">
        <v>85.24</v>
      </c>
      <c r="K340" s="47">
        <v>421.16</v>
      </c>
      <c r="L340" s="8" t="s">
        <v>19</v>
      </c>
      <c r="M340" s="8" t="s">
        <v>20</v>
      </c>
      <c r="N340" s="10" t="s">
        <v>28</v>
      </c>
    </row>
    <row r="341" spans="1:14" x14ac:dyDescent="0.25">
      <c r="A341" s="7" t="s">
        <v>493</v>
      </c>
      <c r="B341" s="16">
        <v>45724</v>
      </c>
      <c r="C341" s="8" t="str">
        <f>TRIM(Sales_Data!C341)</f>
        <v>Jones, Sarah</v>
      </c>
      <c r="D341" s="8" t="str">
        <f>PROPER(TRIM(Sales_Data!D341))</f>
        <v>Australia</v>
      </c>
      <c r="E341" s="8" t="s">
        <v>36</v>
      </c>
      <c r="F341" s="8" t="s">
        <v>37</v>
      </c>
      <c r="G341" s="8">
        <v>44</v>
      </c>
      <c r="H341" s="9">
        <v>54.09</v>
      </c>
      <c r="I341" s="87">
        <f>PRODUCT(Table1[[#This Row],[Quantity]],Table1[[#This Row],[Unit_Price]])</f>
        <v>2379.96</v>
      </c>
      <c r="J341" s="9">
        <v>106.39</v>
      </c>
      <c r="K341" s="47">
        <v>865.57</v>
      </c>
      <c r="L341" s="8" t="s">
        <v>19</v>
      </c>
      <c r="M341" s="8" t="s">
        <v>27</v>
      </c>
      <c r="N341" s="10" t="s">
        <v>130</v>
      </c>
    </row>
    <row r="342" spans="1:14" x14ac:dyDescent="0.25">
      <c r="A342" s="7" t="s">
        <v>494</v>
      </c>
      <c r="B342" s="16">
        <v>45707</v>
      </c>
      <c r="C342" s="8" t="str">
        <f>TRIM(Sales_Data!C342)</f>
        <v>Smith, Sophia</v>
      </c>
      <c r="D342" s="8" t="str">
        <f>PROPER(TRIM(Sales_Data!D342))</f>
        <v>Singapore</v>
      </c>
      <c r="E342" s="8" t="s">
        <v>43</v>
      </c>
      <c r="F342" s="8" t="s">
        <v>44</v>
      </c>
      <c r="G342" s="8">
        <v>32</v>
      </c>
      <c r="H342" s="9">
        <v>68.89</v>
      </c>
      <c r="I342" s="87">
        <f>PRODUCT(Table1[[#This Row],[Quantity]],Table1[[#This Row],[Unit_Price]])</f>
        <v>2204.48</v>
      </c>
      <c r="J342" s="9">
        <v>152.05000000000001</v>
      </c>
      <c r="K342" s="47">
        <v>772.43</v>
      </c>
      <c r="L342" s="8" t="s">
        <v>19</v>
      </c>
      <c r="M342" s="8" t="s">
        <v>27</v>
      </c>
      <c r="N342" s="10" t="s">
        <v>58</v>
      </c>
    </row>
    <row r="343" spans="1:14" x14ac:dyDescent="0.25">
      <c r="A343" s="7" t="s">
        <v>495</v>
      </c>
      <c r="B343" s="16">
        <v>45423</v>
      </c>
      <c r="C343" s="8" t="str">
        <f>TRIM(Sales_Data!C343)</f>
        <v>Jones, James</v>
      </c>
      <c r="D343" s="8" t="str">
        <f>PROPER(TRIM(Sales_Data!D343))</f>
        <v>India</v>
      </c>
      <c r="E343" s="8" t="s">
        <v>17</v>
      </c>
      <c r="F343" s="8" t="s">
        <v>18</v>
      </c>
      <c r="G343" s="8">
        <v>44</v>
      </c>
      <c r="H343" s="9">
        <v>43.35</v>
      </c>
      <c r="I343" s="87">
        <f>PRODUCT(Table1[[#This Row],[Quantity]],Table1[[#This Row],[Unit_Price]])</f>
        <v>1907.4</v>
      </c>
      <c r="J343" s="9">
        <v>99.05</v>
      </c>
      <c r="K343" s="47">
        <v>268.35000000000002</v>
      </c>
      <c r="L343" s="8" t="s">
        <v>38</v>
      </c>
      <c r="M343" s="8" t="s">
        <v>27</v>
      </c>
      <c r="N343" s="10" t="s">
        <v>58</v>
      </c>
    </row>
    <row r="344" spans="1:14" x14ac:dyDescent="0.25">
      <c r="A344" s="7" t="s">
        <v>496</v>
      </c>
      <c r="B344" s="16">
        <v>45490</v>
      </c>
      <c r="C344" s="8" t="str">
        <f>TRIM(Sales_Data!C344)</f>
        <v>Brown, Laura</v>
      </c>
      <c r="D344" s="8" t="str">
        <f>PROPER(TRIM(Sales_Data!D344))</f>
        <v>Mexico</v>
      </c>
      <c r="E344" s="8" t="s">
        <v>83</v>
      </c>
      <c r="F344" s="8" t="s">
        <v>52</v>
      </c>
      <c r="G344" s="8">
        <v>24</v>
      </c>
      <c r="H344" s="9">
        <v>34</v>
      </c>
      <c r="I344" s="87">
        <f>PRODUCT(Table1[[#This Row],[Quantity]],Table1[[#This Row],[Unit_Price]])</f>
        <v>816</v>
      </c>
      <c r="J344" s="9">
        <v>42.15</v>
      </c>
      <c r="K344" s="47">
        <v>101.85</v>
      </c>
      <c r="L344" s="8" t="s">
        <v>38</v>
      </c>
      <c r="M344" s="8" t="s">
        <v>20</v>
      </c>
      <c r="N344" s="10" t="s">
        <v>21</v>
      </c>
    </row>
    <row r="345" spans="1:14" x14ac:dyDescent="0.25">
      <c r="A345" s="7" t="s">
        <v>497</v>
      </c>
      <c r="B345" s="16">
        <v>45347</v>
      </c>
      <c r="C345" s="8" t="str">
        <f>TRIM(Sales_Data!C345)</f>
        <v>Garcia, Sarah</v>
      </c>
      <c r="D345" s="8" t="str">
        <f>PROPER(TRIM(Sales_Data!D345))</f>
        <v>China</v>
      </c>
      <c r="E345" s="8" t="s">
        <v>25</v>
      </c>
      <c r="F345" s="8" t="s">
        <v>18</v>
      </c>
      <c r="G345" s="8">
        <v>41</v>
      </c>
      <c r="H345" s="9">
        <v>30.25</v>
      </c>
      <c r="I345" s="87">
        <f>PRODUCT(Table1[[#This Row],[Quantity]],Table1[[#This Row],[Unit_Price]])</f>
        <v>1240.25</v>
      </c>
      <c r="J345" s="9">
        <v>92.86</v>
      </c>
      <c r="K345" s="47">
        <v>409.39</v>
      </c>
      <c r="L345" s="8" t="s">
        <v>19</v>
      </c>
      <c r="M345" s="8" t="s">
        <v>20</v>
      </c>
      <c r="N345" s="10" t="s">
        <v>58</v>
      </c>
    </row>
    <row r="346" spans="1:14" x14ac:dyDescent="0.25">
      <c r="A346" s="7" t="s">
        <v>498</v>
      </c>
      <c r="B346" s="16">
        <v>45740</v>
      </c>
      <c r="C346" s="8" t="str">
        <f>TRIM(Sales_Data!C346)</f>
        <v>Smith, Emily</v>
      </c>
      <c r="D346" s="8" t="str">
        <f>PROPER(TRIM(Sales_Data!D346))</f>
        <v>South Africa</v>
      </c>
      <c r="E346" s="8" t="s">
        <v>60</v>
      </c>
      <c r="F346" s="8" t="s">
        <v>52</v>
      </c>
      <c r="G346" s="8">
        <v>15</v>
      </c>
      <c r="H346" s="9">
        <v>23.71</v>
      </c>
      <c r="I346" s="87">
        <f>PRODUCT(Table1[[#This Row],[Quantity]],Table1[[#This Row],[Unit_Price]])</f>
        <v>355.65000000000003</v>
      </c>
      <c r="J346" s="9">
        <v>7.22</v>
      </c>
      <c r="K346" s="47">
        <v>115.93</v>
      </c>
      <c r="L346" s="8" t="s">
        <v>26</v>
      </c>
      <c r="M346" s="8" t="s">
        <v>27</v>
      </c>
      <c r="N346" s="10" t="s">
        <v>87</v>
      </c>
    </row>
    <row r="347" spans="1:14" x14ac:dyDescent="0.25">
      <c r="A347" s="7" t="s">
        <v>499</v>
      </c>
      <c r="B347" s="16">
        <v>45518</v>
      </c>
      <c r="C347" s="8" t="str">
        <f>TRIM(Sales_Data!C347)</f>
        <v>Garcia, Emily</v>
      </c>
      <c r="D347" s="8" t="str">
        <f>PROPER(TRIM(Sales_Data!D347))</f>
        <v>Singapore</v>
      </c>
      <c r="E347" s="8" t="s">
        <v>36</v>
      </c>
      <c r="F347" s="8" t="s">
        <v>37</v>
      </c>
      <c r="G347" s="8">
        <v>33</v>
      </c>
      <c r="H347" s="9">
        <v>48.64</v>
      </c>
      <c r="I347" s="87">
        <f>PRODUCT(Table1[[#This Row],[Quantity]],Table1[[#This Row],[Unit_Price]])</f>
        <v>1605.1200000000001</v>
      </c>
      <c r="J347" s="9">
        <v>98.71</v>
      </c>
      <c r="K347" s="47">
        <v>450.41</v>
      </c>
      <c r="L347" s="8" t="s">
        <v>19</v>
      </c>
      <c r="M347" s="8" t="s">
        <v>27</v>
      </c>
      <c r="N347" s="10" t="s">
        <v>58</v>
      </c>
    </row>
    <row r="348" spans="1:14" x14ac:dyDescent="0.25">
      <c r="A348" s="7" t="s">
        <v>500</v>
      </c>
      <c r="B348" s="16">
        <v>45387</v>
      </c>
      <c r="C348" s="8" t="str">
        <f>TRIM(Sales_Data!C348)</f>
        <v>Miller, Daniel</v>
      </c>
      <c r="D348" s="8" t="str">
        <f>PROPER(TRIM(Sales_Data!D348))</f>
        <v>Germany</v>
      </c>
      <c r="E348" s="8" t="s">
        <v>17</v>
      </c>
      <c r="F348" s="8" t="s">
        <v>18</v>
      </c>
      <c r="G348" s="8">
        <v>7</v>
      </c>
      <c r="H348" s="9">
        <v>50.94</v>
      </c>
      <c r="I348" s="87">
        <f>PRODUCT(Table1[[#This Row],[Quantity]],Table1[[#This Row],[Unit_Price]])</f>
        <v>356.58</v>
      </c>
      <c r="J348" s="9">
        <v>11.19</v>
      </c>
      <c r="K348" s="47">
        <v>100.39</v>
      </c>
      <c r="L348" s="8" t="s">
        <v>26</v>
      </c>
      <c r="M348" s="8" t="s">
        <v>20</v>
      </c>
      <c r="N348" s="10" t="s">
        <v>28</v>
      </c>
    </row>
    <row r="349" spans="1:14" x14ac:dyDescent="0.25">
      <c r="A349" s="7" t="s">
        <v>501</v>
      </c>
      <c r="B349" s="16">
        <v>45669</v>
      </c>
      <c r="C349" s="8" t="str">
        <f>TRIM(Sales_Data!C349)</f>
        <v>Martinez, Sophia</v>
      </c>
      <c r="D349" s="8" t="str">
        <f>PROPER(TRIM(Sales_Data!D349))</f>
        <v>Australia</v>
      </c>
      <c r="E349" s="8" t="s">
        <v>48</v>
      </c>
      <c r="F349" s="8" t="s">
        <v>37</v>
      </c>
      <c r="G349" s="8">
        <v>1</v>
      </c>
      <c r="H349" s="9">
        <v>31.4</v>
      </c>
      <c r="I349" s="87">
        <f>PRODUCT(Table1[[#This Row],[Quantity]],Table1[[#This Row],[Unit_Price]])</f>
        <v>31.4</v>
      </c>
      <c r="J349" s="9">
        <v>1.1399999999999999</v>
      </c>
      <c r="K349" s="47">
        <v>10.26</v>
      </c>
      <c r="L349" s="8" t="s">
        <v>38</v>
      </c>
      <c r="M349" s="8" t="s">
        <v>27</v>
      </c>
      <c r="N349" s="10" t="s">
        <v>130</v>
      </c>
    </row>
    <row r="350" spans="1:14" x14ac:dyDescent="0.25">
      <c r="A350" s="7" t="s">
        <v>502</v>
      </c>
      <c r="B350" s="16">
        <v>45484</v>
      </c>
      <c r="C350" s="8" t="str">
        <f>TRIM(Sales_Data!C350)</f>
        <v>Davis, Emily</v>
      </c>
      <c r="D350" s="8" t="str">
        <f>PROPER(TRIM(Sales_Data!D350))</f>
        <v>Italy</v>
      </c>
      <c r="E350" s="8" t="s">
        <v>63</v>
      </c>
      <c r="F350" s="8" t="s">
        <v>37</v>
      </c>
      <c r="G350" s="8">
        <v>28</v>
      </c>
      <c r="H350" s="9">
        <v>18.59</v>
      </c>
      <c r="I350" s="87">
        <f>PRODUCT(Table1[[#This Row],[Quantity]],Table1[[#This Row],[Unit_Price]])</f>
        <v>520.52</v>
      </c>
      <c r="J350" s="9">
        <v>14.08</v>
      </c>
      <c r="K350" s="47">
        <v>149.44</v>
      </c>
      <c r="L350" s="8" t="s">
        <v>19</v>
      </c>
      <c r="M350" s="8" t="s">
        <v>20</v>
      </c>
      <c r="N350" s="10" t="s">
        <v>28</v>
      </c>
    </row>
    <row r="351" spans="1:14" x14ac:dyDescent="0.25">
      <c r="A351" s="7" t="s">
        <v>503</v>
      </c>
      <c r="B351" s="16">
        <v>45722</v>
      </c>
      <c r="C351" s="8" t="str">
        <f>TRIM(Sales_Data!C351)</f>
        <v>Williams, John</v>
      </c>
      <c r="D351" s="8" t="str">
        <f>PROPER(TRIM(Sales_Data!D351))</f>
        <v>France</v>
      </c>
      <c r="E351" s="8" t="s">
        <v>60</v>
      </c>
      <c r="F351" s="8" t="s">
        <v>52</v>
      </c>
      <c r="G351" s="8">
        <v>50</v>
      </c>
      <c r="H351" s="9">
        <v>20.66</v>
      </c>
      <c r="I351" s="87">
        <f>PRODUCT(Table1[[#This Row],[Quantity]],Table1[[#This Row],[Unit_Price]])</f>
        <v>1033</v>
      </c>
      <c r="J351" s="9">
        <v>34.130000000000003</v>
      </c>
      <c r="K351" s="47">
        <v>223.87</v>
      </c>
      <c r="L351" s="8" t="s">
        <v>38</v>
      </c>
      <c r="M351" s="8" t="s">
        <v>27</v>
      </c>
      <c r="N351" s="10" t="s">
        <v>28</v>
      </c>
    </row>
    <row r="352" spans="1:14" x14ac:dyDescent="0.25">
      <c r="A352" s="7" t="s">
        <v>505</v>
      </c>
      <c r="B352" s="16">
        <v>45685</v>
      </c>
      <c r="C352" s="8" t="str">
        <f>TRIM(Sales_Data!C352)</f>
        <v>Hernandez, James</v>
      </c>
      <c r="D352" s="8" t="str">
        <f>PROPER(TRIM(Sales_Data!D352))</f>
        <v>China</v>
      </c>
      <c r="E352" s="8" t="s">
        <v>17</v>
      </c>
      <c r="F352" s="8" t="s">
        <v>18</v>
      </c>
      <c r="G352" s="8">
        <v>4</v>
      </c>
      <c r="H352" s="9">
        <v>46.62</v>
      </c>
      <c r="I352" s="87">
        <f>PRODUCT(Table1[[#This Row],[Quantity]],Table1[[#This Row],[Unit_Price]])</f>
        <v>186.48</v>
      </c>
      <c r="J352" s="9">
        <v>13.29</v>
      </c>
      <c r="K352" s="47">
        <v>33.19</v>
      </c>
      <c r="L352" s="8" t="s">
        <v>26</v>
      </c>
      <c r="M352" s="8" t="s">
        <v>20</v>
      </c>
      <c r="N352" s="10" t="s">
        <v>58</v>
      </c>
    </row>
    <row r="353" spans="1:14" x14ac:dyDescent="0.25">
      <c r="A353" s="7" t="s">
        <v>506</v>
      </c>
      <c r="B353" s="16">
        <v>45685</v>
      </c>
      <c r="C353" s="8" t="str">
        <f>TRIM(Sales_Data!C353)</f>
        <v>Jones, James</v>
      </c>
      <c r="D353" s="8" t="str">
        <f>PROPER(TRIM(Sales_Data!D353))</f>
        <v>South Africa</v>
      </c>
      <c r="E353" s="8" t="s">
        <v>60</v>
      </c>
      <c r="F353" s="8" t="s">
        <v>52</v>
      </c>
      <c r="G353" s="8">
        <v>37</v>
      </c>
      <c r="H353" s="9">
        <v>21.81</v>
      </c>
      <c r="I353" s="87">
        <f>PRODUCT(Table1[[#This Row],[Quantity]],Table1[[#This Row],[Unit_Price]])</f>
        <v>806.96999999999991</v>
      </c>
      <c r="J353" s="9">
        <v>19.63</v>
      </c>
      <c r="K353" s="47">
        <v>213.84</v>
      </c>
      <c r="L353" s="8" t="s">
        <v>38</v>
      </c>
      <c r="M353" s="8" t="s">
        <v>32</v>
      </c>
      <c r="N353" s="10" t="s">
        <v>87</v>
      </c>
    </row>
    <row r="354" spans="1:14" x14ac:dyDescent="0.25">
      <c r="A354" s="7" t="s">
        <v>507</v>
      </c>
      <c r="B354" s="16">
        <v>45411</v>
      </c>
      <c r="C354" s="8" t="str">
        <f>TRIM(Sales_Data!C354)</f>
        <v>Smith, Daniel</v>
      </c>
      <c r="D354" s="8" t="str">
        <f>PROPER(TRIM(Sales_Data!D354))</f>
        <v>China</v>
      </c>
      <c r="E354" s="8" t="s">
        <v>60</v>
      </c>
      <c r="F354" s="8" t="s">
        <v>52</v>
      </c>
      <c r="G354" s="8">
        <v>48</v>
      </c>
      <c r="H354" s="9">
        <v>26.68</v>
      </c>
      <c r="I354" s="87">
        <f>PRODUCT(Table1[[#This Row],[Quantity]],Table1[[#This Row],[Unit_Price]])</f>
        <v>1280.6399999999999</v>
      </c>
      <c r="J354" s="9">
        <v>55.36</v>
      </c>
      <c r="K354" s="47">
        <v>481.28</v>
      </c>
      <c r="L354" s="8" t="s">
        <v>19</v>
      </c>
      <c r="M354" s="8" t="s">
        <v>27</v>
      </c>
      <c r="N354" s="10" t="s">
        <v>58</v>
      </c>
    </row>
    <row r="355" spans="1:14" x14ac:dyDescent="0.25">
      <c r="A355" s="7" t="s">
        <v>508</v>
      </c>
      <c r="B355" s="16">
        <v>45785</v>
      </c>
      <c r="C355" s="8" t="str">
        <f>TRIM(Sales_Data!C355)</f>
        <v>Smith, Michael</v>
      </c>
      <c r="D355" s="8" t="str">
        <f>PROPER(TRIM(Sales_Data!D355))</f>
        <v>Brazil</v>
      </c>
      <c r="E355" s="8" t="s">
        <v>56</v>
      </c>
      <c r="F355" s="8" t="s">
        <v>57</v>
      </c>
      <c r="G355" s="8">
        <v>24</v>
      </c>
      <c r="H355" s="9">
        <v>42.82</v>
      </c>
      <c r="I355" s="87">
        <f>PRODUCT(Table1[[#This Row],[Quantity]],Table1[[#This Row],[Unit_Price]])</f>
        <v>1027.68</v>
      </c>
      <c r="J355" s="9">
        <v>69.95</v>
      </c>
      <c r="K355" s="47">
        <v>357.73</v>
      </c>
      <c r="L355" s="8" t="s">
        <v>19</v>
      </c>
      <c r="M355" s="8" t="s">
        <v>20</v>
      </c>
      <c r="N355" s="10" t="s">
        <v>39</v>
      </c>
    </row>
    <row r="356" spans="1:14" x14ac:dyDescent="0.25">
      <c r="A356" s="7" t="s">
        <v>509</v>
      </c>
      <c r="B356" s="16">
        <v>45668</v>
      </c>
      <c r="C356" s="8" t="str">
        <f>TRIM(Sales_Data!C356)</f>
        <v>Martinez, Sarah</v>
      </c>
      <c r="D356" s="8" t="str">
        <f>PROPER(TRIM(Sales_Data!D356))</f>
        <v>Australia</v>
      </c>
      <c r="E356" s="8" t="s">
        <v>51</v>
      </c>
      <c r="F356" s="8" t="s">
        <v>52</v>
      </c>
      <c r="G356" s="8">
        <v>26</v>
      </c>
      <c r="H356" s="9">
        <v>34.4</v>
      </c>
      <c r="I356" s="87">
        <f>PRODUCT(Table1[[#This Row],[Quantity]],Table1[[#This Row],[Unit_Price]])</f>
        <v>894.4</v>
      </c>
      <c r="J356" s="9">
        <v>40.42</v>
      </c>
      <c r="K356" s="47">
        <v>268.98</v>
      </c>
      <c r="L356" s="8" t="s">
        <v>19</v>
      </c>
      <c r="M356" s="8" t="s">
        <v>20</v>
      </c>
      <c r="N356" s="10" t="s">
        <v>130</v>
      </c>
    </row>
    <row r="357" spans="1:14" x14ac:dyDescent="0.25">
      <c r="A357" s="7" t="s">
        <v>510</v>
      </c>
      <c r="B357" s="16">
        <v>45454</v>
      </c>
      <c r="C357" s="8" t="str">
        <f>TRIM(Sales_Data!C357)</f>
        <v>Johnson, James</v>
      </c>
      <c r="D357" s="8" t="str">
        <f>PROPER(TRIM(Sales_Data!D357))</f>
        <v>Italy</v>
      </c>
      <c r="E357" s="8" t="s">
        <v>17</v>
      </c>
      <c r="F357" s="8" t="s">
        <v>18</v>
      </c>
      <c r="G357" s="8">
        <v>47</v>
      </c>
      <c r="H357" s="9">
        <v>44.89</v>
      </c>
      <c r="I357" s="87">
        <f>PRODUCT(Table1[[#This Row],[Quantity]],Table1[[#This Row],[Unit_Price]])</f>
        <v>2109.83</v>
      </c>
      <c r="J357" s="9">
        <v>45.91</v>
      </c>
      <c r="K357" s="47">
        <v>418.92</v>
      </c>
      <c r="L357" s="8" t="s">
        <v>19</v>
      </c>
      <c r="M357" s="8" t="s">
        <v>27</v>
      </c>
      <c r="N357" s="10" t="s">
        <v>28</v>
      </c>
    </row>
    <row r="358" spans="1:14" x14ac:dyDescent="0.25">
      <c r="A358" s="7" t="s">
        <v>511</v>
      </c>
      <c r="B358" s="16">
        <v>45656</v>
      </c>
      <c r="C358" s="8" t="str">
        <f>TRIM(Sales_Data!C358)</f>
        <v>Miller, Sophia</v>
      </c>
      <c r="D358" s="8" t="str">
        <f>PROPER(TRIM(Sales_Data!D358))</f>
        <v>China</v>
      </c>
      <c r="E358" s="8" t="s">
        <v>60</v>
      </c>
      <c r="F358" s="8" t="s">
        <v>52</v>
      </c>
      <c r="G358" s="8">
        <v>1</v>
      </c>
      <c r="H358" s="9">
        <v>18.739999999999998</v>
      </c>
      <c r="I358" s="87">
        <f>PRODUCT(Table1[[#This Row],[Quantity]],Table1[[#This Row],[Unit_Price]])</f>
        <v>18.739999999999998</v>
      </c>
      <c r="J358" s="9">
        <v>0.5</v>
      </c>
      <c r="K358" s="47">
        <v>2.74</v>
      </c>
      <c r="L358" s="8" t="s">
        <v>38</v>
      </c>
      <c r="M358" s="8" t="s">
        <v>27</v>
      </c>
      <c r="N358" s="10" t="s">
        <v>58</v>
      </c>
    </row>
    <row r="359" spans="1:14" x14ac:dyDescent="0.25">
      <c r="A359" s="7" t="s">
        <v>512</v>
      </c>
      <c r="B359" s="16">
        <v>45648</v>
      </c>
      <c r="C359" s="8" t="str">
        <f>TRIM(Sales_Data!C359)</f>
        <v>Jones, Michael</v>
      </c>
      <c r="D359" s="8" t="str">
        <f>PROPER(TRIM(Sales_Data!D359))</f>
        <v>Singapore</v>
      </c>
      <c r="E359" s="8" t="s">
        <v>51</v>
      </c>
      <c r="F359" s="8" t="s">
        <v>52</v>
      </c>
      <c r="G359" s="8">
        <v>27</v>
      </c>
      <c r="H359" s="9">
        <v>36.270000000000003</v>
      </c>
      <c r="I359" s="87">
        <f>PRODUCT(Table1[[#This Row],[Quantity]],Table1[[#This Row],[Unit_Price]])</f>
        <v>979.29000000000008</v>
      </c>
      <c r="J359" s="9">
        <v>54.58</v>
      </c>
      <c r="K359" s="47">
        <v>317.20999999999998</v>
      </c>
      <c r="L359" s="8" t="s">
        <v>26</v>
      </c>
      <c r="M359" s="8" t="s">
        <v>27</v>
      </c>
      <c r="N359" s="10" t="s">
        <v>58</v>
      </c>
    </row>
    <row r="360" spans="1:14" x14ac:dyDescent="0.25">
      <c r="A360" s="7" t="s">
        <v>513</v>
      </c>
      <c r="B360" s="16">
        <v>45579</v>
      </c>
      <c r="C360" s="8" t="str">
        <f>TRIM(Sales_Data!C360)</f>
        <v>Hernandez, Sophia</v>
      </c>
      <c r="D360" s="8" t="str">
        <f>PROPER(TRIM(Sales_Data!D360))</f>
        <v>Germany</v>
      </c>
      <c r="E360" s="8" t="s">
        <v>63</v>
      </c>
      <c r="F360" s="8" t="s">
        <v>37</v>
      </c>
      <c r="G360" s="8">
        <v>13</v>
      </c>
      <c r="H360" s="9">
        <v>18.82</v>
      </c>
      <c r="I360" s="87">
        <f>PRODUCT(Table1[[#This Row],[Quantity]],Table1[[#This Row],[Unit_Price]])</f>
        <v>244.66</v>
      </c>
      <c r="J360" s="9">
        <v>6.49</v>
      </c>
      <c r="K360" s="47">
        <v>72.42</v>
      </c>
      <c r="L360" s="8" t="s">
        <v>38</v>
      </c>
      <c r="M360" s="8" t="s">
        <v>27</v>
      </c>
      <c r="N360" s="10" t="s">
        <v>28</v>
      </c>
    </row>
    <row r="361" spans="1:14" x14ac:dyDescent="0.25">
      <c r="A361" s="7" t="s">
        <v>514</v>
      </c>
      <c r="B361" s="16">
        <v>45715</v>
      </c>
      <c r="C361" s="8" t="str">
        <f>TRIM(Sales_Data!C361)</f>
        <v>Jones, Sarah</v>
      </c>
      <c r="D361" s="8" t="str">
        <f>PROPER(TRIM(Sales_Data!D361))</f>
        <v>Australia</v>
      </c>
      <c r="E361" s="8" t="s">
        <v>83</v>
      </c>
      <c r="F361" s="8" t="s">
        <v>52</v>
      </c>
      <c r="G361" s="8">
        <v>41</v>
      </c>
      <c r="H361" s="9">
        <v>43.19</v>
      </c>
      <c r="I361" s="87">
        <f>PRODUCT(Table1[[#This Row],[Quantity]],Table1[[#This Row],[Unit_Price]])</f>
        <v>1770.79</v>
      </c>
      <c r="J361" s="9">
        <v>83.28</v>
      </c>
      <c r="K361" s="47">
        <v>539.51</v>
      </c>
      <c r="L361" s="8" t="s">
        <v>26</v>
      </c>
      <c r="M361" s="8" t="s">
        <v>20</v>
      </c>
      <c r="N361" s="10" t="s">
        <v>130</v>
      </c>
    </row>
    <row r="362" spans="1:14" x14ac:dyDescent="0.25">
      <c r="A362" s="7" t="s">
        <v>515</v>
      </c>
      <c r="B362" s="16">
        <v>45368</v>
      </c>
      <c r="C362" s="8" t="str">
        <f>TRIM(Sales_Data!C362)</f>
        <v>Martinez, James</v>
      </c>
      <c r="D362" s="8" t="str">
        <f>PROPER(TRIM(Sales_Data!D362))</f>
        <v>China</v>
      </c>
      <c r="E362" s="8" t="s">
        <v>83</v>
      </c>
      <c r="F362" s="8" t="s">
        <v>52</v>
      </c>
      <c r="G362" s="8">
        <v>40</v>
      </c>
      <c r="H362" s="9">
        <v>42.31</v>
      </c>
      <c r="I362" s="87">
        <f>PRODUCT(Table1[[#This Row],[Quantity]],Table1[[#This Row],[Unit_Price]])</f>
        <v>1692.4</v>
      </c>
      <c r="J362" s="9">
        <v>118.59</v>
      </c>
      <c r="K362" s="47">
        <v>453.81</v>
      </c>
      <c r="L362" s="8" t="s">
        <v>26</v>
      </c>
      <c r="M362" s="8" t="s">
        <v>32</v>
      </c>
      <c r="N362" s="10" t="s">
        <v>58</v>
      </c>
    </row>
    <row r="363" spans="1:14" x14ac:dyDescent="0.25">
      <c r="A363" s="7" t="s">
        <v>516</v>
      </c>
      <c r="B363" s="16">
        <v>45782</v>
      </c>
      <c r="C363" s="8" t="str">
        <f>TRIM(Sales_Data!C363)</f>
        <v>Davis, Sophia</v>
      </c>
      <c r="D363" s="8" t="str">
        <f>PROPER(TRIM(Sales_Data!D363))</f>
        <v>India</v>
      </c>
      <c r="E363" s="8" t="s">
        <v>36</v>
      </c>
      <c r="F363" s="8" t="s">
        <v>37</v>
      </c>
      <c r="G363" s="8">
        <v>1</v>
      </c>
      <c r="H363" s="9">
        <v>57.15</v>
      </c>
      <c r="I363" s="87">
        <f>PRODUCT(Table1[[#This Row],[Quantity]],Table1[[#This Row],[Unit_Price]])</f>
        <v>57.15</v>
      </c>
      <c r="J363" s="9">
        <v>4.1100000000000003</v>
      </c>
      <c r="K363" s="47">
        <v>21.04</v>
      </c>
      <c r="L363" s="8" t="s">
        <v>26</v>
      </c>
      <c r="M363" s="8" t="s">
        <v>20</v>
      </c>
      <c r="N363" s="10" t="s">
        <v>58</v>
      </c>
    </row>
    <row r="364" spans="1:14" x14ac:dyDescent="0.25">
      <c r="A364" s="7" t="s">
        <v>517</v>
      </c>
      <c r="B364" s="16">
        <v>45414</v>
      </c>
      <c r="C364" s="8" t="str">
        <f>TRIM(Sales_Data!C364)</f>
        <v>Martinez, Daniel</v>
      </c>
      <c r="D364" s="8" t="str">
        <f>PROPER(TRIM(Sales_Data!D364))</f>
        <v>Canada</v>
      </c>
      <c r="E364" s="8" t="s">
        <v>48</v>
      </c>
      <c r="F364" s="8" t="s">
        <v>37</v>
      </c>
      <c r="G364" s="8">
        <v>15</v>
      </c>
      <c r="H364" s="9">
        <v>30.03</v>
      </c>
      <c r="I364" s="87">
        <f>PRODUCT(Table1[[#This Row],[Quantity]],Table1[[#This Row],[Unit_Price]])</f>
        <v>450.45000000000005</v>
      </c>
      <c r="J364" s="9">
        <v>29.99</v>
      </c>
      <c r="K364" s="47">
        <v>120.46</v>
      </c>
      <c r="L364" s="8" t="s">
        <v>38</v>
      </c>
      <c r="M364" s="8" t="s">
        <v>27</v>
      </c>
      <c r="N364" s="10" t="s">
        <v>21</v>
      </c>
    </row>
    <row r="365" spans="1:14" x14ac:dyDescent="0.25">
      <c r="A365" s="7" t="s">
        <v>518</v>
      </c>
      <c r="B365" s="16">
        <v>45437</v>
      </c>
      <c r="C365" s="8" t="str">
        <f>TRIM(Sales_Data!C365)</f>
        <v>Williams, Emily</v>
      </c>
      <c r="D365" s="8" t="str">
        <f>PROPER(TRIM(Sales_Data!D365))</f>
        <v>Brazil</v>
      </c>
      <c r="E365" s="8" t="s">
        <v>48</v>
      </c>
      <c r="F365" s="8" t="s">
        <v>37</v>
      </c>
      <c r="G365" s="8">
        <v>48</v>
      </c>
      <c r="H365" s="9">
        <v>30.91</v>
      </c>
      <c r="I365" s="87">
        <f>PRODUCT(Table1[[#This Row],[Quantity]],Table1[[#This Row],[Unit_Price]])</f>
        <v>1483.68</v>
      </c>
      <c r="J365" s="9">
        <v>85.5</v>
      </c>
      <c r="K365" s="47">
        <v>438.18</v>
      </c>
      <c r="L365" s="8" t="s">
        <v>19</v>
      </c>
      <c r="M365" s="8" t="s">
        <v>27</v>
      </c>
      <c r="N365" s="10" t="s">
        <v>39</v>
      </c>
    </row>
    <row r="366" spans="1:14" x14ac:dyDescent="0.25">
      <c r="A366" s="7" t="s">
        <v>519</v>
      </c>
      <c r="B366" s="16">
        <v>45292</v>
      </c>
      <c r="C366" s="8" t="str">
        <f>TRIM(Sales_Data!C366)</f>
        <v>Miller, Emma</v>
      </c>
      <c r="D366" s="8" t="str">
        <f>PROPER(TRIM(Sales_Data!D366))</f>
        <v>Mexico</v>
      </c>
      <c r="E366" s="8" t="s">
        <v>51</v>
      </c>
      <c r="F366" s="8" t="s">
        <v>52</v>
      </c>
      <c r="G366" s="8">
        <v>8</v>
      </c>
      <c r="H366" s="9">
        <v>32.19</v>
      </c>
      <c r="I366" s="87">
        <f>PRODUCT(Table1[[#This Row],[Quantity]],Table1[[#This Row],[Unit_Price]])</f>
        <v>257.52</v>
      </c>
      <c r="J366" s="9">
        <v>11.85</v>
      </c>
      <c r="K366" s="47">
        <v>65.67</v>
      </c>
      <c r="L366" s="8" t="s">
        <v>19</v>
      </c>
      <c r="M366" s="8" t="s">
        <v>20</v>
      </c>
      <c r="N366" s="10" t="s">
        <v>21</v>
      </c>
    </row>
    <row r="367" spans="1:14" x14ac:dyDescent="0.25">
      <c r="A367" s="7" t="s">
        <v>520</v>
      </c>
      <c r="B367" s="16">
        <v>45511</v>
      </c>
      <c r="C367" s="8" t="str">
        <f>TRIM(Sales_Data!C367)</f>
        <v>Jones, Sophia</v>
      </c>
      <c r="D367" s="8" t="str">
        <f>PROPER(TRIM(Sales_Data!D367))</f>
        <v>Uae</v>
      </c>
      <c r="E367" s="8" t="s">
        <v>43</v>
      </c>
      <c r="F367" s="8" t="s">
        <v>44</v>
      </c>
      <c r="G367" s="8">
        <v>22</v>
      </c>
      <c r="H367" s="9">
        <v>60.75</v>
      </c>
      <c r="I367" s="87">
        <f>PRODUCT(Table1[[#This Row],[Quantity]],Table1[[#This Row],[Unit_Price]])</f>
        <v>1336.5</v>
      </c>
      <c r="J367" s="9">
        <v>38.340000000000003</v>
      </c>
      <c r="K367" s="47">
        <v>418.16</v>
      </c>
      <c r="L367" s="8" t="s">
        <v>19</v>
      </c>
      <c r="M367" s="8" t="s">
        <v>27</v>
      </c>
      <c r="N367" s="10" t="s">
        <v>58</v>
      </c>
    </row>
    <row r="368" spans="1:14" x14ac:dyDescent="0.25">
      <c r="A368" s="7" t="s">
        <v>521</v>
      </c>
      <c r="B368" s="16">
        <v>45731</v>
      </c>
      <c r="C368" s="8" t="str">
        <f>TRIM(Sales_Data!C368)</f>
        <v>Smith, Michael</v>
      </c>
      <c r="D368" s="8" t="str">
        <f>PROPER(TRIM(Sales_Data!D368))</f>
        <v>Italy</v>
      </c>
      <c r="E368" s="8" t="s">
        <v>43</v>
      </c>
      <c r="F368" s="8" t="s">
        <v>44</v>
      </c>
      <c r="G368" s="8">
        <v>38</v>
      </c>
      <c r="H368" s="9">
        <v>66.06</v>
      </c>
      <c r="I368" s="87">
        <f>PRODUCT(Table1[[#This Row],[Quantity]],Table1[[#This Row],[Unit_Price]])</f>
        <v>2510.2800000000002</v>
      </c>
      <c r="J368" s="9">
        <v>50.37</v>
      </c>
      <c r="K368" s="47">
        <v>939.91</v>
      </c>
      <c r="L368" s="8" t="s">
        <v>19</v>
      </c>
      <c r="M368" s="8" t="s">
        <v>20</v>
      </c>
      <c r="N368" s="10" t="s">
        <v>28</v>
      </c>
    </row>
    <row r="369" spans="1:14" x14ac:dyDescent="0.25">
      <c r="A369" s="7" t="s">
        <v>522</v>
      </c>
      <c r="B369" s="16">
        <v>45542</v>
      </c>
      <c r="C369" s="8" t="str">
        <f>TRIM(Sales_Data!C369)</f>
        <v>Martinez, Michael</v>
      </c>
      <c r="D369" s="8" t="str">
        <f>PROPER(TRIM(Sales_Data!D369))</f>
        <v>Usa</v>
      </c>
      <c r="E369" s="8" t="s">
        <v>17</v>
      </c>
      <c r="F369" s="8" t="s">
        <v>18</v>
      </c>
      <c r="G369" s="8">
        <v>33</v>
      </c>
      <c r="H369" s="9">
        <v>50.88</v>
      </c>
      <c r="I369" s="87">
        <f>PRODUCT(Table1[[#This Row],[Quantity]],Table1[[#This Row],[Unit_Price]])</f>
        <v>1679.0400000000002</v>
      </c>
      <c r="J369" s="9">
        <v>61.48</v>
      </c>
      <c r="K369" s="47">
        <v>462.56</v>
      </c>
      <c r="L369" s="8" t="s">
        <v>19</v>
      </c>
      <c r="M369" s="8" t="s">
        <v>27</v>
      </c>
      <c r="N369" s="10" t="s">
        <v>21</v>
      </c>
    </row>
    <row r="370" spans="1:14" x14ac:dyDescent="0.25">
      <c r="A370" s="7" t="s">
        <v>523</v>
      </c>
      <c r="B370" s="16">
        <v>45487</v>
      </c>
      <c r="C370" s="8" t="str">
        <f>TRIM(Sales_Data!C370)</f>
        <v>Brown, Emily</v>
      </c>
      <c r="D370" s="8" t="str">
        <f>PROPER(TRIM(Sales_Data!D370))</f>
        <v>China</v>
      </c>
      <c r="E370" s="8" t="s">
        <v>83</v>
      </c>
      <c r="F370" s="8" t="s">
        <v>52</v>
      </c>
      <c r="G370" s="8">
        <v>49</v>
      </c>
      <c r="H370" s="9">
        <v>34.479999999999997</v>
      </c>
      <c r="I370" s="87">
        <f>PRODUCT(Table1[[#This Row],[Quantity]],Table1[[#This Row],[Unit_Price]])</f>
        <v>1689.5199999999998</v>
      </c>
      <c r="J370" s="9">
        <v>53.06</v>
      </c>
      <c r="K370" s="47">
        <v>264.45999999999998</v>
      </c>
      <c r="L370" s="8" t="s">
        <v>38</v>
      </c>
      <c r="M370" s="8" t="s">
        <v>32</v>
      </c>
      <c r="N370" s="10" t="s">
        <v>58</v>
      </c>
    </row>
    <row r="371" spans="1:14" x14ac:dyDescent="0.25">
      <c r="A371" s="7" t="s">
        <v>524</v>
      </c>
      <c r="B371" s="16">
        <v>45311</v>
      </c>
      <c r="C371" s="8" t="str">
        <f>TRIM(Sales_Data!C371)</f>
        <v>Martinez, Daniel</v>
      </c>
      <c r="D371" s="8" t="str">
        <f>PROPER(TRIM(Sales_Data!D371))</f>
        <v>Japan</v>
      </c>
      <c r="E371" s="8" t="s">
        <v>48</v>
      </c>
      <c r="F371" s="8" t="s">
        <v>37</v>
      </c>
      <c r="G371" s="8">
        <v>31</v>
      </c>
      <c r="H371" s="9">
        <v>25.43</v>
      </c>
      <c r="I371" s="87">
        <f>PRODUCT(Table1[[#This Row],[Quantity]],Table1[[#This Row],[Unit_Price]])</f>
        <v>788.33</v>
      </c>
      <c r="J371" s="9">
        <v>57.81</v>
      </c>
      <c r="K371" s="47">
        <v>110.52</v>
      </c>
      <c r="L371" s="8" t="s">
        <v>19</v>
      </c>
      <c r="M371" s="8" t="s">
        <v>27</v>
      </c>
      <c r="N371" s="10" t="s">
        <v>58</v>
      </c>
    </row>
    <row r="372" spans="1:14" x14ac:dyDescent="0.25">
      <c r="A372" s="7" t="s">
        <v>525</v>
      </c>
      <c r="B372" s="16">
        <v>45323</v>
      </c>
      <c r="C372" s="8" t="str">
        <f>TRIM(Sales_Data!C372)</f>
        <v>Miller, Emily</v>
      </c>
      <c r="D372" s="8" t="str">
        <f>PROPER(TRIM(Sales_Data!D372))</f>
        <v>Germany</v>
      </c>
      <c r="E372" s="8" t="s">
        <v>48</v>
      </c>
      <c r="F372" s="8" t="s">
        <v>37</v>
      </c>
      <c r="G372" s="8">
        <v>29</v>
      </c>
      <c r="H372" s="9">
        <v>31.68</v>
      </c>
      <c r="I372" s="87">
        <f>PRODUCT(Table1[[#This Row],[Quantity]],Table1[[#This Row],[Unit_Price]])</f>
        <v>918.72</v>
      </c>
      <c r="J372" s="9">
        <v>22.22</v>
      </c>
      <c r="K372" s="47">
        <v>316.5</v>
      </c>
      <c r="L372" s="8" t="s">
        <v>38</v>
      </c>
      <c r="M372" s="8" t="s">
        <v>20</v>
      </c>
      <c r="N372" s="10" t="s">
        <v>28</v>
      </c>
    </row>
    <row r="373" spans="1:14" x14ac:dyDescent="0.25">
      <c r="A373" s="7" t="s">
        <v>526</v>
      </c>
      <c r="B373" s="16">
        <v>45718</v>
      </c>
      <c r="C373" s="8" t="str">
        <f>TRIM(Sales_Data!C373)</f>
        <v>Brown, David</v>
      </c>
      <c r="D373" s="8" t="str">
        <f>PROPER(TRIM(Sales_Data!D373))</f>
        <v>Singapore</v>
      </c>
      <c r="E373" s="8" t="s">
        <v>83</v>
      </c>
      <c r="F373" s="8" t="s">
        <v>52</v>
      </c>
      <c r="G373" s="8">
        <v>42</v>
      </c>
      <c r="H373" s="9">
        <v>33.89</v>
      </c>
      <c r="I373" s="87">
        <f>PRODUCT(Table1[[#This Row],[Quantity]],Table1[[#This Row],[Unit_Price]])</f>
        <v>1423.38</v>
      </c>
      <c r="J373" s="9">
        <v>85.4</v>
      </c>
      <c r="K373" s="47">
        <v>161.97999999999999</v>
      </c>
      <c r="L373" s="8" t="s">
        <v>38</v>
      </c>
      <c r="M373" s="8" t="s">
        <v>20</v>
      </c>
      <c r="N373" s="10" t="s">
        <v>58</v>
      </c>
    </row>
    <row r="374" spans="1:14" x14ac:dyDescent="0.25">
      <c r="A374" s="7" t="s">
        <v>527</v>
      </c>
      <c r="B374" s="16">
        <v>45560</v>
      </c>
      <c r="C374" s="8" t="str">
        <f>TRIM(Sales_Data!C374)</f>
        <v>Hernandez, Emma</v>
      </c>
      <c r="D374" s="8" t="str">
        <f>PROPER(TRIM(Sales_Data!D374))</f>
        <v>Singapore</v>
      </c>
      <c r="E374" s="8" t="s">
        <v>25</v>
      </c>
      <c r="F374" s="8" t="s">
        <v>18</v>
      </c>
      <c r="G374" s="8">
        <v>13</v>
      </c>
      <c r="H374" s="9">
        <v>21.75</v>
      </c>
      <c r="I374" s="87">
        <f>PRODUCT(Table1[[#This Row],[Quantity]],Table1[[#This Row],[Unit_Price]])</f>
        <v>282.75</v>
      </c>
      <c r="J374" s="9">
        <v>12.5</v>
      </c>
      <c r="K374" s="47">
        <v>36.25</v>
      </c>
      <c r="L374" s="8" t="s">
        <v>38</v>
      </c>
      <c r="M374" s="8" t="s">
        <v>27</v>
      </c>
      <c r="N374" s="10" t="s">
        <v>58</v>
      </c>
    </row>
    <row r="375" spans="1:14" x14ac:dyDescent="0.25">
      <c r="A375" s="7" t="s">
        <v>528</v>
      </c>
      <c r="B375" s="16">
        <v>45365</v>
      </c>
      <c r="C375" s="8" t="str">
        <f>TRIM(Sales_Data!C375)</f>
        <v>Jones, Laura</v>
      </c>
      <c r="D375" s="8" t="str">
        <f>PROPER(TRIM(Sales_Data!D375))</f>
        <v>Japan</v>
      </c>
      <c r="E375" s="8" t="s">
        <v>51</v>
      </c>
      <c r="F375" s="8" t="s">
        <v>52</v>
      </c>
      <c r="G375" s="8">
        <v>25</v>
      </c>
      <c r="H375" s="9">
        <v>37.58</v>
      </c>
      <c r="I375" s="87">
        <f>PRODUCT(Table1[[#This Row],[Quantity]],Table1[[#This Row],[Unit_Price]])</f>
        <v>939.5</v>
      </c>
      <c r="J375" s="9">
        <v>48.44</v>
      </c>
      <c r="K375" s="47">
        <v>328.56</v>
      </c>
      <c r="L375" s="8" t="s">
        <v>38</v>
      </c>
      <c r="M375" s="8" t="s">
        <v>32</v>
      </c>
      <c r="N375" s="10" t="s">
        <v>58</v>
      </c>
    </row>
    <row r="376" spans="1:14" x14ac:dyDescent="0.25">
      <c r="A376" s="7" t="s">
        <v>529</v>
      </c>
      <c r="B376" s="16">
        <v>45704</v>
      </c>
      <c r="C376" s="8" t="str">
        <f>TRIM(Sales_Data!C376)</f>
        <v>Jones, Emily</v>
      </c>
      <c r="D376" s="8" t="str">
        <f>PROPER(TRIM(Sales_Data!D376))</f>
        <v>Germany</v>
      </c>
      <c r="E376" s="8" t="s">
        <v>48</v>
      </c>
      <c r="F376" s="8" t="s">
        <v>37</v>
      </c>
      <c r="G376" s="8">
        <v>16</v>
      </c>
      <c r="H376" s="9">
        <v>25.25</v>
      </c>
      <c r="I376" s="87">
        <f>PRODUCT(Table1[[#This Row],[Quantity]],Table1[[#This Row],[Unit_Price]])</f>
        <v>404</v>
      </c>
      <c r="J376" s="9">
        <v>18.75</v>
      </c>
      <c r="K376" s="47">
        <v>65.25</v>
      </c>
      <c r="L376" s="8" t="s">
        <v>26</v>
      </c>
      <c r="M376" s="8" t="s">
        <v>32</v>
      </c>
      <c r="N376" s="10" t="s">
        <v>28</v>
      </c>
    </row>
    <row r="377" spans="1:14" x14ac:dyDescent="0.25">
      <c r="A377" s="7" t="s">
        <v>530</v>
      </c>
      <c r="B377" s="16">
        <v>45564</v>
      </c>
      <c r="C377" s="8" t="str">
        <f>TRIM(Sales_Data!C377)</f>
        <v>Hernandez, David</v>
      </c>
      <c r="D377" s="8" t="str">
        <f>PROPER(TRIM(Sales_Data!D377))</f>
        <v>Japan</v>
      </c>
      <c r="E377" s="8" t="s">
        <v>60</v>
      </c>
      <c r="F377" s="8" t="s">
        <v>52</v>
      </c>
      <c r="G377" s="8">
        <v>37</v>
      </c>
      <c r="H377" s="9">
        <v>25.85</v>
      </c>
      <c r="I377" s="87">
        <f>PRODUCT(Table1[[#This Row],[Quantity]],Table1[[#This Row],[Unit_Price]])</f>
        <v>956.45</v>
      </c>
      <c r="J377" s="9">
        <v>31.7</v>
      </c>
      <c r="K377" s="47">
        <v>351.25</v>
      </c>
      <c r="L377" s="8" t="s">
        <v>38</v>
      </c>
      <c r="M377" s="8" t="s">
        <v>32</v>
      </c>
      <c r="N377" s="10" t="s">
        <v>58</v>
      </c>
    </row>
    <row r="378" spans="1:14" x14ac:dyDescent="0.25">
      <c r="A378" s="7" t="s">
        <v>531</v>
      </c>
      <c r="B378" s="16">
        <v>45671</v>
      </c>
      <c r="C378" s="8" t="str">
        <f>TRIM(Sales_Data!C378)</f>
        <v>Miller, John</v>
      </c>
      <c r="D378" s="8" t="str">
        <f>PROPER(TRIM(Sales_Data!D378))</f>
        <v>Singapore</v>
      </c>
      <c r="E378" s="8" t="s">
        <v>48</v>
      </c>
      <c r="F378" s="8" t="s">
        <v>37</v>
      </c>
      <c r="G378" s="8">
        <v>1</v>
      </c>
      <c r="H378" s="9">
        <v>25.72</v>
      </c>
      <c r="I378" s="87">
        <f>PRODUCT(Table1[[#This Row],[Quantity]],Table1[[#This Row],[Unit_Price]])</f>
        <v>25.72</v>
      </c>
      <c r="J378" s="9">
        <v>2.04</v>
      </c>
      <c r="K378" s="47">
        <v>3.68</v>
      </c>
      <c r="L378" s="8" t="s">
        <v>38</v>
      </c>
      <c r="M378" s="8" t="s">
        <v>32</v>
      </c>
      <c r="N378" s="10" t="s">
        <v>58</v>
      </c>
    </row>
    <row r="379" spans="1:14" x14ac:dyDescent="0.25">
      <c r="A379" s="7" t="s">
        <v>532</v>
      </c>
      <c r="B379" s="16">
        <v>45599</v>
      </c>
      <c r="C379" s="8" t="str">
        <f>TRIM(Sales_Data!C379)</f>
        <v>Jones, Sarah</v>
      </c>
      <c r="D379" s="8" t="str">
        <f>PROPER(TRIM(Sales_Data!D379))</f>
        <v>Singapore</v>
      </c>
      <c r="E379" s="8" t="s">
        <v>83</v>
      </c>
      <c r="F379" s="8" t="s">
        <v>52</v>
      </c>
      <c r="G379" s="8">
        <v>48</v>
      </c>
      <c r="H379" s="9">
        <v>47.05</v>
      </c>
      <c r="I379" s="87">
        <f>PRODUCT(Table1[[#This Row],[Quantity]],Table1[[#This Row],[Unit_Price]])</f>
        <v>2258.3999999999996</v>
      </c>
      <c r="J379" s="9">
        <v>179.44</v>
      </c>
      <c r="K379" s="47">
        <v>734.96</v>
      </c>
      <c r="L379" s="8" t="s">
        <v>26</v>
      </c>
      <c r="M379" s="8" t="s">
        <v>27</v>
      </c>
      <c r="N379" s="10" t="s">
        <v>58</v>
      </c>
    </row>
    <row r="380" spans="1:14" x14ac:dyDescent="0.25">
      <c r="A380" s="7" t="s">
        <v>533</v>
      </c>
      <c r="B380" s="16">
        <v>45363</v>
      </c>
      <c r="C380" s="8" t="str">
        <f>TRIM(Sales_Data!C380)</f>
        <v>Garcia, Emily</v>
      </c>
      <c r="D380" s="8" t="str">
        <f>PROPER(TRIM(Sales_Data!D380))</f>
        <v>Brazil</v>
      </c>
      <c r="E380" s="8" t="s">
        <v>48</v>
      </c>
      <c r="F380" s="8" t="s">
        <v>37</v>
      </c>
      <c r="G380" s="8">
        <v>48</v>
      </c>
      <c r="H380" s="9">
        <v>29.94</v>
      </c>
      <c r="I380" s="87">
        <f>PRODUCT(Table1[[#This Row],[Quantity]],Table1[[#This Row],[Unit_Price]])</f>
        <v>1437.1200000000001</v>
      </c>
      <c r="J380" s="9">
        <v>30.14</v>
      </c>
      <c r="K380" s="47">
        <v>446.98</v>
      </c>
      <c r="L380" s="8" t="s">
        <v>26</v>
      </c>
      <c r="M380" s="8" t="s">
        <v>27</v>
      </c>
      <c r="N380" s="10" t="s">
        <v>39</v>
      </c>
    </row>
    <row r="381" spans="1:14" x14ac:dyDescent="0.25">
      <c r="A381" s="7" t="s">
        <v>534</v>
      </c>
      <c r="B381" s="16">
        <v>45533</v>
      </c>
      <c r="C381" s="8" t="str">
        <f>TRIM(Sales_Data!C381)</f>
        <v>Jones, Emma</v>
      </c>
      <c r="D381" s="8" t="str">
        <f>PROPER(TRIM(Sales_Data!D381))</f>
        <v>Italy</v>
      </c>
      <c r="E381" s="8" t="s">
        <v>51</v>
      </c>
      <c r="F381" s="8" t="s">
        <v>52</v>
      </c>
      <c r="G381" s="8">
        <v>12</v>
      </c>
      <c r="H381" s="9">
        <v>35.68</v>
      </c>
      <c r="I381" s="87">
        <f>PRODUCT(Table1[[#This Row],[Quantity]],Table1[[#This Row],[Unit_Price]])</f>
        <v>428.15999999999997</v>
      </c>
      <c r="J381" s="9">
        <v>13.07</v>
      </c>
      <c r="K381" s="47">
        <v>145.09</v>
      </c>
      <c r="L381" s="8" t="s">
        <v>26</v>
      </c>
      <c r="M381" s="8" t="s">
        <v>32</v>
      </c>
      <c r="N381" s="10" t="s">
        <v>28</v>
      </c>
    </row>
    <row r="382" spans="1:14" x14ac:dyDescent="0.25">
      <c r="A382" s="7" t="s">
        <v>535</v>
      </c>
      <c r="B382" s="16">
        <v>45562</v>
      </c>
      <c r="C382" s="8" t="str">
        <f>TRIM(Sales_Data!C382)</f>
        <v>Hernandez, Michael</v>
      </c>
      <c r="D382" s="8" t="str">
        <f>PROPER(TRIM(Sales_Data!D382))</f>
        <v>Usa</v>
      </c>
      <c r="E382" s="8" t="s">
        <v>36</v>
      </c>
      <c r="F382" s="8" t="s">
        <v>37</v>
      </c>
      <c r="G382" s="8">
        <v>30</v>
      </c>
      <c r="H382" s="9">
        <v>49.32</v>
      </c>
      <c r="I382" s="87">
        <f>PRODUCT(Table1[[#This Row],[Quantity]],Table1[[#This Row],[Unit_Price]])</f>
        <v>1479.6</v>
      </c>
      <c r="J382" s="9">
        <v>105.97</v>
      </c>
      <c r="K382" s="47">
        <v>413.63</v>
      </c>
      <c r="L382" s="8" t="s">
        <v>26</v>
      </c>
      <c r="M382" s="8" t="s">
        <v>27</v>
      </c>
      <c r="N382" s="10" t="s">
        <v>21</v>
      </c>
    </row>
    <row r="383" spans="1:14" x14ac:dyDescent="0.25">
      <c r="A383" s="7" t="s">
        <v>536</v>
      </c>
      <c r="B383" s="16">
        <v>45306</v>
      </c>
      <c r="C383" s="8" t="str">
        <f>TRIM(Sales_Data!C383)</f>
        <v>Garcia, John</v>
      </c>
      <c r="D383" s="8" t="str">
        <f>PROPER(TRIM(Sales_Data!D383))</f>
        <v>France</v>
      </c>
      <c r="E383" s="8" t="s">
        <v>83</v>
      </c>
      <c r="F383" s="8" t="s">
        <v>52</v>
      </c>
      <c r="G383" s="8">
        <v>27</v>
      </c>
      <c r="H383" s="9">
        <v>37.68</v>
      </c>
      <c r="I383" s="87">
        <f>PRODUCT(Table1[[#This Row],[Quantity]],Table1[[#This Row],[Unit_Price]])</f>
        <v>1017.36</v>
      </c>
      <c r="J383" s="9">
        <v>80.739999999999995</v>
      </c>
      <c r="K383" s="47">
        <v>180.62</v>
      </c>
      <c r="L383" s="8" t="s">
        <v>38</v>
      </c>
      <c r="M383" s="8" t="s">
        <v>20</v>
      </c>
      <c r="N383" s="10" t="s">
        <v>28</v>
      </c>
    </row>
    <row r="384" spans="1:14" x14ac:dyDescent="0.25">
      <c r="A384" s="7" t="s">
        <v>537</v>
      </c>
      <c r="B384" s="16">
        <v>45732</v>
      </c>
      <c r="C384" s="8" t="str">
        <f>TRIM(Sales_Data!C384)</f>
        <v>Garcia, Michael</v>
      </c>
      <c r="D384" s="8" t="str">
        <f>PROPER(TRIM(Sales_Data!D384))</f>
        <v>Italy</v>
      </c>
      <c r="E384" s="8" t="s">
        <v>56</v>
      </c>
      <c r="F384" s="8" t="s">
        <v>57</v>
      </c>
      <c r="G384" s="8">
        <v>39</v>
      </c>
      <c r="H384" s="9">
        <v>36.340000000000003</v>
      </c>
      <c r="I384" s="87">
        <f>PRODUCT(Table1[[#This Row],[Quantity]],Table1[[#This Row],[Unit_Price]])</f>
        <v>1417.2600000000002</v>
      </c>
      <c r="J384" s="9">
        <v>67</v>
      </c>
      <c r="K384" s="47">
        <v>375.26</v>
      </c>
      <c r="L384" s="8" t="s">
        <v>38</v>
      </c>
      <c r="M384" s="8" t="s">
        <v>27</v>
      </c>
      <c r="N384" s="10" t="s">
        <v>28</v>
      </c>
    </row>
    <row r="385" spans="1:14" x14ac:dyDescent="0.25">
      <c r="A385" s="7" t="s">
        <v>538</v>
      </c>
      <c r="B385" s="16">
        <v>45428</v>
      </c>
      <c r="C385" s="8" t="str">
        <f>TRIM(Sales_Data!C385)</f>
        <v>Miller, John</v>
      </c>
      <c r="D385" s="8" t="str">
        <f>PROPER(TRIM(Sales_Data!D385))</f>
        <v>China</v>
      </c>
      <c r="E385" s="8" t="s">
        <v>60</v>
      </c>
      <c r="F385" s="8" t="s">
        <v>52</v>
      </c>
      <c r="G385" s="8">
        <v>16</v>
      </c>
      <c r="H385" s="9">
        <v>24.33</v>
      </c>
      <c r="I385" s="87">
        <f>PRODUCT(Table1[[#This Row],[Quantity]],Table1[[#This Row],[Unit_Price]])</f>
        <v>389.28</v>
      </c>
      <c r="J385" s="9">
        <v>22.33</v>
      </c>
      <c r="K385" s="47">
        <v>118.95</v>
      </c>
      <c r="L385" s="8" t="s">
        <v>19</v>
      </c>
      <c r="M385" s="8" t="s">
        <v>32</v>
      </c>
      <c r="N385" s="10" t="s">
        <v>58</v>
      </c>
    </row>
    <row r="386" spans="1:14" x14ac:dyDescent="0.25">
      <c r="A386" s="7" t="s">
        <v>539</v>
      </c>
      <c r="B386" s="16">
        <v>45685</v>
      </c>
      <c r="C386" s="8" t="str">
        <f>TRIM(Sales_Data!C386)</f>
        <v>Garcia, John</v>
      </c>
      <c r="D386" s="8" t="str">
        <f>PROPER(TRIM(Sales_Data!D386))</f>
        <v>Uae</v>
      </c>
      <c r="E386" s="8" t="s">
        <v>60</v>
      </c>
      <c r="F386" s="8" t="s">
        <v>52</v>
      </c>
      <c r="G386" s="8">
        <v>40</v>
      </c>
      <c r="H386" s="9">
        <v>22.28</v>
      </c>
      <c r="I386" s="87">
        <f>PRODUCT(Table1[[#This Row],[Quantity]],Table1[[#This Row],[Unit_Price]])</f>
        <v>891.2</v>
      </c>
      <c r="J386" s="9">
        <v>32.729999999999997</v>
      </c>
      <c r="K386" s="47">
        <v>238.47</v>
      </c>
      <c r="L386" s="8" t="s">
        <v>19</v>
      </c>
      <c r="M386" s="8" t="s">
        <v>27</v>
      </c>
      <c r="N386" s="10" t="s">
        <v>58</v>
      </c>
    </row>
    <row r="387" spans="1:14" x14ac:dyDescent="0.25">
      <c r="A387" s="7" t="s">
        <v>540</v>
      </c>
      <c r="B387" s="16">
        <v>45506</v>
      </c>
      <c r="C387" s="8" t="str">
        <f>TRIM(Sales_Data!C387)</f>
        <v>Miller, Laura</v>
      </c>
      <c r="D387" s="8" t="str">
        <f>PROPER(TRIM(Sales_Data!D387))</f>
        <v>Japan</v>
      </c>
      <c r="E387" s="8" t="s">
        <v>63</v>
      </c>
      <c r="F387" s="8" t="s">
        <v>37</v>
      </c>
      <c r="G387" s="8">
        <v>45</v>
      </c>
      <c r="H387" s="9">
        <v>21.71</v>
      </c>
      <c r="I387" s="87">
        <f>PRODUCT(Table1[[#This Row],[Quantity]],Table1[[#This Row],[Unit_Price]])</f>
        <v>976.95</v>
      </c>
      <c r="J387" s="9">
        <v>51.6</v>
      </c>
      <c r="K387" s="47">
        <v>351.6</v>
      </c>
      <c r="L387" s="8" t="s">
        <v>19</v>
      </c>
      <c r="M387" s="8" t="s">
        <v>20</v>
      </c>
      <c r="N387" s="10" t="s">
        <v>58</v>
      </c>
    </row>
    <row r="388" spans="1:14" x14ac:dyDescent="0.25">
      <c r="A388" s="7" t="s">
        <v>541</v>
      </c>
      <c r="B388" s="16">
        <v>45525</v>
      </c>
      <c r="C388" s="8" t="str">
        <f>TRIM(Sales_Data!C388)</f>
        <v>Garcia, Laura</v>
      </c>
      <c r="D388" s="8" t="str">
        <f>PROPER(TRIM(Sales_Data!D388))</f>
        <v>Germany</v>
      </c>
      <c r="E388" s="8" t="s">
        <v>56</v>
      </c>
      <c r="F388" s="8" t="s">
        <v>57</v>
      </c>
      <c r="G388" s="8">
        <v>8</v>
      </c>
      <c r="H388" s="9">
        <v>31.07</v>
      </c>
      <c r="I388" s="87">
        <f>PRODUCT(Table1[[#This Row],[Quantity]],Table1[[#This Row],[Unit_Price]])</f>
        <v>248.56</v>
      </c>
      <c r="J388" s="9">
        <v>10.97</v>
      </c>
      <c r="K388" s="47">
        <v>37.590000000000003</v>
      </c>
      <c r="L388" s="8" t="s">
        <v>19</v>
      </c>
      <c r="M388" s="8" t="s">
        <v>27</v>
      </c>
      <c r="N388" s="10" t="s">
        <v>28</v>
      </c>
    </row>
    <row r="389" spans="1:14" x14ac:dyDescent="0.25">
      <c r="A389" s="7" t="s">
        <v>542</v>
      </c>
      <c r="B389" s="16">
        <v>45339</v>
      </c>
      <c r="C389" s="8" t="str">
        <f>TRIM(Sales_Data!C389)</f>
        <v>Martinez, Emily</v>
      </c>
      <c r="D389" s="8" t="str">
        <f>PROPER(TRIM(Sales_Data!D389))</f>
        <v>France</v>
      </c>
      <c r="E389" s="8" t="s">
        <v>63</v>
      </c>
      <c r="F389" s="8" t="s">
        <v>37</v>
      </c>
      <c r="G389" s="8">
        <v>47</v>
      </c>
      <c r="H389" s="9">
        <v>21.93</v>
      </c>
      <c r="I389" s="87">
        <f>PRODUCT(Table1[[#This Row],[Quantity]],Table1[[#This Row],[Unit_Price]])</f>
        <v>1030.71</v>
      </c>
      <c r="J389" s="9">
        <v>70.989999999999995</v>
      </c>
      <c r="K389" s="47">
        <v>360.47</v>
      </c>
      <c r="L389" s="8" t="s">
        <v>38</v>
      </c>
      <c r="M389" s="8" t="s">
        <v>20</v>
      </c>
      <c r="N389" s="10" t="s">
        <v>28</v>
      </c>
    </row>
    <row r="390" spans="1:14" x14ac:dyDescent="0.25">
      <c r="A390" s="7" t="s">
        <v>543</v>
      </c>
      <c r="B390" s="16">
        <v>45486</v>
      </c>
      <c r="C390" s="8" t="str">
        <f>TRIM(Sales_Data!C390)</f>
        <v>Brown, Michael</v>
      </c>
      <c r="D390" s="8" t="str">
        <f>PROPER(TRIM(Sales_Data!D390))</f>
        <v>France</v>
      </c>
      <c r="E390" s="8" t="s">
        <v>63</v>
      </c>
      <c r="F390" s="8" t="s">
        <v>37</v>
      </c>
      <c r="G390" s="8">
        <v>46</v>
      </c>
      <c r="H390" s="9">
        <v>21.46</v>
      </c>
      <c r="I390" s="87">
        <f>PRODUCT(Table1[[#This Row],[Quantity]],Table1[[#This Row],[Unit_Price]])</f>
        <v>987.16000000000008</v>
      </c>
      <c r="J390" s="9">
        <v>21.64</v>
      </c>
      <c r="K390" s="47">
        <v>379.02</v>
      </c>
      <c r="L390" s="8" t="s">
        <v>26</v>
      </c>
      <c r="M390" s="8" t="s">
        <v>20</v>
      </c>
      <c r="N390" s="10" t="s">
        <v>28</v>
      </c>
    </row>
    <row r="391" spans="1:14" x14ac:dyDescent="0.25">
      <c r="A391" s="7" t="s">
        <v>544</v>
      </c>
      <c r="B391" s="16">
        <v>45701</v>
      </c>
      <c r="C391" s="8" t="str">
        <f>TRIM(Sales_Data!C391)</f>
        <v>Williams, David</v>
      </c>
      <c r="D391" s="8" t="str">
        <f>PROPER(TRIM(Sales_Data!D391))</f>
        <v>Usa</v>
      </c>
      <c r="E391" s="8" t="s">
        <v>83</v>
      </c>
      <c r="F391" s="8" t="s">
        <v>52</v>
      </c>
      <c r="G391" s="8">
        <v>45</v>
      </c>
      <c r="H391" s="9">
        <v>47.1</v>
      </c>
      <c r="I391" s="87">
        <f>PRODUCT(Table1[[#This Row],[Quantity]],Table1[[#This Row],[Unit_Price]])</f>
        <v>2119.5</v>
      </c>
      <c r="J391" s="9">
        <v>120.16</v>
      </c>
      <c r="K391" s="47">
        <v>739.34</v>
      </c>
      <c r="L391" s="8" t="s">
        <v>26</v>
      </c>
      <c r="M391" s="8" t="s">
        <v>27</v>
      </c>
      <c r="N391" s="10" t="s">
        <v>21</v>
      </c>
    </row>
    <row r="392" spans="1:14" x14ac:dyDescent="0.25">
      <c r="A392" s="7" t="s">
        <v>545</v>
      </c>
      <c r="B392" s="16">
        <v>45731</v>
      </c>
      <c r="C392" s="8" t="str">
        <f>TRIM(Sales_Data!C392)</f>
        <v>Smith, Emily</v>
      </c>
      <c r="D392" s="8" t="str">
        <f>PROPER(TRIM(Sales_Data!D392))</f>
        <v>India</v>
      </c>
      <c r="E392" s="8" t="s">
        <v>17</v>
      </c>
      <c r="F392" s="8" t="s">
        <v>18</v>
      </c>
      <c r="G392" s="8">
        <v>2</v>
      </c>
      <c r="H392" s="9">
        <v>58.32</v>
      </c>
      <c r="I392" s="87">
        <f>PRODUCT(Table1[[#This Row],[Quantity]],Table1[[#This Row],[Unit_Price]])</f>
        <v>116.64</v>
      </c>
      <c r="J392" s="9">
        <v>8.99</v>
      </c>
      <c r="K392" s="47">
        <v>37.65</v>
      </c>
      <c r="L392" s="8" t="s">
        <v>19</v>
      </c>
      <c r="M392" s="8" t="s">
        <v>27</v>
      </c>
      <c r="N392" s="10" t="s">
        <v>58</v>
      </c>
    </row>
    <row r="393" spans="1:14" x14ac:dyDescent="0.25">
      <c r="A393" s="7" t="s">
        <v>546</v>
      </c>
      <c r="B393" s="16">
        <v>45338</v>
      </c>
      <c r="C393" s="8" t="str">
        <f>TRIM(Sales_Data!C393)</f>
        <v>Garcia, John</v>
      </c>
      <c r="D393" s="8" t="str">
        <f>PROPER(TRIM(Sales_Data!D393))</f>
        <v>France</v>
      </c>
      <c r="E393" s="8" t="s">
        <v>17</v>
      </c>
      <c r="F393" s="8" t="s">
        <v>18</v>
      </c>
      <c r="G393" s="8">
        <v>31</v>
      </c>
      <c r="H393" s="9">
        <v>61.34</v>
      </c>
      <c r="I393" s="87">
        <f>PRODUCT(Table1[[#This Row],[Quantity]],Table1[[#This Row],[Unit_Price]])</f>
        <v>1901.5400000000002</v>
      </c>
      <c r="J393" s="9">
        <v>147.43</v>
      </c>
      <c r="K393" s="47">
        <v>669.11</v>
      </c>
      <c r="L393" s="8" t="s">
        <v>26</v>
      </c>
      <c r="M393" s="8" t="s">
        <v>20</v>
      </c>
      <c r="N393" s="10" t="s">
        <v>28</v>
      </c>
    </row>
    <row r="394" spans="1:14" x14ac:dyDescent="0.25">
      <c r="A394" s="7" t="s">
        <v>547</v>
      </c>
      <c r="B394" s="16">
        <v>45359</v>
      </c>
      <c r="C394" s="8" t="str">
        <f>TRIM(Sales_Data!C394)</f>
        <v>Brown, Daniel</v>
      </c>
      <c r="D394" s="8" t="str">
        <f>PROPER(TRIM(Sales_Data!D394))</f>
        <v>Canada</v>
      </c>
      <c r="E394" s="8" t="s">
        <v>56</v>
      </c>
      <c r="F394" s="8" t="s">
        <v>57</v>
      </c>
      <c r="G394" s="8">
        <v>15</v>
      </c>
      <c r="H394" s="9">
        <v>43.9</v>
      </c>
      <c r="I394" s="87">
        <f>PRODUCT(Table1[[#This Row],[Quantity]],Table1[[#This Row],[Unit_Price]])</f>
        <v>658.5</v>
      </c>
      <c r="J394" s="9">
        <v>36.479999999999997</v>
      </c>
      <c r="K394" s="47">
        <v>247.02</v>
      </c>
      <c r="L394" s="8" t="s">
        <v>38</v>
      </c>
      <c r="M394" s="8" t="s">
        <v>27</v>
      </c>
      <c r="N394" s="10" t="s">
        <v>21</v>
      </c>
    </row>
    <row r="395" spans="1:14" x14ac:dyDescent="0.25">
      <c r="A395" s="7" t="s">
        <v>548</v>
      </c>
      <c r="B395" s="16">
        <v>45626</v>
      </c>
      <c r="C395" s="8" t="str">
        <f>TRIM(Sales_Data!C395)</f>
        <v>Brown, Daniel</v>
      </c>
      <c r="D395" s="8" t="str">
        <f>PROPER(TRIM(Sales_Data!D395))</f>
        <v>Italy</v>
      </c>
      <c r="E395" s="8" t="s">
        <v>63</v>
      </c>
      <c r="F395" s="8" t="s">
        <v>37</v>
      </c>
      <c r="G395" s="8">
        <v>4</v>
      </c>
      <c r="H395" s="9">
        <v>20.53</v>
      </c>
      <c r="I395" s="87">
        <f>PRODUCT(Table1[[#This Row],[Quantity]],Table1[[#This Row],[Unit_Price]])</f>
        <v>82.12</v>
      </c>
      <c r="J395" s="9">
        <v>4.05</v>
      </c>
      <c r="K395" s="47">
        <v>27.07</v>
      </c>
      <c r="L395" s="8" t="s">
        <v>19</v>
      </c>
      <c r="M395" s="8" t="s">
        <v>32</v>
      </c>
      <c r="N395" s="10" t="s">
        <v>28</v>
      </c>
    </row>
    <row r="396" spans="1:14" x14ac:dyDescent="0.25">
      <c r="A396" s="7" t="s">
        <v>549</v>
      </c>
      <c r="B396" s="16">
        <v>45492</v>
      </c>
      <c r="C396" s="8" t="str">
        <f>TRIM(Sales_Data!C396)</f>
        <v>Garcia, Sarah</v>
      </c>
      <c r="D396" s="8" t="str">
        <f>PROPER(TRIM(Sales_Data!D396))</f>
        <v>Australia</v>
      </c>
      <c r="E396" s="8" t="s">
        <v>48</v>
      </c>
      <c r="F396" s="8" t="s">
        <v>37</v>
      </c>
      <c r="G396" s="8">
        <v>6</v>
      </c>
      <c r="H396" s="9">
        <v>24.7</v>
      </c>
      <c r="I396" s="87">
        <f>PRODUCT(Table1[[#This Row],[Quantity]],Table1[[#This Row],[Unit_Price]])</f>
        <v>148.19999999999999</v>
      </c>
      <c r="J396" s="9">
        <v>3.76</v>
      </c>
      <c r="K396" s="47">
        <v>24.44</v>
      </c>
      <c r="L396" s="8" t="s">
        <v>38</v>
      </c>
      <c r="M396" s="8" t="s">
        <v>20</v>
      </c>
      <c r="N396" s="10" t="s">
        <v>130</v>
      </c>
    </row>
    <row r="397" spans="1:14" x14ac:dyDescent="0.25">
      <c r="A397" s="7" t="s">
        <v>550</v>
      </c>
      <c r="B397" s="16">
        <v>45645</v>
      </c>
      <c r="C397" s="8" t="str">
        <f>TRIM(Sales_Data!C397)</f>
        <v>Garcia, Daniel</v>
      </c>
      <c r="D397" s="8" t="str">
        <f>PROPER(TRIM(Sales_Data!D397))</f>
        <v>Brazil</v>
      </c>
      <c r="E397" s="8" t="s">
        <v>63</v>
      </c>
      <c r="F397" s="8" t="s">
        <v>37</v>
      </c>
      <c r="G397" s="8">
        <v>19</v>
      </c>
      <c r="H397" s="9">
        <v>19.170000000000002</v>
      </c>
      <c r="I397" s="87">
        <f>PRODUCT(Table1[[#This Row],[Quantity]],Table1[[#This Row],[Unit_Price]])</f>
        <v>364.23</v>
      </c>
      <c r="J397" s="9">
        <v>15.16</v>
      </c>
      <c r="K397" s="47">
        <v>106.82</v>
      </c>
      <c r="L397" s="8" t="s">
        <v>26</v>
      </c>
      <c r="M397" s="8" t="s">
        <v>27</v>
      </c>
      <c r="N397" s="10" t="s">
        <v>39</v>
      </c>
    </row>
    <row r="398" spans="1:14" x14ac:dyDescent="0.25">
      <c r="A398" s="7" t="s">
        <v>551</v>
      </c>
      <c r="B398" s="16">
        <v>45425</v>
      </c>
      <c r="C398" s="8" t="str">
        <f>TRIM(Sales_Data!C398)</f>
        <v>Smith, John</v>
      </c>
      <c r="D398" s="8" t="str">
        <f>PROPER(TRIM(Sales_Data!D398))</f>
        <v>China</v>
      </c>
      <c r="E398" s="8" t="s">
        <v>43</v>
      </c>
      <c r="F398" s="8" t="s">
        <v>44</v>
      </c>
      <c r="G398" s="8">
        <v>2</v>
      </c>
      <c r="H398" s="9">
        <v>55.28</v>
      </c>
      <c r="I398" s="87">
        <f>PRODUCT(Table1[[#This Row],[Quantity]],Table1[[#This Row],[Unit_Price]])</f>
        <v>110.56</v>
      </c>
      <c r="J398" s="9">
        <v>5.37</v>
      </c>
      <c r="K398" s="47">
        <v>25.19</v>
      </c>
      <c r="L398" s="8" t="s">
        <v>38</v>
      </c>
      <c r="M398" s="8" t="s">
        <v>27</v>
      </c>
      <c r="N398" s="10" t="s">
        <v>58</v>
      </c>
    </row>
    <row r="399" spans="1:14" x14ac:dyDescent="0.25">
      <c r="A399" s="7" t="s">
        <v>552</v>
      </c>
      <c r="B399" s="16">
        <v>45444</v>
      </c>
      <c r="C399" s="8" t="str">
        <f>TRIM(Sales_Data!C399)</f>
        <v>Garcia, Emma</v>
      </c>
      <c r="D399" s="8" t="str">
        <f>PROPER(TRIM(Sales_Data!D399))</f>
        <v>Brazil</v>
      </c>
      <c r="E399" s="8" t="s">
        <v>56</v>
      </c>
      <c r="F399" s="8" t="s">
        <v>57</v>
      </c>
      <c r="G399" s="8">
        <v>49</v>
      </c>
      <c r="H399" s="9">
        <v>43.91</v>
      </c>
      <c r="I399" s="87">
        <f>PRODUCT(Table1[[#This Row],[Quantity]],Table1[[#This Row],[Unit_Price]])</f>
        <v>2151.5899999999997</v>
      </c>
      <c r="J399" s="9">
        <v>63.55</v>
      </c>
      <c r="K399" s="47">
        <v>863.04</v>
      </c>
      <c r="L399" s="8" t="s">
        <v>19</v>
      </c>
      <c r="M399" s="8" t="s">
        <v>27</v>
      </c>
      <c r="N399" s="10" t="s">
        <v>39</v>
      </c>
    </row>
    <row r="400" spans="1:14" x14ac:dyDescent="0.25">
      <c r="A400" s="7" t="s">
        <v>553</v>
      </c>
      <c r="B400" s="16">
        <v>45407</v>
      </c>
      <c r="C400" s="8" t="str">
        <f>TRIM(Sales_Data!C400)</f>
        <v>Hernandez, Laura</v>
      </c>
      <c r="D400" s="8" t="str">
        <f>PROPER(TRIM(Sales_Data!D400))</f>
        <v>Brazil</v>
      </c>
      <c r="E400" s="8" t="s">
        <v>56</v>
      </c>
      <c r="F400" s="8" t="s">
        <v>57</v>
      </c>
      <c r="G400" s="8">
        <v>29</v>
      </c>
      <c r="H400" s="9">
        <v>41.84</v>
      </c>
      <c r="I400" s="87">
        <f>PRODUCT(Table1[[#This Row],[Quantity]],Table1[[#This Row],[Unit_Price]])</f>
        <v>1213.3600000000001</v>
      </c>
      <c r="J400" s="9">
        <v>56.83</v>
      </c>
      <c r="K400" s="47">
        <v>431.53</v>
      </c>
      <c r="L400" s="8" t="s">
        <v>38</v>
      </c>
      <c r="M400" s="8" t="s">
        <v>32</v>
      </c>
      <c r="N400" s="10" t="s">
        <v>39</v>
      </c>
    </row>
    <row r="401" spans="1:14" x14ac:dyDescent="0.25">
      <c r="A401" s="7" t="s">
        <v>554</v>
      </c>
      <c r="B401" s="16">
        <v>45454</v>
      </c>
      <c r="C401" s="8" t="str">
        <f>TRIM(Sales_Data!C401)</f>
        <v>Smith, David</v>
      </c>
      <c r="D401" s="8" t="str">
        <f>PROPER(TRIM(Sales_Data!D401))</f>
        <v>South Africa</v>
      </c>
      <c r="E401" s="8" t="s">
        <v>60</v>
      </c>
      <c r="F401" s="8" t="s">
        <v>52</v>
      </c>
      <c r="G401" s="8">
        <v>43</v>
      </c>
      <c r="H401" s="9">
        <v>27.41</v>
      </c>
      <c r="I401" s="87">
        <f>PRODUCT(Table1[[#This Row],[Quantity]],Table1[[#This Row],[Unit_Price]])</f>
        <v>1178.6300000000001</v>
      </c>
      <c r="J401" s="9">
        <v>55.82</v>
      </c>
      <c r="K401" s="47">
        <v>456.31</v>
      </c>
      <c r="L401" s="8" t="s">
        <v>38</v>
      </c>
      <c r="M401" s="8" t="s">
        <v>27</v>
      </c>
      <c r="N401" s="10" t="s">
        <v>87</v>
      </c>
    </row>
    <row r="402" spans="1:14" x14ac:dyDescent="0.25">
      <c r="A402" s="7" t="s">
        <v>555</v>
      </c>
      <c r="B402" s="16">
        <v>45532</v>
      </c>
      <c r="C402" s="8" t="str">
        <f>TRIM(Sales_Data!C402)</f>
        <v>Jones, John</v>
      </c>
      <c r="D402" s="8" t="str">
        <f>PROPER(TRIM(Sales_Data!D402))</f>
        <v>Mexico</v>
      </c>
      <c r="E402" s="8" t="s">
        <v>48</v>
      </c>
      <c r="F402" s="8" t="s">
        <v>37</v>
      </c>
      <c r="G402" s="8">
        <v>28</v>
      </c>
      <c r="H402" s="9">
        <v>31.84</v>
      </c>
      <c r="I402" s="87">
        <f>PRODUCT(Table1[[#This Row],[Quantity]],Table1[[#This Row],[Unit_Price]])</f>
        <v>891.52</v>
      </c>
      <c r="J402" s="9">
        <v>54.24</v>
      </c>
      <c r="K402" s="47">
        <v>277.27999999999997</v>
      </c>
      <c r="L402" s="8" t="s">
        <v>19</v>
      </c>
      <c r="M402" s="8" t="s">
        <v>27</v>
      </c>
      <c r="N402" s="10" t="s">
        <v>21</v>
      </c>
    </row>
    <row r="403" spans="1:14" x14ac:dyDescent="0.25">
      <c r="A403" s="7" t="s">
        <v>556</v>
      </c>
      <c r="B403" s="16">
        <v>45653</v>
      </c>
      <c r="C403" s="8" t="str">
        <f>TRIM(Sales_Data!C403)</f>
        <v>Brown, John</v>
      </c>
      <c r="D403" s="8" t="str">
        <f>PROPER(TRIM(Sales_Data!D403))</f>
        <v>China</v>
      </c>
      <c r="E403" s="8" t="s">
        <v>56</v>
      </c>
      <c r="F403" s="8" t="s">
        <v>57</v>
      </c>
      <c r="G403" s="8">
        <v>42</v>
      </c>
      <c r="H403" s="9">
        <v>35.840000000000003</v>
      </c>
      <c r="I403" s="87">
        <f>PRODUCT(Table1[[#This Row],[Quantity]],Table1[[#This Row],[Unit_Price]])</f>
        <v>1505.2800000000002</v>
      </c>
      <c r="J403" s="9">
        <v>60.65</v>
      </c>
      <c r="K403" s="47">
        <v>394.63</v>
      </c>
      <c r="L403" s="8" t="s">
        <v>38</v>
      </c>
      <c r="M403" s="8" t="s">
        <v>27</v>
      </c>
      <c r="N403" s="10" t="s">
        <v>58</v>
      </c>
    </row>
    <row r="404" spans="1:14" x14ac:dyDescent="0.25">
      <c r="A404" s="7" t="s">
        <v>557</v>
      </c>
      <c r="B404" s="16">
        <v>45554</v>
      </c>
      <c r="C404" s="8" t="str">
        <f>TRIM(Sales_Data!C404)</f>
        <v>Martinez, Laura</v>
      </c>
      <c r="D404" s="8" t="str">
        <f>PROPER(TRIM(Sales_Data!D404))</f>
        <v>Singapore</v>
      </c>
      <c r="E404" s="8" t="s">
        <v>51</v>
      </c>
      <c r="F404" s="8" t="s">
        <v>52</v>
      </c>
      <c r="G404" s="8">
        <v>22</v>
      </c>
      <c r="H404" s="9">
        <v>30.55</v>
      </c>
      <c r="I404" s="87">
        <f>PRODUCT(Table1[[#This Row],[Quantity]],Table1[[#This Row],[Unit_Price]])</f>
        <v>672.1</v>
      </c>
      <c r="J404" s="9">
        <v>46.8</v>
      </c>
      <c r="K404" s="47">
        <v>130.30000000000001</v>
      </c>
      <c r="L404" s="8" t="s">
        <v>26</v>
      </c>
      <c r="M404" s="8" t="s">
        <v>32</v>
      </c>
      <c r="N404" s="10" t="s">
        <v>58</v>
      </c>
    </row>
    <row r="405" spans="1:14" x14ac:dyDescent="0.25">
      <c r="A405" s="7" t="s">
        <v>558</v>
      </c>
      <c r="B405" s="16">
        <v>45752</v>
      </c>
      <c r="C405" s="8" t="str">
        <f>TRIM(Sales_Data!C405)</f>
        <v>Johnson, David</v>
      </c>
      <c r="D405" s="8" t="str">
        <f>PROPER(TRIM(Sales_Data!D405))</f>
        <v>Japan</v>
      </c>
      <c r="E405" s="8" t="s">
        <v>83</v>
      </c>
      <c r="F405" s="8" t="s">
        <v>52</v>
      </c>
      <c r="G405" s="8">
        <v>13</v>
      </c>
      <c r="H405" s="9">
        <v>45.16</v>
      </c>
      <c r="I405" s="87">
        <f>PRODUCT(Table1[[#This Row],[Quantity]],Table1[[#This Row],[Unit_Price]])</f>
        <v>587.07999999999993</v>
      </c>
      <c r="J405" s="9">
        <v>29.68</v>
      </c>
      <c r="K405" s="47">
        <v>193.4</v>
      </c>
      <c r="L405" s="8" t="s">
        <v>26</v>
      </c>
      <c r="M405" s="8" t="s">
        <v>27</v>
      </c>
      <c r="N405" s="10" t="s">
        <v>58</v>
      </c>
    </row>
    <row r="406" spans="1:14" x14ac:dyDescent="0.25">
      <c r="A406" s="7" t="s">
        <v>559</v>
      </c>
      <c r="B406" s="16">
        <v>45465</v>
      </c>
      <c r="C406" s="8" t="str">
        <f>TRIM(Sales_Data!C406)</f>
        <v>Martinez, Emma</v>
      </c>
      <c r="D406" s="8" t="str">
        <f>PROPER(TRIM(Sales_Data!D406))</f>
        <v>Australia</v>
      </c>
      <c r="E406" s="8" t="s">
        <v>17</v>
      </c>
      <c r="F406" s="8" t="s">
        <v>18</v>
      </c>
      <c r="G406" s="8">
        <v>40</v>
      </c>
      <c r="H406" s="9">
        <v>45.23</v>
      </c>
      <c r="I406" s="87">
        <f>PRODUCT(Table1[[#This Row],[Quantity]],Table1[[#This Row],[Unit_Price]])</f>
        <v>1809.1999999999998</v>
      </c>
      <c r="J406" s="9">
        <v>136.25</v>
      </c>
      <c r="K406" s="47">
        <v>272.95</v>
      </c>
      <c r="L406" s="8" t="s">
        <v>38</v>
      </c>
      <c r="M406" s="8" t="s">
        <v>32</v>
      </c>
      <c r="N406" s="10" t="s">
        <v>130</v>
      </c>
    </row>
    <row r="407" spans="1:14" x14ac:dyDescent="0.25">
      <c r="A407" s="7" t="s">
        <v>560</v>
      </c>
      <c r="B407" s="16">
        <v>45310</v>
      </c>
      <c r="C407" s="8" t="str">
        <f>TRIM(Sales_Data!C407)</f>
        <v>Smith, James</v>
      </c>
      <c r="D407" s="8" t="str">
        <f>PROPER(TRIM(Sales_Data!D407))</f>
        <v>Japan</v>
      </c>
      <c r="E407" s="8" t="s">
        <v>25</v>
      </c>
      <c r="F407" s="8" t="s">
        <v>18</v>
      </c>
      <c r="G407" s="8">
        <v>41</v>
      </c>
      <c r="H407" s="9">
        <v>22.78</v>
      </c>
      <c r="I407" s="87">
        <f>PRODUCT(Table1[[#This Row],[Quantity]],Table1[[#This Row],[Unit_Price]])</f>
        <v>933.98</v>
      </c>
      <c r="J407" s="9">
        <v>38.369999999999997</v>
      </c>
      <c r="K407" s="47">
        <v>157.61000000000001</v>
      </c>
      <c r="L407" s="8" t="s">
        <v>26</v>
      </c>
      <c r="M407" s="8" t="s">
        <v>20</v>
      </c>
      <c r="N407" s="10" t="s">
        <v>58</v>
      </c>
    </row>
    <row r="408" spans="1:14" x14ac:dyDescent="0.25">
      <c r="A408" s="7" t="s">
        <v>561</v>
      </c>
      <c r="B408" s="16">
        <v>45498</v>
      </c>
      <c r="C408" s="8" t="str">
        <f>TRIM(Sales_Data!C408)</f>
        <v>Brown, Michael</v>
      </c>
      <c r="D408" s="8" t="str">
        <f>PROPER(TRIM(Sales_Data!D408))</f>
        <v>France</v>
      </c>
      <c r="E408" s="8" t="s">
        <v>60</v>
      </c>
      <c r="F408" s="8" t="s">
        <v>52</v>
      </c>
      <c r="G408" s="8">
        <v>34</v>
      </c>
      <c r="H408" s="9">
        <v>24.21</v>
      </c>
      <c r="I408" s="87">
        <f>PRODUCT(Table1[[#This Row],[Quantity]],Table1[[#This Row],[Unit_Price]])</f>
        <v>823.14</v>
      </c>
      <c r="J408" s="9">
        <v>58.25</v>
      </c>
      <c r="K408" s="47">
        <v>237.89</v>
      </c>
      <c r="L408" s="8" t="s">
        <v>19</v>
      </c>
      <c r="M408" s="8" t="s">
        <v>20</v>
      </c>
      <c r="N408" s="10" t="s">
        <v>28</v>
      </c>
    </row>
    <row r="409" spans="1:14" x14ac:dyDescent="0.25">
      <c r="A409" s="7" t="s">
        <v>562</v>
      </c>
      <c r="B409" s="16">
        <v>45762</v>
      </c>
      <c r="C409" s="8" t="str">
        <f>TRIM(Sales_Data!C409)</f>
        <v>Williams, Laura</v>
      </c>
      <c r="D409" s="8" t="str">
        <f>PROPER(TRIM(Sales_Data!D409))</f>
        <v>Uk</v>
      </c>
      <c r="E409" s="8" t="s">
        <v>48</v>
      </c>
      <c r="F409" s="8" t="s">
        <v>37</v>
      </c>
      <c r="G409" s="8">
        <v>46</v>
      </c>
      <c r="H409" s="9">
        <v>34.64</v>
      </c>
      <c r="I409" s="87">
        <f>PRODUCT(Table1[[#This Row],[Quantity]],Table1[[#This Row],[Unit_Price]])</f>
        <v>1593.44</v>
      </c>
      <c r="J409" s="9">
        <v>45.93</v>
      </c>
      <c r="K409" s="47">
        <v>627.51</v>
      </c>
      <c r="L409" s="8" t="s">
        <v>38</v>
      </c>
      <c r="M409" s="8" t="s">
        <v>20</v>
      </c>
      <c r="N409" s="10" t="s">
        <v>28</v>
      </c>
    </row>
    <row r="410" spans="1:14" x14ac:dyDescent="0.25">
      <c r="A410" s="7" t="s">
        <v>563</v>
      </c>
      <c r="B410" s="16">
        <v>45308</v>
      </c>
      <c r="C410" s="8" t="str">
        <f>TRIM(Sales_Data!C410)</f>
        <v>Martinez, Emma</v>
      </c>
      <c r="D410" s="8" t="str">
        <f>PROPER(TRIM(Sales_Data!D410))</f>
        <v>Canada</v>
      </c>
      <c r="E410" s="8" t="s">
        <v>48</v>
      </c>
      <c r="F410" s="8" t="s">
        <v>37</v>
      </c>
      <c r="G410" s="8">
        <v>10</v>
      </c>
      <c r="H410" s="9">
        <v>27.06</v>
      </c>
      <c r="I410" s="87">
        <f>PRODUCT(Table1[[#This Row],[Quantity]],Table1[[#This Row],[Unit_Price]])</f>
        <v>270.59999999999997</v>
      </c>
      <c r="J410" s="9">
        <v>15.35</v>
      </c>
      <c r="K410" s="47">
        <v>55.25</v>
      </c>
      <c r="L410" s="8" t="s">
        <v>19</v>
      </c>
      <c r="M410" s="8" t="s">
        <v>32</v>
      </c>
      <c r="N410" s="10" t="s">
        <v>21</v>
      </c>
    </row>
    <row r="411" spans="1:14" x14ac:dyDescent="0.25">
      <c r="A411" s="7" t="s">
        <v>564</v>
      </c>
      <c r="B411" s="16">
        <v>45575</v>
      </c>
      <c r="C411" s="8" t="str">
        <f>TRIM(Sales_Data!C411)</f>
        <v>Brown, Sarah</v>
      </c>
      <c r="D411" s="8" t="str">
        <f>PROPER(TRIM(Sales_Data!D411))</f>
        <v>Uk</v>
      </c>
      <c r="E411" s="8" t="s">
        <v>25</v>
      </c>
      <c r="F411" s="8" t="s">
        <v>18</v>
      </c>
      <c r="G411" s="8">
        <v>11</v>
      </c>
      <c r="H411" s="9">
        <v>27.74</v>
      </c>
      <c r="I411" s="87">
        <f>PRODUCT(Table1[[#This Row],[Quantity]],Table1[[#This Row],[Unit_Price]])</f>
        <v>305.14</v>
      </c>
      <c r="J411" s="9">
        <v>10.81</v>
      </c>
      <c r="K411" s="47">
        <v>96.33</v>
      </c>
      <c r="L411" s="8" t="s">
        <v>26</v>
      </c>
      <c r="M411" s="8" t="s">
        <v>32</v>
      </c>
      <c r="N411" s="10" t="s">
        <v>28</v>
      </c>
    </row>
    <row r="412" spans="1:14" x14ac:dyDescent="0.25">
      <c r="A412" s="7" t="s">
        <v>565</v>
      </c>
      <c r="B412" s="16">
        <v>45305</v>
      </c>
      <c r="C412" s="8" t="str">
        <f>TRIM(Sales_Data!C412)</f>
        <v>Martinez, Michael</v>
      </c>
      <c r="D412" s="8" t="str">
        <f>PROPER(TRIM(Sales_Data!D412))</f>
        <v>Canada</v>
      </c>
      <c r="E412" s="8" t="s">
        <v>83</v>
      </c>
      <c r="F412" s="8" t="s">
        <v>52</v>
      </c>
      <c r="G412" s="8">
        <v>29</v>
      </c>
      <c r="H412" s="9">
        <v>38.08</v>
      </c>
      <c r="I412" s="87">
        <f>PRODUCT(Table1[[#This Row],[Quantity]],Table1[[#This Row],[Unit_Price]])</f>
        <v>1104.32</v>
      </c>
      <c r="J412" s="9">
        <v>25.63</v>
      </c>
      <c r="K412" s="47">
        <v>266.69</v>
      </c>
      <c r="L412" s="8" t="s">
        <v>26</v>
      </c>
      <c r="M412" s="8" t="s">
        <v>32</v>
      </c>
      <c r="N412" s="10" t="s">
        <v>21</v>
      </c>
    </row>
    <row r="413" spans="1:14" x14ac:dyDescent="0.25">
      <c r="A413" s="7" t="s">
        <v>566</v>
      </c>
      <c r="B413" s="16">
        <v>45749</v>
      </c>
      <c r="C413" s="8" t="str">
        <f>TRIM(Sales_Data!C413)</f>
        <v>Smith, Michael</v>
      </c>
      <c r="D413" s="8" t="str">
        <f>PROPER(TRIM(Sales_Data!D413))</f>
        <v>Canada</v>
      </c>
      <c r="E413" s="8" t="s">
        <v>83</v>
      </c>
      <c r="F413" s="8" t="s">
        <v>52</v>
      </c>
      <c r="G413" s="8">
        <v>18</v>
      </c>
      <c r="H413" s="9">
        <v>43.65</v>
      </c>
      <c r="I413" s="87">
        <f>PRODUCT(Table1[[#This Row],[Quantity]],Table1[[#This Row],[Unit_Price]])</f>
        <v>785.69999999999993</v>
      </c>
      <c r="J413" s="9">
        <v>54.52</v>
      </c>
      <c r="K413" s="47">
        <v>227.18</v>
      </c>
      <c r="L413" s="8" t="s">
        <v>26</v>
      </c>
      <c r="M413" s="8" t="s">
        <v>20</v>
      </c>
      <c r="N413" s="10" t="s">
        <v>21</v>
      </c>
    </row>
    <row r="414" spans="1:14" x14ac:dyDescent="0.25">
      <c r="A414" s="7" t="s">
        <v>567</v>
      </c>
      <c r="B414" s="16">
        <v>45335</v>
      </c>
      <c r="C414" s="8" t="str">
        <f>TRIM(Sales_Data!C414)</f>
        <v>Brown, David</v>
      </c>
      <c r="D414" s="8" t="str">
        <f>PROPER(TRIM(Sales_Data!D414))</f>
        <v>France</v>
      </c>
      <c r="E414" s="8" t="s">
        <v>17</v>
      </c>
      <c r="F414" s="8" t="s">
        <v>18</v>
      </c>
      <c r="G414" s="8">
        <v>49</v>
      </c>
      <c r="H414" s="9">
        <v>51.97</v>
      </c>
      <c r="I414" s="87">
        <f>PRODUCT(Table1[[#This Row],[Quantity]],Table1[[#This Row],[Unit_Price]])</f>
        <v>2546.5299999999997</v>
      </c>
      <c r="J414" s="9">
        <v>112.26</v>
      </c>
      <c r="K414" s="47">
        <v>719.27</v>
      </c>
      <c r="L414" s="8" t="s">
        <v>26</v>
      </c>
      <c r="M414" s="8" t="s">
        <v>27</v>
      </c>
      <c r="N414" s="10" t="s">
        <v>28</v>
      </c>
    </row>
    <row r="415" spans="1:14" x14ac:dyDescent="0.25">
      <c r="A415" s="7" t="s">
        <v>568</v>
      </c>
      <c r="B415" s="16">
        <v>45680</v>
      </c>
      <c r="C415" s="8" t="str">
        <f>TRIM(Sales_Data!C415)</f>
        <v>Garcia, Emily</v>
      </c>
      <c r="D415" s="8" t="str">
        <f>PROPER(TRIM(Sales_Data!D415))</f>
        <v>Singapore</v>
      </c>
      <c r="E415" s="8" t="s">
        <v>56</v>
      </c>
      <c r="F415" s="8" t="s">
        <v>57</v>
      </c>
      <c r="G415" s="8">
        <v>13</v>
      </c>
      <c r="H415" s="9">
        <v>36.85</v>
      </c>
      <c r="I415" s="87">
        <f>PRODUCT(Table1[[#This Row],[Quantity]],Table1[[#This Row],[Unit_Price]])</f>
        <v>479.05</v>
      </c>
      <c r="J415" s="9">
        <v>10.15</v>
      </c>
      <c r="K415" s="47">
        <v>143.9</v>
      </c>
      <c r="L415" s="8" t="s">
        <v>19</v>
      </c>
      <c r="M415" s="8" t="s">
        <v>32</v>
      </c>
      <c r="N415" s="10" t="s">
        <v>58</v>
      </c>
    </row>
    <row r="416" spans="1:14" x14ac:dyDescent="0.25">
      <c r="A416" s="7" t="s">
        <v>569</v>
      </c>
      <c r="B416" s="16">
        <v>45443</v>
      </c>
      <c r="C416" s="8" t="str">
        <f>TRIM(Sales_Data!C416)</f>
        <v>Davis, Sarah</v>
      </c>
      <c r="D416" s="8" t="str">
        <f>PROPER(TRIM(Sales_Data!D416))</f>
        <v>Canada</v>
      </c>
      <c r="E416" s="8" t="s">
        <v>36</v>
      </c>
      <c r="F416" s="8" t="s">
        <v>37</v>
      </c>
      <c r="G416" s="8">
        <v>33</v>
      </c>
      <c r="H416" s="9">
        <v>38.520000000000003</v>
      </c>
      <c r="I416" s="87">
        <f>PRODUCT(Table1[[#This Row],[Quantity]],Table1[[#This Row],[Unit_Price]])</f>
        <v>1271.1600000000001</v>
      </c>
      <c r="J416" s="9">
        <v>81.459999999999994</v>
      </c>
      <c r="K416" s="47">
        <v>133.69999999999999</v>
      </c>
      <c r="L416" s="8" t="s">
        <v>19</v>
      </c>
      <c r="M416" s="8" t="s">
        <v>20</v>
      </c>
      <c r="N416" s="10" t="s">
        <v>21</v>
      </c>
    </row>
    <row r="417" spans="1:14" x14ac:dyDescent="0.25">
      <c r="A417" s="7" t="s">
        <v>570</v>
      </c>
      <c r="B417" s="16">
        <v>45769</v>
      </c>
      <c r="C417" s="8" t="str">
        <f>TRIM(Sales_Data!C417)</f>
        <v>Hernandez, David</v>
      </c>
      <c r="D417" s="8" t="str">
        <f>PROPER(TRIM(Sales_Data!D417))</f>
        <v>China</v>
      </c>
      <c r="E417" s="8" t="s">
        <v>60</v>
      </c>
      <c r="F417" s="8" t="s">
        <v>52</v>
      </c>
      <c r="G417" s="8">
        <v>41</v>
      </c>
      <c r="H417" s="9">
        <v>26.98</v>
      </c>
      <c r="I417" s="87">
        <f>PRODUCT(Table1[[#This Row],[Quantity]],Table1[[#This Row],[Unit_Price]])</f>
        <v>1106.18</v>
      </c>
      <c r="J417" s="9">
        <v>51.77</v>
      </c>
      <c r="K417" s="47">
        <v>418.91</v>
      </c>
      <c r="L417" s="8" t="s">
        <v>38</v>
      </c>
      <c r="M417" s="8" t="s">
        <v>27</v>
      </c>
      <c r="N417" s="10" t="s">
        <v>58</v>
      </c>
    </row>
    <row r="418" spans="1:14" x14ac:dyDescent="0.25">
      <c r="A418" s="7" t="s">
        <v>571</v>
      </c>
      <c r="B418" s="16">
        <v>45347</v>
      </c>
      <c r="C418" s="8" t="str">
        <f>TRIM(Sales_Data!C418)</f>
        <v>Martinez, Michael</v>
      </c>
      <c r="D418" s="8" t="str">
        <f>PROPER(TRIM(Sales_Data!D418))</f>
        <v>France</v>
      </c>
      <c r="E418" s="8" t="s">
        <v>60</v>
      </c>
      <c r="F418" s="8" t="s">
        <v>52</v>
      </c>
      <c r="G418" s="8">
        <v>4</v>
      </c>
      <c r="H418" s="9">
        <v>23.56</v>
      </c>
      <c r="I418" s="87">
        <f>PRODUCT(Table1[[#This Row],[Quantity]],Table1[[#This Row],[Unit_Price]])</f>
        <v>94.24</v>
      </c>
      <c r="J418" s="9">
        <v>7.03</v>
      </c>
      <c r="K418" s="47">
        <v>25.21</v>
      </c>
      <c r="L418" s="8" t="s">
        <v>38</v>
      </c>
      <c r="M418" s="8" t="s">
        <v>32</v>
      </c>
      <c r="N418" s="10" t="s">
        <v>28</v>
      </c>
    </row>
    <row r="419" spans="1:14" x14ac:dyDescent="0.25">
      <c r="A419" s="7" t="s">
        <v>572</v>
      </c>
      <c r="B419" s="16">
        <v>45494</v>
      </c>
      <c r="C419" s="8" t="str">
        <f>TRIM(Sales_Data!C419)</f>
        <v>Johnson, Emily</v>
      </c>
      <c r="D419" s="8" t="str">
        <f>PROPER(TRIM(Sales_Data!D419))</f>
        <v>India</v>
      </c>
      <c r="E419" s="8" t="s">
        <v>36</v>
      </c>
      <c r="F419" s="8" t="s">
        <v>37</v>
      </c>
      <c r="G419" s="8">
        <v>17</v>
      </c>
      <c r="H419" s="9">
        <v>57.14</v>
      </c>
      <c r="I419" s="87">
        <f>PRODUCT(Table1[[#This Row],[Quantity]],Table1[[#This Row],[Unit_Price]])</f>
        <v>971.38</v>
      </c>
      <c r="J419" s="9">
        <v>70.010000000000005</v>
      </c>
      <c r="K419" s="47">
        <v>357.37</v>
      </c>
      <c r="L419" s="8" t="s">
        <v>38</v>
      </c>
      <c r="M419" s="8" t="s">
        <v>27</v>
      </c>
      <c r="N419" s="10" t="s">
        <v>58</v>
      </c>
    </row>
    <row r="420" spans="1:14" x14ac:dyDescent="0.25">
      <c r="A420" s="7" t="s">
        <v>573</v>
      </c>
      <c r="B420" s="16">
        <v>45705</v>
      </c>
      <c r="C420" s="8" t="str">
        <f>TRIM(Sales_Data!C420)</f>
        <v>Hernandez, John</v>
      </c>
      <c r="D420" s="8" t="str">
        <f>PROPER(TRIM(Sales_Data!D420))</f>
        <v>Australia</v>
      </c>
      <c r="E420" s="8" t="s">
        <v>56</v>
      </c>
      <c r="F420" s="8" t="s">
        <v>57</v>
      </c>
      <c r="G420" s="8">
        <v>44</v>
      </c>
      <c r="H420" s="9">
        <v>38.14</v>
      </c>
      <c r="I420" s="87">
        <f>PRODUCT(Table1[[#This Row],[Quantity]],Table1[[#This Row],[Unit_Price]])</f>
        <v>1678.16</v>
      </c>
      <c r="J420" s="9">
        <v>124.49</v>
      </c>
      <c r="K420" s="47">
        <v>453.67</v>
      </c>
      <c r="L420" s="8" t="s">
        <v>38</v>
      </c>
      <c r="M420" s="8" t="s">
        <v>20</v>
      </c>
      <c r="N420" s="10" t="s">
        <v>130</v>
      </c>
    </row>
    <row r="421" spans="1:14" x14ac:dyDescent="0.25">
      <c r="A421" s="7" t="s">
        <v>574</v>
      </c>
      <c r="B421" s="16">
        <v>45482</v>
      </c>
      <c r="C421" s="8" t="str">
        <f>TRIM(Sales_Data!C421)</f>
        <v>Brown, Michael</v>
      </c>
      <c r="D421" s="8" t="str">
        <f>PROPER(TRIM(Sales_Data!D421))</f>
        <v>South Africa</v>
      </c>
      <c r="E421" s="8" t="s">
        <v>25</v>
      </c>
      <c r="F421" s="8" t="s">
        <v>18</v>
      </c>
      <c r="G421" s="8">
        <v>14</v>
      </c>
      <c r="H421" s="9">
        <v>24</v>
      </c>
      <c r="I421" s="87">
        <f>PRODUCT(Table1[[#This Row],[Quantity]],Table1[[#This Row],[Unit_Price]])</f>
        <v>336</v>
      </c>
      <c r="J421" s="9">
        <v>22.88</v>
      </c>
      <c r="K421" s="47">
        <v>61.12</v>
      </c>
      <c r="L421" s="8" t="s">
        <v>26</v>
      </c>
      <c r="M421" s="8" t="s">
        <v>27</v>
      </c>
      <c r="N421" s="10" t="s">
        <v>87</v>
      </c>
    </row>
    <row r="422" spans="1:14" x14ac:dyDescent="0.25">
      <c r="A422" s="7" t="s">
        <v>575</v>
      </c>
      <c r="B422" s="16">
        <v>45346</v>
      </c>
      <c r="C422" s="8" t="str">
        <f>TRIM(Sales_Data!C422)</f>
        <v>Williams, David</v>
      </c>
      <c r="D422" s="8" t="str">
        <f>PROPER(TRIM(Sales_Data!D422))</f>
        <v>China</v>
      </c>
      <c r="E422" s="8" t="s">
        <v>60</v>
      </c>
      <c r="F422" s="8" t="s">
        <v>52</v>
      </c>
      <c r="G422" s="8">
        <v>50</v>
      </c>
      <c r="H422" s="9">
        <v>26.91</v>
      </c>
      <c r="I422" s="87">
        <f>PRODUCT(Table1[[#This Row],[Quantity]],Table1[[#This Row],[Unit_Price]])</f>
        <v>1345.5</v>
      </c>
      <c r="J422" s="9">
        <v>91.7</v>
      </c>
      <c r="K422" s="47">
        <v>478.8</v>
      </c>
      <c r="L422" s="8" t="s">
        <v>38</v>
      </c>
      <c r="M422" s="8" t="s">
        <v>20</v>
      </c>
      <c r="N422" s="10" t="s">
        <v>58</v>
      </c>
    </row>
    <row r="423" spans="1:14" x14ac:dyDescent="0.25">
      <c r="A423" s="7" t="s">
        <v>576</v>
      </c>
      <c r="B423" s="16">
        <v>45790</v>
      </c>
      <c r="C423" s="8" t="str">
        <f>TRIM(Sales_Data!C423)</f>
        <v>Hernandez, Michael</v>
      </c>
      <c r="D423" s="8" t="str">
        <f>PROPER(TRIM(Sales_Data!D423))</f>
        <v>Italy</v>
      </c>
      <c r="E423" s="8" t="s">
        <v>43</v>
      </c>
      <c r="F423" s="8" t="s">
        <v>44</v>
      </c>
      <c r="G423" s="8">
        <v>7</v>
      </c>
      <c r="H423" s="9">
        <v>59.41</v>
      </c>
      <c r="I423" s="87">
        <f>PRODUCT(Table1[[#This Row],[Quantity]],Table1[[#This Row],[Unit_Price]])</f>
        <v>415.87</v>
      </c>
      <c r="J423" s="9">
        <v>25.51</v>
      </c>
      <c r="K423" s="47">
        <v>110.36</v>
      </c>
      <c r="L423" s="8" t="s">
        <v>19</v>
      </c>
      <c r="M423" s="8" t="s">
        <v>32</v>
      </c>
      <c r="N423" s="10" t="s">
        <v>28</v>
      </c>
    </row>
    <row r="424" spans="1:14" x14ac:dyDescent="0.25">
      <c r="A424" s="7" t="s">
        <v>577</v>
      </c>
      <c r="B424" s="16">
        <v>45301</v>
      </c>
      <c r="C424" s="8" t="str">
        <f>TRIM(Sales_Data!C424)</f>
        <v>Garcia, David</v>
      </c>
      <c r="D424" s="8" t="str">
        <f>PROPER(TRIM(Sales_Data!D424))</f>
        <v>Japan</v>
      </c>
      <c r="E424" s="8" t="s">
        <v>56</v>
      </c>
      <c r="F424" s="8" t="s">
        <v>57</v>
      </c>
      <c r="G424" s="8">
        <v>48</v>
      </c>
      <c r="H424" s="9">
        <v>37.31</v>
      </c>
      <c r="I424" s="87">
        <f>PRODUCT(Table1[[#This Row],[Quantity]],Table1[[#This Row],[Unit_Price]])</f>
        <v>1790.88</v>
      </c>
      <c r="J424" s="9">
        <v>67.45</v>
      </c>
      <c r="K424" s="47">
        <v>523.42999999999995</v>
      </c>
      <c r="L424" s="8" t="s">
        <v>19</v>
      </c>
      <c r="M424" s="8" t="s">
        <v>27</v>
      </c>
      <c r="N424" s="10" t="s">
        <v>58</v>
      </c>
    </row>
    <row r="425" spans="1:14" x14ac:dyDescent="0.25">
      <c r="A425" s="7" t="s">
        <v>578</v>
      </c>
      <c r="B425" s="16">
        <v>45476</v>
      </c>
      <c r="C425" s="8" t="str">
        <f>TRIM(Sales_Data!C425)</f>
        <v>Miller, Sophia</v>
      </c>
      <c r="D425" s="8" t="str">
        <f>PROPER(TRIM(Sales_Data!D425))</f>
        <v>Uae</v>
      </c>
      <c r="E425" s="8" t="s">
        <v>43</v>
      </c>
      <c r="F425" s="8" t="s">
        <v>44</v>
      </c>
      <c r="G425" s="8">
        <v>38</v>
      </c>
      <c r="H425" s="9">
        <v>52.91</v>
      </c>
      <c r="I425" s="87">
        <f>PRODUCT(Table1[[#This Row],[Quantity]],Table1[[#This Row],[Unit_Price]])</f>
        <v>2010.58</v>
      </c>
      <c r="J425" s="9">
        <v>94.22</v>
      </c>
      <c r="K425" s="47">
        <v>396.36</v>
      </c>
      <c r="L425" s="8" t="s">
        <v>19</v>
      </c>
      <c r="M425" s="8" t="s">
        <v>20</v>
      </c>
      <c r="N425" s="10" t="s">
        <v>58</v>
      </c>
    </row>
    <row r="426" spans="1:14" x14ac:dyDescent="0.25">
      <c r="A426" s="7" t="s">
        <v>579</v>
      </c>
      <c r="B426" s="16">
        <v>45792</v>
      </c>
      <c r="C426" s="8" t="str">
        <f>TRIM(Sales_Data!C426)</f>
        <v>Davis, James</v>
      </c>
      <c r="D426" s="8" t="str">
        <f>PROPER(TRIM(Sales_Data!D426))</f>
        <v>Uk</v>
      </c>
      <c r="E426" s="8" t="s">
        <v>25</v>
      </c>
      <c r="F426" s="8" t="s">
        <v>18</v>
      </c>
      <c r="G426" s="8">
        <v>14</v>
      </c>
      <c r="H426" s="9">
        <v>27.09</v>
      </c>
      <c r="I426" s="87">
        <f>PRODUCT(Table1[[#This Row],[Quantity]],Table1[[#This Row],[Unit_Price]])</f>
        <v>379.26</v>
      </c>
      <c r="J426" s="9">
        <v>14.42</v>
      </c>
      <c r="K426" s="47">
        <v>112.84</v>
      </c>
      <c r="L426" s="8" t="s">
        <v>38</v>
      </c>
      <c r="M426" s="8" t="s">
        <v>32</v>
      </c>
      <c r="N426" s="10" t="s">
        <v>28</v>
      </c>
    </row>
    <row r="427" spans="1:14" x14ac:dyDescent="0.25">
      <c r="A427" s="7" t="s">
        <v>580</v>
      </c>
      <c r="B427" s="16">
        <v>45350</v>
      </c>
      <c r="C427" s="8" t="str">
        <f>TRIM(Sales_Data!C427)</f>
        <v>Hernandez, John</v>
      </c>
      <c r="D427" s="8" t="str">
        <f>PROPER(TRIM(Sales_Data!D427))</f>
        <v>Japan</v>
      </c>
      <c r="E427" s="8" t="s">
        <v>51</v>
      </c>
      <c r="F427" s="8" t="s">
        <v>52</v>
      </c>
      <c r="G427" s="8">
        <v>41</v>
      </c>
      <c r="H427" s="9">
        <v>30.52</v>
      </c>
      <c r="I427" s="87">
        <f>PRODUCT(Table1[[#This Row],[Quantity]],Table1[[#This Row],[Unit_Price]])</f>
        <v>1251.32</v>
      </c>
      <c r="J427" s="9">
        <v>56.88</v>
      </c>
      <c r="K427" s="47">
        <v>271.94</v>
      </c>
      <c r="L427" s="8" t="s">
        <v>19</v>
      </c>
      <c r="M427" s="8" t="s">
        <v>32</v>
      </c>
      <c r="N427" s="10" t="s">
        <v>58</v>
      </c>
    </row>
    <row r="428" spans="1:14" x14ac:dyDescent="0.25">
      <c r="A428" s="7" t="s">
        <v>581</v>
      </c>
      <c r="B428" s="16">
        <v>45424</v>
      </c>
      <c r="C428" s="8" t="str">
        <f>TRIM(Sales_Data!C428)</f>
        <v>Martinez, Emily</v>
      </c>
      <c r="D428" s="8" t="str">
        <f>PROPER(TRIM(Sales_Data!D428))</f>
        <v>Canada</v>
      </c>
      <c r="E428" s="8" t="s">
        <v>83</v>
      </c>
      <c r="F428" s="8" t="s">
        <v>52</v>
      </c>
      <c r="G428" s="8">
        <v>23</v>
      </c>
      <c r="H428" s="9">
        <v>40.94</v>
      </c>
      <c r="I428" s="87">
        <f>PRODUCT(Table1[[#This Row],[Quantity]],Table1[[#This Row],[Unit_Price]])</f>
        <v>941.61999999999989</v>
      </c>
      <c r="J428" s="9">
        <v>71.66</v>
      </c>
      <c r="K428" s="47">
        <v>225.96</v>
      </c>
      <c r="L428" s="8" t="s">
        <v>26</v>
      </c>
      <c r="M428" s="8" t="s">
        <v>32</v>
      </c>
      <c r="N428" s="10" t="s">
        <v>21</v>
      </c>
    </row>
    <row r="429" spans="1:14" x14ac:dyDescent="0.25">
      <c r="A429" s="7" t="s">
        <v>582</v>
      </c>
      <c r="B429" s="16">
        <v>45457</v>
      </c>
      <c r="C429" s="8" t="str">
        <f>TRIM(Sales_Data!C429)</f>
        <v>Johnson, Emily</v>
      </c>
      <c r="D429" s="8" t="str">
        <f>PROPER(TRIM(Sales_Data!D429))</f>
        <v>Germany</v>
      </c>
      <c r="E429" s="8" t="s">
        <v>83</v>
      </c>
      <c r="F429" s="8" t="s">
        <v>52</v>
      </c>
      <c r="G429" s="8">
        <v>34</v>
      </c>
      <c r="H429" s="9">
        <v>41.77</v>
      </c>
      <c r="I429" s="87">
        <f>PRODUCT(Table1[[#This Row],[Quantity]],Table1[[#This Row],[Unit_Price]])</f>
        <v>1420.18</v>
      </c>
      <c r="J429" s="9">
        <v>112.45</v>
      </c>
      <c r="K429" s="47">
        <v>355.73</v>
      </c>
      <c r="L429" s="8" t="s">
        <v>26</v>
      </c>
      <c r="M429" s="8" t="s">
        <v>32</v>
      </c>
      <c r="N429" s="10" t="s">
        <v>28</v>
      </c>
    </row>
    <row r="430" spans="1:14" x14ac:dyDescent="0.25">
      <c r="A430" s="7" t="s">
        <v>583</v>
      </c>
      <c r="B430" s="16">
        <v>45529</v>
      </c>
      <c r="C430" s="8" t="str">
        <f>TRIM(Sales_Data!C430)</f>
        <v>Brown, Michael</v>
      </c>
      <c r="D430" s="8" t="str">
        <f>PROPER(TRIM(Sales_Data!D430))</f>
        <v>India</v>
      </c>
      <c r="E430" s="8" t="s">
        <v>43</v>
      </c>
      <c r="F430" s="8" t="s">
        <v>44</v>
      </c>
      <c r="G430" s="8">
        <v>32</v>
      </c>
      <c r="H430" s="9">
        <v>69.98</v>
      </c>
      <c r="I430" s="87">
        <f>PRODUCT(Table1[[#This Row],[Quantity]],Table1[[#This Row],[Unit_Price]])</f>
        <v>2239.36</v>
      </c>
      <c r="J430" s="9">
        <v>133.51</v>
      </c>
      <c r="K430" s="47">
        <v>825.85</v>
      </c>
      <c r="L430" s="8" t="s">
        <v>38</v>
      </c>
      <c r="M430" s="8" t="s">
        <v>20</v>
      </c>
      <c r="N430" s="10" t="s">
        <v>58</v>
      </c>
    </row>
    <row r="431" spans="1:14" x14ac:dyDescent="0.25">
      <c r="A431" s="7" t="s">
        <v>584</v>
      </c>
      <c r="B431" s="16">
        <v>45292</v>
      </c>
      <c r="C431" s="8" t="str">
        <f>TRIM(Sales_Data!C431)</f>
        <v>Brown, Daniel</v>
      </c>
      <c r="D431" s="8" t="str">
        <f>PROPER(TRIM(Sales_Data!D431))</f>
        <v>Uk</v>
      </c>
      <c r="E431" s="8" t="s">
        <v>17</v>
      </c>
      <c r="F431" s="8" t="s">
        <v>18</v>
      </c>
      <c r="G431" s="8">
        <v>25</v>
      </c>
      <c r="H431" s="9">
        <v>42.91</v>
      </c>
      <c r="I431" s="87">
        <f>PRODUCT(Table1[[#This Row],[Quantity]],Table1[[#This Row],[Unit_Price]])</f>
        <v>1072.75</v>
      </c>
      <c r="J431" s="9">
        <v>80.02</v>
      </c>
      <c r="K431" s="47">
        <v>117.73</v>
      </c>
      <c r="L431" s="8" t="s">
        <v>26</v>
      </c>
      <c r="M431" s="8" t="s">
        <v>27</v>
      </c>
      <c r="N431" s="10" t="s">
        <v>28</v>
      </c>
    </row>
    <row r="432" spans="1:14" x14ac:dyDescent="0.25">
      <c r="A432" s="7" t="s">
        <v>585</v>
      </c>
      <c r="B432" s="16">
        <v>45644</v>
      </c>
      <c r="C432" s="8" t="str">
        <f>TRIM(Sales_Data!C432)</f>
        <v>Williams, Sophia</v>
      </c>
      <c r="D432" s="8" t="str">
        <f>PROPER(TRIM(Sales_Data!D432))</f>
        <v>Canada</v>
      </c>
      <c r="E432" s="8" t="s">
        <v>63</v>
      </c>
      <c r="F432" s="8" t="s">
        <v>37</v>
      </c>
      <c r="G432" s="8">
        <v>7</v>
      </c>
      <c r="H432" s="9">
        <v>22.6</v>
      </c>
      <c r="I432" s="87">
        <f>PRODUCT(Table1[[#This Row],[Quantity]],Table1[[#This Row],[Unit_Price]])</f>
        <v>158.20000000000002</v>
      </c>
      <c r="J432" s="9">
        <v>7.04</v>
      </c>
      <c r="K432" s="47">
        <v>61.91</v>
      </c>
      <c r="L432" s="8" t="s">
        <v>38</v>
      </c>
      <c r="M432" s="8" t="s">
        <v>20</v>
      </c>
      <c r="N432" s="10" t="s">
        <v>21</v>
      </c>
    </row>
    <row r="433" spans="1:14" x14ac:dyDescent="0.25">
      <c r="A433" s="7" t="s">
        <v>586</v>
      </c>
      <c r="B433" s="16">
        <v>45470</v>
      </c>
      <c r="C433" s="8" t="str">
        <f>TRIM(Sales_Data!C433)</f>
        <v>Davis, David</v>
      </c>
      <c r="D433" s="8" t="str">
        <f>PROPER(TRIM(Sales_Data!D433))</f>
        <v>Usa</v>
      </c>
      <c r="E433" s="8" t="s">
        <v>63</v>
      </c>
      <c r="F433" s="8" t="s">
        <v>37</v>
      </c>
      <c r="G433" s="8">
        <v>48</v>
      </c>
      <c r="H433" s="9">
        <v>19.5</v>
      </c>
      <c r="I433" s="87">
        <f>PRODUCT(Table1[[#This Row],[Quantity]],Table1[[#This Row],[Unit_Price]])</f>
        <v>936</v>
      </c>
      <c r="J433" s="9">
        <v>70.069999999999993</v>
      </c>
      <c r="K433" s="47">
        <v>253.93</v>
      </c>
      <c r="L433" s="8" t="s">
        <v>19</v>
      </c>
      <c r="M433" s="8" t="s">
        <v>27</v>
      </c>
      <c r="N433" s="10" t="s">
        <v>21</v>
      </c>
    </row>
    <row r="434" spans="1:14" x14ac:dyDescent="0.25">
      <c r="A434" s="7" t="s">
        <v>587</v>
      </c>
      <c r="B434" s="16">
        <v>45546</v>
      </c>
      <c r="C434" s="8" t="str">
        <f>TRIM(Sales_Data!C434)</f>
        <v>Davis, John</v>
      </c>
      <c r="D434" s="8" t="str">
        <f>PROPER(TRIM(Sales_Data!D434))</f>
        <v>Australia</v>
      </c>
      <c r="E434" s="8" t="s">
        <v>43</v>
      </c>
      <c r="F434" s="8" t="s">
        <v>44</v>
      </c>
      <c r="G434" s="8">
        <v>32</v>
      </c>
      <c r="H434" s="9">
        <v>49.97</v>
      </c>
      <c r="I434" s="87">
        <f>PRODUCT(Table1[[#This Row],[Quantity]],Table1[[#This Row],[Unit_Price]])</f>
        <v>1599.04</v>
      </c>
      <c r="J434" s="9">
        <v>43.1</v>
      </c>
      <c r="K434" s="47">
        <v>275.94</v>
      </c>
      <c r="L434" s="8" t="s">
        <v>26</v>
      </c>
      <c r="M434" s="8" t="s">
        <v>32</v>
      </c>
      <c r="N434" s="10" t="s">
        <v>130</v>
      </c>
    </row>
    <row r="435" spans="1:14" x14ac:dyDescent="0.25">
      <c r="A435" s="7" t="s">
        <v>588</v>
      </c>
      <c r="B435" s="16">
        <v>45661</v>
      </c>
      <c r="C435" s="8" t="str">
        <f>TRIM(Sales_Data!C435)</f>
        <v>Smith, Emily</v>
      </c>
      <c r="D435" s="8" t="str">
        <f>PROPER(TRIM(Sales_Data!D435))</f>
        <v>France</v>
      </c>
      <c r="E435" s="8" t="s">
        <v>60</v>
      </c>
      <c r="F435" s="8" t="s">
        <v>52</v>
      </c>
      <c r="G435" s="8">
        <v>41</v>
      </c>
      <c r="H435" s="9">
        <v>25.62</v>
      </c>
      <c r="I435" s="87">
        <f>PRODUCT(Table1[[#This Row],[Quantity]],Table1[[#This Row],[Unit_Price]])</f>
        <v>1050.42</v>
      </c>
      <c r="J435" s="9">
        <v>79.2</v>
      </c>
      <c r="K435" s="47">
        <v>335.72</v>
      </c>
      <c r="L435" s="8" t="s">
        <v>19</v>
      </c>
      <c r="M435" s="8" t="s">
        <v>27</v>
      </c>
      <c r="N435" s="10" t="s">
        <v>28</v>
      </c>
    </row>
    <row r="436" spans="1:14" x14ac:dyDescent="0.25">
      <c r="A436" s="7" t="s">
        <v>589</v>
      </c>
      <c r="B436" s="16">
        <v>45339</v>
      </c>
      <c r="C436" s="8" t="str">
        <f>TRIM(Sales_Data!C436)</f>
        <v>Martinez, David</v>
      </c>
      <c r="D436" s="8" t="str">
        <f>PROPER(TRIM(Sales_Data!D436))</f>
        <v>Usa</v>
      </c>
      <c r="E436" s="8" t="s">
        <v>63</v>
      </c>
      <c r="F436" s="8" t="s">
        <v>37</v>
      </c>
      <c r="G436" s="8">
        <v>46</v>
      </c>
      <c r="H436" s="9">
        <v>16.78</v>
      </c>
      <c r="I436" s="87">
        <f>PRODUCT(Table1[[#This Row],[Quantity]],Table1[[#This Row],[Unit_Price]])</f>
        <v>771.88000000000011</v>
      </c>
      <c r="J436" s="9">
        <v>18.04</v>
      </c>
      <c r="K436" s="47">
        <v>167.34</v>
      </c>
      <c r="L436" s="8" t="s">
        <v>38</v>
      </c>
      <c r="M436" s="8" t="s">
        <v>32</v>
      </c>
      <c r="N436" s="10" t="s">
        <v>21</v>
      </c>
    </row>
    <row r="437" spans="1:14" x14ac:dyDescent="0.25">
      <c r="A437" s="7" t="s">
        <v>590</v>
      </c>
      <c r="B437" s="16">
        <v>45325</v>
      </c>
      <c r="C437" s="8" t="str">
        <f>TRIM(Sales_Data!C437)</f>
        <v>Davis, Daniel</v>
      </c>
      <c r="D437" s="8" t="str">
        <f>PROPER(TRIM(Sales_Data!D437))</f>
        <v>Italy</v>
      </c>
      <c r="E437" s="8" t="s">
        <v>36</v>
      </c>
      <c r="F437" s="8" t="s">
        <v>37</v>
      </c>
      <c r="G437" s="8">
        <v>16</v>
      </c>
      <c r="H437" s="9">
        <v>42.18</v>
      </c>
      <c r="I437" s="87">
        <f>PRODUCT(Table1[[#This Row],[Quantity]],Table1[[#This Row],[Unit_Price]])</f>
        <v>674.88</v>
      </c>
      <c r="J437" s="9">
        <v>19.100000000000001</v>
      </c>
      <c r="K437" s="47">
        <v>143.78</v>
      </c>
      <c r="L437" s="8" t="s">
        <v>19</v>
      </c>
      <c r="M437" s="8" t="s">
        <v>32</v>
      </c>
      <c r="N437" s="10" t="s">
        <v>28</v>
      </c>
    </row>
    <row r="438" spans="1:14" x14ac:dyDescent="0.25">
      <c r="A438" s="7" t="s">
        <v>591</v>
      </c>
      <c r="B438" s="16">
        <v>45518</v>
      </c>
      <c r="C438" s="8" t="str">
        <f>TRIM(Sales_Data!C438)</f>
        <v>Davis, James</v>
      </c>
      <c r="D438" s="8" t="str">
        <f>PROPER(TRIM(Sales_Data!D438))</f>
        <v>France</v>
      </c>
      <c r="E438" s="8" t="s">
        <v>56</v>
      </c>
      <c r="F438" s="8" t="s">
        <v>57</v>
      </c>
      <c r="G438" s="8">
        <v>12</v>
      </c>
      <c r="H438" s="9">
        <v>34.97</v>
      </c>
      <c r="I438" s="87">
        <f>PRODUCT(Table1[[#This Row],[Quantity]],Table1[[#This Row],[Unit_Price]])</f>
        <v>419.64</v>
      </c>
      <c r="J438" s="9">
        <v>28.48</v>
      </c>
      <c r="K438" s="47">
        <v>91.16</v>
      </c>
      <c r="L438" s="8" t="s">
        <v>19</v>
      </c>
      <c r="M438" s="8" t="s">
        <v>20</v>
      </c>
      <c r="N438" s="10" t="s">
        <v>28</v>
      </c>
    </row>
    <row r="439" spans="1:14" x14ac:dyDescent="0.25">
      <c r="A439" s="7" t="s">
        <v>592</v>
      </c>
      <c r="B439" s="16">
        <v>45649</v>
      </c>
      <c r="C439" s="8" t="str">
        <f>TRIM(Sales_Data!C439)</f>
        <v>Jones, David</v>
      </c>
      <c r="D439" s="8" t="str">
        <f>PROPER(TRIM(Sales_Data!D439))</f>
        <v>Brazil</v>
      </c>
      <c r="E439" s="8" t="s">
        <v>48</v>
      </c>
      <c r="F439" s="8" t="s">
        <v>37</v>
      </c>
      <c r="G439" s="8">
        <v>31</v>
      </c>
      <c r="H439" s="9">
        <v>33.619999999999997</v>
      </c>
      <c r="I439" s="87">
        <f>PRODUCT(Table1[[#This Row],[Quantity]],Table1[[#This Row],[Unit_Price]])</f>
        <v>1042.22</v>
      </c>
      <c r="J439" s="9">
        <v>26.33</v>
      </c>
      <c r="K439" s="47">
        <v>395.89</v>
      </c>
      <c r="L439" s="8" t="s">
        <v>38</v>
      </c>
      <c r="M439" s="8" t="s">
        <v>32</v>
      </c>
      <c r="N439" s="10" t="s">
        <v>39</v>
      </c>
    </row>
    <row r="440" spans="1:14" x14ac:dyDescent="0.25">
      <c r="A440" s="7" t="s">
        <v>593</v>
      </c>
      <c r="B440" s="16">
        <v>45614</v>
      </c>
      <c r="C440" s="8" t="str">
        <f>TRIM(Sales_Data!C440)</f>
        <v>Smith, Laura</v>
      </c>
      <c r="D440" s="8" t="str">
        <f>PROPER(TRIM(Sales_Data!D440))</f>
        <v>Uae</v>
      </c>
      <c r="E440" s="8" t="s">
        <v>51</v>
      </c>
      <c r="F440" s="8" t="s">
        <v>52</v>
      </c>
      <c r="G440" s="8">
        <v>40</v>
      </c>
      <c r="H440" s="9">
        <v>30.56</v>
      </c>
      <c r="I440" s="87">
        <f>PRODUCT(Table1[[#This Row],[Quantity]],Table1[[#This Row],[Unit_Price]])</f>
        <v>1222.3999999999999</v>
      </c>
      <c r="J440" s="9">
        <v>26.42</v>
      </c>
      <c r="K440" s="47">
        <v>295.98</v>
      </c>
      <c r="L440" s="8" t="s">
        <v>19</v>
      </c>
      <c r="M440" s="8" t="s">
        <v>20</v>
      </c>
      <c r="N440" s="10" t="s">
        <v>58</v>
      </c>
    </row>
    <row r="441" spans="1:14" x14ac:dyDescent="0.25">
      <c r="A441" s="7" t="s">
        <v>594</v>
      </c>
      <c r="B441" s="16">
        <v>45679</v>
      </c>
      <c r="C441" s="8" t="str">
        <f>TRIM(Sales_Data!C441)</f>
        <v>Martinez, Emma</v>
      </c>
      <c r="D441" s="8" t="str">
        <f>PROPER(TRIM(Sales_Data!D441))</f>
        <v>Germany</v>
      </c>
      <c r="E441" s="8" t="s">
        <v>17</v>
      </c>
      <c r="F441" s="8" t="s">
        <v>18</v>
      </c>
      <c r="G441" s="8">
        <v>15</v>
      </c>
      <c r="H441" s="9">
        <v>61.93</v>
      </c>
      <c r="I441" s="87">
        <f>PRODUCT(Table1[[#This Row],[Quantity]],Table1[[#This Row],[Unit_Price]])</f>
        <v>928.95</v>
      </c>
      <c r="J441" s="9">
        <v>25.68</v>
      </c>
      <c r="K441" s="47">
        <v>378.27</v>
      </c>
      <c r="L441" s="8" t="s">
        <v>26</v>
      </c>
      <c r="M441" s="8" t="s">
        <v>32</v>
      </c>
      <c r="N441" s="10" t="s">
        <v>28</v>
      </c>
    </row>
    <row r="442" spans="1:14" x14ac:dyDescent="0.25">
      <c r="A442" s="7" t="s">
        <v>595</v>
      </c>
      <c r="B442" s="16">
        <v>45298</v>
      </c>
      <c r="C442" s="8" t="str">
        <f>TRIM(Sales_Data!C442)</f>
        <v>Martinez, Sarah</v>
      </c>
      <c r="D442" s="8" t="str">
        <f>PROPER(TRIM(Sales_Data!D442))</f>
        <v>China</v>
      </c>
      <c r="E442" s="8" t="s">
        <v>48</v>
      </c>
      <c r="F442" s="8" t="s">
        <v>37</v>
      </c>
      <c r="G442" s="8">
        <v>20</v>
      </c>
      <c r="H442" s="9">
        <v>35.770000000000003</v>
      </c>
      <c r="I442" s="87">
        <f>PRODUCT(Table1[[#This Row],[Quantity]],Table1[[#This Row],[Unit_Price]])</f>
        <v>715.40000000000009</v>
      </c>
      <c r="J442" s="9">
        <v>39.229999999999997</v>
      </c>
      <c r="K442" s="47">
        <v>276.17</v>
      </c>
      <c r="L442" s="8" t="s">
        <v>19</v>
      </c>
      <c r="M442" s="8" t="s">
        <v>20</v>
      </c>
      <c r="N442" s="10" t="s">
        <v>58</v>
      </c>
    </row>
    <row r="443" spans="1:14" x14ac:dyDescent="0.25">
      <c r="A443" s="7" t="s">
        <v>596</v>
      </c>
      <c r="B443" s="16">
        <v>45444</v>
      </c>
      <c r="C443" s="8" t="str">
        <f>TRIM(Sales_Data!C443)</f>
        <v>Martinez, John</v>
      </c>
      <c r="D443" s="8" t="str">
        <f>PROPER(TRIM(Sales_Data!D443))</f>
        <v>Uk</v>
      </c>
      <c r="E443" s="8" t="s">
        <v>63</v>
      </c>
      <c r="F443" s="8" t="s">
        <v>37</v>
      </c>
      <c r="G443" s="8">
        <v>21</v>
      </c>
      <c r="H443" s="9">
        <v>22.48</v>
      </c>
      <c r="I443" s="87">
        <f>PRODUCT(Table1[[#This Row],[Quantity]],Table1[[#This Row],[Unit_Price]])</f>
        <v>472.08</v>
      </c>
      <c r="J443" s="9">
        <v>12.96</v>
      </c>
      <c r="K443" s="47">
        <v>191.37</v>
      </c>
      <c r="L443" s="8" t="s">
        <v>26</v>
      </c>
      <c r="M443" s="8" t="s">
        <v>20</v>
      </c>
      <c r="N443" s="10" t="s">
        <v>28</v>
      </c>
    </row>
    <row r="444" spans="1:14" x14ac:dyDescent="0.25">
      <c r="A444" s="7" t="s">
        <v>597</v>
      </c>
      <c r="B444" s="16">
        <v>45681</v>
      </c>
      <c r="C444" s="8" t="str">
        <f>TRIM(Sales_Data!C444)</f>
        <v>Johnson, Sophia</v>
      </c>
      <c r="D444" s="8" t="str">
        <f>PROPER(TRIM(Sales_Data!D444))</f>
        <v>China</v>
      </c>
      <c r="E444" s="8" t="s">
        <v>25</v>
      </c>
      <c r="F444" s="8" t="s">
        <v>18</v>
      </c>
      <c r="G444" s="8">
        <v>8</v>
      </c>
      <c r="H444" s="9">
        <v>27.53</v>
      </c>
      <c r="I444" s="87">
        <f>PRODUCT(Table1[[#This Row],[Quantity]],Table1[[#This Row],[Unit_Price]])</f>
        <v>220.24</v>
      </c>
      <c r="J444" s="9">
        <v>12.66</v>
      </c>
      <c r="K444" s="47">
        <v>63.58</v>
      </c>
      <c r="L444" s="8" t="s">
        <v>26</v>
      </c>
      <c r="M444" s="8" t="s">
        <v>27</v>
      </c>
      <c r="N444" s="10" t="s">
        <v>58</v>
      </c>
    </row>
    <row r="445" spans="1:14" x14ac:dyDescent="0.25">
      <c r="A445" s="7" t="s">
        <v>598</v>
      </c>
      <c r="B445" s="16">
        <v>45563</v>
      </c>
      <c r="C445" s="8" t="str">
        <f>TRIM(Sales_Data!C445)</f>
        <v>Miller, Emily</v>
      </c>
      <c r="D445" s="8" t="str">
        <f>PROPER(TRIM(Sales_Data!D445))</f>
        <v>India</v>
      </c>
      <c r="E445" s="8" t="s">
        <v>51</v>
      </c>
      <c r="F445" s="8" t="s">
        <v>52</v>
      </c>
      <c r="G445" s="8">
        <v>35</v>
      </c>
      <c r="H445" s="9">
        <v>39.65</v>
      </c>
      <c r="I445" s="87">
        <f>PRODUCT(Table1[[#This Row],[Quantity]],Table1[[#This Row],[Unit_Price]])</f>
        <v>1387.75</v>
      </c>
      <c r="J445" s="9">
        <v>60.95</v>
      </c>
      <c r="K445" s="47">
        <v>539.29999999999995</v>
      </c>
      <c r="L445" s="8" t="s">
        <v>38</v>
      </c>
      <c r="M445" s="8" t="s">
        <v>27</v>
      </c>
      <c r="N445" s="10" t="s">
        <v>58</v>
      </c>
    </row>
    <row r="446" spans="1:14" x14ac:dyDescent="0.25">
      <c r="A446" s="7" t="s">
        <v>599</v>
      </c>
      <c r="B446" s="16">
        <v>45340</v>
      </c>
      <c r="C446" s="8" t="str">
        <f>TRIM(Sales_Data!C446)</f>
        <v>Garcia, Laura</v>
      </c>
      <c r="D446" s="8" t="str">
        <f>PROPER(TRIM(Sales_Data!D446))</f>
        <v>South Africa</v>
      </c>
      <c r="E446" s="8" t="s">
        <v>60</v>
      </c>
      <c r="F446" s="8" t="s">
        <v>52</v>
      </c>
      <c r="G446" s="8">
        <v>50</v>
      </c>
      <c r="H446" s="9">
        <v>23.68</v>
      </c>
      <c r="I446" s="87">
        <f>PRODUCT(Table1[[#This Row],[Quantity]],Table1[[#This Row],[Unit_Price]])</f>
        <v>1184</v>
      </c>
      <c r="J446" s="9">
        <v>46.62</v>
      </c>
      <c r="K446" s="47">
        <v>362.38</v>
      </c>
      <c r="L446" s="8" t="s">
        <v>26</v>
      </c>
      <c r="M446" s="8" t="s">
        <v>27</v>
      </c>
      <c r="N446" s="10" t="s">
        <v>87</v>
      </c>
    </row>
    <row r="447" spans="1:14" x14ac:dyDescent="0.25">
      <c r="A447" s="7" t="s">
        <v>600</v>
      </c>
      <c r="B447" s="16">
        <v>45698</v>
      </c>
      <c r="C447" s="8" t="str">
        <f>TRIM(Sales_Data!C447)</f>
        <v>Davis, Michael</v>
      </c>
      <c r="D447" s="8" t="str">
        <f>PROPER(TRIM(Sales_Data!D447))</f>
        <v>Uae</v>
      </c>
      <c r="E447" s="8" t="s">
        <v>63</v>
      </c>
      <c r="F447" s="8" t="s">
        <v>37</v>
      </c>
      <c r="G447" s="8">
        <v>5</v>
      </c>
      <c r="H447" s="9">
        <v>19.809999999999999</v>
      </c>
      <c r="I447" s="87">
        <f>PRODUCT(Table1[[#This Row],[Quantity]],Table1[[#This Row],[Unit_Price]])</f>
        <v>99.05</v>
      </c>
      <c r="J447" s="9">
        <v>5.91</v>
      </c>
      <c r="K447" s="47">
        <v>29.39</v>
      </c>
      <c r="L447" s="8" t="s">
        <v>26</v>
      </c>
      <c r="M447" s="8" t="s">
        <v>32</v>
      </c>
      <c r="N447" s="10" t="s">
        <v>58</v>
      </c>
    </row>
    <row r="448" spans="1:14" x14ac:dyDescent="0.25">
      <c r="A448" s="7" t="s">
        <v>601</v>
      </c>
      <c r="B448" s="16">
        <v>45425</v>
      </c>
      <c r="C448" s="8" t="str">
        <f>TRIM(Sales_Data!C448)</f>
        <v>Williams, David</v>
      </c>
      <c r="D448" s="8" t="str">
        <f>PROPER(TRIM(Sales_Data!D448))</f>
        <v>Brazil</v>
      </c>
      <c r="E448" s="8" t="s">
        <v>63</v>
      </c>
      <c r="F448" s="8" t="s">
        <v>37</v>
      </c>
      <c r="G448" s="8">
        <v>27</v>
      </c>
      <c r="H448" s="9">
        <v>18.03</v>
      </c>
      <c r="I448" s="87">
        <f>PRODUCT(Table1[[#This Row],[Quantity]],Table1[[#This Row],[Unit_Price]])</f>
        <v>486.81000000000006</v>
      </c>
      <c r="J448" s="9">
        <v>36.630000000000003</v>
      </c>
      <c r="K448" s="47">
        <v>105.93</v>
      </c>
      <c r="L448" s="8" t="s">
        <v>19</v>
      </c>
      <c r="M448" s="8" t="s">
        <v>32</v>
      </c>
      <c r="N448" s="10" t="s">
        <v>39</v>
      </c>
    </row>
    <row r="449" spans="1:14" x14ac:dyDescent="0.25">
      <c r="A449" s="7" t="s">
        <v>602</v>
      </c>
      <c r="B449" s="16">
        <v>45386</v>
      </c>
      <c r="C449" s="8" t="str">
        <f>TRIM(Sales_Data!C449)</f>
        <v>Brown, Emily</v>
      </c>
      <c r="D449" s="8" t="str">
        <f>PROPER(TRIM(Sales_Data!D449))</f>
        <v>South Africa</v>
      </c>
      <c r="E449" s="8" t="s">
        <v>25</v>
      </c>
      <c r="F449" s="8" t="s">
        <v>18</v>
      </c>
      <c r="G449" s="8">
        <v>45</v>
      </c>
      <c r="H449" s="9">
        <v>26.93</v>
      </c>
      <c r="I449" s="87">
        <f>PRODUCT(Table1[[#This Row],[Quantity]],Table1[[#This Row],[Unit_Price]])</f>
        <v>1211.8499999999999</v>
      </c>
      <c r="J449" s="9">
        <v>62.85</v>
      </c>
      <c r="K449" s="47">
        <v>339</v>
      </c>
      <c r="L449" s="8" t="s">
        <v>26</v>
      </c>
      <c r="M449" s="8" t="s">
        <v>27</v>
      </c>
      <c r="N449" s="10" t="s">
        <v>87</v>
      </c>
    </row>
    <row r="450" spans="1:14" x14ac:dyDescent="0.25">
      <c r="A450" s="7" t="s">
        <v>603</v>
      </c>
      <c r="B450" s="16">
        <v>45455</v>
      </c>
      <c r="C450" s="8" t="str">
        <f>TRIM(Sales_Data!C450)</f>
        <v>Davis, Daniel</v>
      </c>
      <c r="D450" s="8" t="str">
        <f>PROPER(TRIM(Sales_Data!D450))</f>
        <v>Italy</v>
      </c>
      <c r="E450" s="8" t="s">
        <v>48</v>
      </c>
      <c r="F450" s="8" t="s">
        <v>37</v>
      </c>
      <c r="G450" s="8">
        <v>40</v>
      </c>
      <c r="H450" s="9">
        <v>32.54</v>
      </c>
      <c r="I450" s="87">
        <f>PRODUCT(Table1[[#This Row],[Quantity]],Table1[[#This Row],[Unit_Price]])</f>
        <v>1301.5999999999999</v>
      </c>
      <c r="J450" s="9">
        <v>47.06</v>
      </c>
      <c r="K450" s="47">
        <v>454.54</v>
      </c>
      <c r="L450" s="8" t="s">
        <v>19</v>
      </c>
      <c r="M450" s="8" t="s">
        <v>27</v>
      </c>
      <c r="N450" s="10" t="s">
        <v>28</v>
      </c>
    </row>
    <row r="451" spans="1:14" x14ac:dyDescent="0.25">
      <c r="A451" s="7" t="s">
        <v>604</v>
      </c>
      <c r="B451" s="16">
        <v>45790</v>
      </c>
      <c r="C451" s="8" t="str">
        <f>TRIM(Sales_Data!C451)</f>
        <v>Miller, Michael</v>
      </c>
      <c r="D451" s="8" t="str">
        <f>PROPER(TRIM(Sales_Data!D451))</f>
        <v>India</v>
      </c>
      <c r="E451" s="8" t="s">
        <v>51</v>
      </c>
      <c r="F451" s="8" t="s">
        <v>52</v>
      </c>
      <c r="G451" s="8">
        <v>26</v>
      </c>
      <c r="H451" s="9">
        <v>35.32</v>
      </c>
      <c r="I451" s="87">
        <f>PRODUCT(Table1[[#This Row],[Quantity]],Table1[[#This Row],[Unit_Price]])</f>
        <v>918.32</v>
      </c>
      <c r="J451" s="9">
        <v>60.02</v>
      </c>
      <c r="K451" s="47">
        <v>273.3</v>
      </c>
      <c r="L451" s="8" t="s">
        <v>38</v>
      </c>
      <c r="M451" s="8" t="s">
        <v>20</v>
      </c>
      <c r="N451" s="10" t="s">
        <v>58</v>
      </c>
    </row>
    <row r="452" spans="1:14" x14ac:dyDescent="0.25">
      <c r="A452" s="7" t="s">
        <v>605</v>
      </c>
      <c r="B452" s="16">
        <v>45681</v>
      </c>
      <c r="C452" s="8" t="str">
        <f>TRIM(Sales_Data!C452)</f>
        <v>Hernandez, Sophia</v>
      </c>
      <c r="D452" s="8" t="str">
        <f>PROPER(TRIM(Sales_Data!D452))</f>
        <v>Brazil</v>
      </c>
      <c r="E452" s="8" t="s">
        <v>63</v>
      </c>
      <c r="F452" s="8" t="s">
        <v>37</v>
      </c>
      <c r="G452" s="8">
        <v>16</v>
      </c>
      <c r="H452" s="9">
        <v>16.440000000000001</v>
      </c>
      <c r="I452" s="87">
        <f>PRODUCT(Table1[[#This Row],[Quantity]],Table1[[#This Row],[Unit_Price]])</f>
        <v>263.04000000000002</v>
      </c>
      <c r="J452" s="9">
        <v>17.64</v>
      </c>
      <c r="K452" s="47">
        <v>41.4</v>
      </c>
      <c r="L452" s="8" t="s">
        <v>19</v>
      </c>
      <c r="M452" s="8" t="s">
        <v>20</v>
      </c>
      <c r="N452" s="10" t="s">
        <v>39</v>
      </c>
    </row>
    <row r="453" spans="1:14" x14ac:dyDescent="0.25">
      <c r="A453" s="7" t="s">
        <v>606</v>
      </c>
      <c r="B453" s="16">
        <v>45731</v>
      </c>
      <c r="C453" s="8" t="str">
        <f>TRIM(Sales_Data!C453)</f>
        <v>Miller, Emily</v>
      </c>
      <c r="D453" s="8" t="str">
        <f>PROPER(TRIM(Sales_Data!D453))</f>
        <v>France</v>
      </c>
      <c r="E453" s="8" t="s">
        <v>83</v>
      </c>
      <c r="F453" s="8" t="s">
        <v>52</v>
      </c>
      <c r="G453" s="8">
        <v>39</v>
      </c>
      <c r="H453" s="9">
        <v>46.27</v>
      </c>
      <c r="I453" s="87">
        <f>PRODUCT(Table1[[#This Row],[Quantity]],Table1[[#This Row],[Unit_Price]])</f>
        <v>1804.5300000000002</v>
      </c>
      <c r="J453" s="9">
        <v>38.57</v>
      </c>
      <c r="K453" s="47">
        <v>673.96</v>
      </c>
      <c r="L453" s="8" t="s">
        <v>38</v>
      </c>
      <c r="M453" s="8" t="s">
        <v>32</v>
      </c>
      <c r="N453" s="10" t="s">
        <v>28</v>
      </c>
    </row>
    <row r="454" spans="1:14" x14ac:dyDescent="0.25">
      <c r="A454" s="7" t="s">
        <v>607</v>
      </c>
      <c r="B454" s="16">
        <v>45584</v>
      </c>
      <c r="C454" s="8" t="str">
        <f>TRIM(Sales_Data!C454)</f>
        <v>Williams, Michael</v>
      </c>
      <c r="D454" s="8" t="str">
        <f>PROPER(TRIM(Sales_Data!D454))</f>
        <v>Uk</v>
      </c>
      <c r="E454" s="8" t="s">
        <v>56</v>
      </c>
      <c r="F454" s="8" t="s">
        <v>57</v>
      </c>
      <c r="G454" s="8">
        <v>15</v>
      </c>
      <c r="H454" s="9">
        <v>33.22</v>
      </c>
      <c r="I454" s="87">
        <f>PRODUCT(Table1[[#This Row],[Quantity]],Table1[[#This Row],[Unit_Price]])</f>
        <v>498.29999999999995</v>
      </c>
      <c r="J454" s="9">
        <v>36.85</v>
      </c>
      <c r="K454" s="47">
        <v>86.45</v>
      </c>
      <c r="L454" s="8" t="s">
        <v>38</v>
      </c>
      <c r="M454" s="8" t="s">
        <v>32</v>
      </c>
      <c r="N454" s="10" t="s">
        <v>28</v>
      </c>
    </row>
    <row r="455" spans="1:14" x14ac:dyDescent="0.25">
      <c r="A455" s="7" t="s">
        <v>608</v>
      </c>
      <c r="B455" s="16">
        <v>45459</v>
      </c>
      <c r="C455" s="8" t="str">
        <f>TRIM(Sales_Data!C455)</f>
        <v>Miller, Sarah</v>
      </c>
      <c r="D455" s="8" t="str">
        <f>PROPER(TRIM(Sales_Data!D455))</f>
        <v>South Africa</v>
      </c>
      <c r="E455" s="8" t="s">
        <v>43</v>
      </c>
      <c r="F455" s="8" t="s">
        <v>44</v>
      </c>
      <c r="G455" s="8">
        <v>35</v>
      </c>
      <c r="H455" s="9">
        <v>71.02</v>
      </c>
      <c r="I455" s="87">
        <f>PRODUCT(Table1[[#This Row],[Quantity]],Table1[[#This Row],[Unit_Price]])</f>
        <v>2485.6999999999998</v>
      </c>
      <c r="J455" s="9">
        <v>137.22</v>
      </c>
      <c r="K455" s="47">
        <v>948.48</v>
      </c>
      <c r="L455" s="8" t="s">
        <v>26</v>
      </c>
      <c r="M455" s="8" t="s">
        <v>27</v>
      </c>
      <c r="N455" s="10" t="s">
        <v>87</v>
      </c>
    </row>
    <row r="456" spans="1:14" x14ac:dyDescent="0.25">
      <c r="A456" s="7" t="s">
        <v>609</v>
      </c>
      <c r="B456" s="16">
        <v>45555</v>
      </c>
      <c r="C456" s="8" t="str">
        <f>TRIM(Sales_Data!C456)</f>
        <v>Brown, Michael</v>
      </c>
      <c r="D456" s="8" t="str">
        <f>PROPER(TRIM(Sales_Data!D456))</f>
        <v>Uae</v>
      </c>
      <c r="E456" s="8" t="s">
        <v>83</v>
      </c>
      <c r="F456" s="8" t="s">
        <v>52</v>
      </c>
      <c r="G456" s="8">
        <v>2</v>
      </c>
      <c r="H456" s="9">
        <v>42.31</v>
      </c>
      <c r="I456" s="87">
        <f>PRODUCT(Table1[[#This Row],[Quantity]],Table1[[#This Row],[Unit_Price]])</f>
        <v>84.62</v>
      </c>
      <c r="J456" s="9">
        <v>4.28</v>
      </c>
      <c r="K456" s="47">
        <v>24.34</v>
      </c>
      <c r="L456" s="8" t="s">
        <v>26</v>
      </c>
      <c r="M456" s="8" t="s">
        <v>27</v>
      </c>
      <c r="N456" s="10" t="s">
        <v>58</v>
      </c>
    </row>
    <row r="457" spans="1:14" x14ac:dyDescent="0.25">
      <c r="A457" s="7" t="s">
        <v>610</v>
      </c>
      <c r="B457" s="16">
        <v>45771</v>
      </c>
      <c r="C457" s="8" t="str">
        <f>TRIM(Sales_Data!C457)</f>
        <v>Johnson, Sarah</v>
      </c>
      <c r="D457" s="8" t="str">
        <f>PROPER(TRIM(Sales_Data!D457))</f>
        <v>Singapore</v>
      </c>
      <c r="E457" s="8" t="s">
        <v>56</v>
      </c>
      <c r="F457" s="8" t="s">
        <v>57</v>
      </c>
      <c r="G457" s="8">
        <v>8</v>
      </c>
      <c r="H457" s="9">
        <v>41.36</v>
      </c>
      <c r="I457" s="87">
        <f>PRODUCT(Table1[[#This Row],[Quantity]],Table1[[#This Row],[Unit_Price]])</f>
        <v>330.88</v>
      </c>
      <c r="J457" s="9">
        <v>11.78</v>
      </c>
      <c r="K457" s="47">
        <v>119.1</v>
      </c>
      <c r="L457" s="8" t="s">
        <v>19</v>
      </c>
      <c r="M457" s="8" t="s">
        <v>20</v>
      </c>
      <c r="N457" s="10" t="s">
        <v>58</v>
      </c>
    </row>
    <row r="458" spans="1:14" x14ac:dyDescent="0.25">
      <c r="A458" s="7" t="s">
        <v>611</v>
      </c>
      <c r="B458" s="16">
        <v>45551</v>
      </c>
      <c r="C458" s="8" t="str">
        <f>TRIM(Sales_Data!C458)</f>
        <v>Martinez, Sarah</v>
      </c>
      <c r="D458" s="8" t="str">
        <f>PROPER(TRIM(Sales_Data!D458))</f>
        <v>Canada</v>
      </c>
      <c r="E458" s="8" t="s">
        <v>25</v>
      </c>
      <c r="F458" s="8" t="s">
        <v>18</v>
      </c>
      <c r="G458" s="8">
        <v>3</v>
      </c>
      <c r="H458" s="9">
        <v>31.39</v>
      </c>
      <c r="I458" s="87">
        <f>PRODUCT(Table1[[#This Row],[Quantity]],Table1[[#This Row],[Unit_Price]])</f>
        <v>94.17</v>
      </c>
      <c r="J458" s="9">
        <v>2.52</v>
      </c>
      <c r="K458" s="47">
        <v>37.65</v>
      </c>
      <c r="L458" s="8" t="s">
        <v>38</v>
      </c>
      <c r="M458" s="8" t="s">
        <v>32</v>
      </c>
      <c r="N458" s="10" t="s">
        <v>21</v>
      </c>
    </row>
    <row r="459" spans="1:14" x14ac:dyDescent="0.25">
      <c r="A459" s="7" t="s">
        <v>612</v>
      </c>
      <c r="B459" s="16">
        <v>45660</v>
      </c>
      <c r="C459" s="8" t="str">
        <f>TRIM(Sales_Data!C459)</f>
        <v>Johnson, Daniel</v>
      </c>
      <c r="D459" s="8" t="str">
        <f>PROPER(TRIM(Sales_Data!D459))</f>
        <v>France</v>
      </c>
      <c r="E459" s="8" t="s">
        <v>51</v>
      </c>
      <c r="F459" s="8" t="s">
        <v>52</v>
      </c>
      <c r="G459" s="8">
        <v>48</v>
      </c>
      <c r="H459" s="9">
        <v>33.61</v>
      </c>
      <c r="I459" s="87">
        <f>PRODUCT(Table1[[#This Row],[Quantity]],Table1[[#This Row],[Unit_Price]])</f>
        <v>1613.28</v>
      </c>
      <c r="J459" s="9">
        <v>109.92</v>
      </c>
      <c r="K459" s="47">
        <v>423.36</v>
      </c>
      <c r="L459" s="8" t="s">
        <v>19</v>
      </c>
      <c r="M459" s="8" t="s">
        <v>32</v>
      </c>
      <c r="N459" s="10" t="s">
        <v>28</v>
      </c>
    </row>
    <row r="460" spans="1:14" x14ac:dyDescent="0.25">
      <c r="A460" s="7" t="s">
        <v>613</v>
      </c>
      <c r="B460" s="16">
        <v>45328</v>
      </c>
      <c r="C460" s="8" t="str">
        <f>TRIM(Sales_Data!C460)</f>
        <v>Garcia, Michael</v>
      </c>
      <c r="D460" s="8" t="str">
        <f>PROPER(TRIM(Sales_Data!D460))</f>
        <v>Germany</v>
      </c>
      <c r="E460" s="8" t="s">
        <v>36</v>
      </c>
      <c r="F460" s="8" t="s">
        <v>37</v>
      </c>
      <c r="G460" s="8">
        <v>9</v>
      </c>
      <c r="H460" s="9">
        <v>50.29</v>
      </c>
      <c r="I460" s="87">
        <f>PRODUCT(Table1[[#This Row],[Quantity]],Table1[[#This Row],[Unit_Price]])</f>
        <v>452.61</v>
      </c>
      <c r="J460" s="9">
        <v>32.93</v>
      </c>
      <c r="K460" s="47">
        <v>131.68</v>
      </c>
      <c r="L460" s="8" t="s">
        <v>26</v>
      </c>
      <c r="M460" s="8" t="s">
        <v>32</v>
      </c>
      <c r="N460" s="10" t="s">
        <v>28</v>
      </c>
    </row>
    <row r="461" spans="1:14" x14ac:dyDescent="0.25">
      <c r="A461" s="7" t="s">
        <v>614</v>
      </c>
      <c r="B461" s="16">
        <v>45585</v>
      </c>
      <c r="C461" s="8" t="str">
        <f>TRIM(Sales_Data!C461)</f>
        <v>Johnson, Daniel</v>
      </c>
      <c r="D461" s="8" t="str">
        <f>PROPER(TRIM(Sales_Data!D461))</f>
        <v>Usa</v>
      </c>
      <c r="E461" s="8" t="s">
        <v>51</v>
      </c>
      <c r="F461" s="8" t="s">
        <v>52</v>
      </c>
      <c r="G461" s="8">
        <v>12</v>
      </c>
      <c r="H461" s="9">
        <v>34.96</v>
      </c>
      <c r="I461" s="87">
        <f>PRODUCT(Table1[[#This Row],[Quantity]],Table1[[#This Row],[Unit_Price]])</f>
        <v>419.52</v>
      </c>
      <c r="J461" s="9">
        <v>15.43</v>
      </c>
      <c r="K461" s="47">
        <v>134.09</v>
      </c>
      <c r="L461" s="8" t="s">
        <v>26</v>
      </c>
      <c r="M461" s="8" t="s">
        <v>32</v>
      </c>
      <c r="N461" s="10" t="s">
        <v>21</v>
      </c>
    </row>
    <row r="462" spans="1:14" x14ac:dyDescent="0.25">
      <c r="A462" s="7" t="s">
        <v>615</v>
      </c>
      <c r="B462" s="16">
        <v>45710</v>
      </c>
      <c r="C462" s="8" t="str">
        <f>TRIM(Sales_Data!C462)</f>
        <v>Jones, Emma</v>
      </c>
      <c r="D462" s="8" t="str">
        <f>PROPER(TRIM(Sales_Data!D462))</f>
        <v>Australia</v>
      </c>
      <c r="E462" s="8" t="s">
        <v>17</v>
      </c>
      <c r="F462" s="8" t="s">
        <v>18</v>
      </c>
      <c r="G462" s="8">
        <v>29</v>
      </c>
      <c r="H462" s="9">
        <v>52.72</v>
      </c>
      <c r="I462" s="87">
        <f>PRODUCT(Table1[[#This Row],[Quantity]],Table1[[#This Row],[Unit_Price]])</f>
        <v>1528.8799999999999</v>
      </c>
      <c r="J462" s="9">
        <v>96.91</v>
      </c>
      <c r="K462" s="47">
        <v>416.97</v>
      </c>
      <c r="L462" s="8" t="s">
        <v>26</v>
      </c>
      <c r="M462" s="8" t="s">
        <v>32</v>
      </c>
      <c r="N462" s="10" t="s">
        <v>130</v>
      </c>
    </row>
    <row r="463" spans="1:14" x14ac:dyDescent="0.25">
      <c r="A463" s="7" t="s">
        <v>616</v>
      </c>
      <c r="B463" s="16">
        <v>45692</v>
      </c>
      <c r="C463" s="8" t="str">
        <f>TRIM(Sales_Data!C463)</f>
        <v>Garcia, Daniel</v>
      </c>
      <c r="D463" s="8" t="str">
        <f>PROPER(TRIM(Sales_Data!D463))</f>
        <v>Canada</v>
      </c>
      <c r="E463" s="8" t="s">
        <v>60</v>
      </c>
      <c r="F463" s="8" t="s">
        <v>52</v>
      </c>
      <c r="G463" s="8">
        <v>39</v>
      </c>
      <c r="H463" s="9">
        <v>22.18</v>
      </c>
      <c r="I463" s="87">
        <f>PRODUCT(Table1[[#This Row],[Quantity]],Table1[[#This Row],[Unit_Price]])</f>
        <v>865.02</v>
      </c>
      <c r="J463" s="9">
        <v>26.23</v>
      </c>
      <c r="K463" s="47">
        <v>234.29</v>
      </c>
      <c r="L463" s="8" t="s">
        <v>19</v>
      </c>
      <c r="M463" s="8" t="s">
        <v>32</v>
      </c>
      <c r="N463" s="10" t="s">
        <v>21</v>
      </c>
    </row>
    <row r="464" spans="1:14" x14ac:dyDescent="0.25">
      <c r="A464" s="7" t="s">
        <v>617</v>
      </c>
      <c r="B464" s="16">
        <v>45716</v>
      </c>
      <c r="C464" s="8" t="str">
        <f>TRIM(Sales_Data!C464)</f>
        <v>Miller, Emma</v>
      </c>
      <c r="D464" s="8" t="str">
        <f>PROPER(TRIM(Sales_Data!D464))</f>
        <v>Singapore</v>
      </c>
      <c r="E464" s="8" t="s">
        <v>60</v>
      </c>
      <c r="F464" s="8" t="s">
        <v>52</v>
      </c>
      <c r="G464" s="8">
        <v>11</v>
      </c>
      <c r="H464" s="9">
        <v>21.4</v>
      </c>
      <c r="I464" s="87">
        <f>PRODUCT(Table1[[#This Row],[Quantity]],Table1[[#This Row],[Unit_Price]])</f>
        <v>235.39999999999998</v>
      </c>
      <c r="J464" s="9">
        <v>11.64</v>
      </c>
      <c r="K464" s="47">
        <v>53.26</v>
      </c>
      <c r="L464" s="8" t="s">
        <v>19</v>
      </c>
      <c r="M464" s="8" t="s">
        <v>32</v>
      </c>
      <c r="N464" s="10" t="s">
        <v>58</v>
      </c>
    </row>
    <row r="465" spans="1:14" x14ac:dyDescent="0.25">
      <c r="A465" s="7" t="s">
        <v>618</v>
      </c>
      <c r="B465" s="16">
        <v>45397</v>
      </c>
      <c r="C465" s="8" t="str">
        <f>TRIM(Sales_Data!C465)</f>
        <v>Brown, John</v>
      </c>
      <c r="D465" s="8" t="str">
        <f>PROPER(TRIM(Sales_Data!D465))</f>
        <v>Singapore</v>
      </c>
      <c r="E465" s="8" t="s">
        <v>56</v>
      </c>
      <c r="F465" s="8" t="s">
        <v>57</v>
      </c>
      <c r="G465" s="8">
        <v>21</v>
      </c>
      <c r="H465" s="9">
        <v>36.26</v>
      </c>
      <c r="I465" s="87">
        <f>PRODUCT(Table1[[#This Row],[Quantity]],Table1[[#This Row],[Unit_Price]])</f>
        <v>761.45999999999992</v>
      </c>
      <c r="J465" s="9">
        <v>56.99</v>
      </c>
      <c r="K465" s="47">
        <v>179.47</v>
      </c>
      <c r="L465" s="8" t="s">
        <v>26</v>
      </c>
      <c r="M465" s="8" t="s">
        <v>20</v>
      </c>
      <c r="N465" s="10" t="s">
        <v>58</v>
      </c>
    </row>
    <row r="466" spans="1:14" x14ac:dyDescent="0.25">
      <c r="A466" s="7" t="s">
        <v>619</v>
      </c>
      <c r="B466" s="16">
        <v>45582</v>
      </c>
      <c r="C466" s="8" t="str">
        <f>TRIM(Sales_Data!C466)</f>
        <v>Miller, Sarah</v>
      </c>
      <c r="D466" s="8" t="str">
        <f>PROPER(TRIM(Sales_Data!D466))</f>
        <v>China</v>
      </c>
      <c r="E466" s="8" t="s">
        <v>51</v>
      </c>
      <c r="F466" s="8" t="s">
        <v>52</v>
      </c>
      <c r="G466" s="8">
        <v>39</v>
      </c>
      <c r="H466" s="9">
        <v>35.409999999999997</v>
      </c>
      <c r="I466" s="87">
        <f>PRODUCT(Table1[[#This Row],[Quantity]],Table1[[#This Row],[Unit_Price]])</f>
        <v>1380.9899999999998</v>
      </c>
      <c r="J466" s="9">
        <v>84.56</v>
      </c>
      <c r="K466" s="47">
        <v>418.93</v>
      </c>
      <c r="L466" s="8" t="s">
        <v>26</v>
      </c>
      <c r="M466" s="8" t="s">
        <v>20</v>
      </c>
      <c r="N466" s="10" t="s">
        <v>58</v>
      </c>
    </row>
    <row r="467" spans="1:14" x14ac:dyDescent="0.25">
      <c r="A467" s="7" t="s">
        <v>620</v>
      </c>
      <c r="B467" s="16">
        <v>45396</v>
      </c>
      <c r="C467" s="8" t="str">
        <f>TRIM(Sales_Data!C467)</f>
        <v>Smith, Sophia</v>
      </c>
      <c r="D467" s="8" t="str">
        <f>PROPER(TRIM(Sales_Data!D467))</f>
        <v>China</v>
      </c>
      <c r="E467" s="8" t="s">
        <v>25</v>
      </c>
      <c r="F467" s="8" t="s">
        <v>18</v>
      </c>
      <c r="G467" s="8">
        <v>13</v>
      </c>
      <c r="H467" s="9">
        <v>27.35</v>
      </c>
      <c r="I467" s="87">
        <f>PRODUCT(Table1[[#This Row],[Quantity]],Table1[[#This Row],[Unit_Price]])</f>
        <v>355.55</v>
      </c>
      <c r="J467" s="9">
        <v>26.23</v>
      </c>
      <c r="K467" s="47">
        <v>95.32</v>
      </c>
      <c r="L467" s="8" t="s">
        <v>26</v>
      </c>
      <c r="M467" s="8" t="s">
        <v>32</v>
      </c>
      <c r="N467" s="10" t="s">
        <v>58</v>
      </c>
    </row>
    <row r="468" spans="1:14" x14ac:dyDescent="0.25">
      <c r="A468" s="7" t="s">
        <v>621</v>
      </c>
      <c r="B468" s="16">
        <v>45321</v>
      </c>
      <c r="C468" s="8" t="str">
        <f>TRIM(Sales_Data!C468)</f>
        <v>Johnson, Sarah</v>
      </c>
      <c r="D468" s="8" t="str">
        <f>PROPER(TRIM(Sales_Data!D468))</f>
        <v>Brazil</v>
      </c>
      <c r="E468" s="8" t="s">
        <v>63</v>
      </c>
      <c r="F468" s="8" t="s">
        <v>37</v>
      </c>
      <c r="G468" s="8">
        <v>40</v>
      </c>
      <c r="H468" s="9">
        <v>21.08</v>
      </c>
      <c r="I468" s="87">
        <f>PRODUCT(Table1[[#This Row],[Quantity]],Table1[[#This Row],[Unit_Price]])</f>
        <v>843.19999999999993</v>
      </c>
      <c r="J468" s="9">
        <v>66.81</v>
      </c>
      <c r="K468" s="47">
        <v>266.39</v>
      </c>
      <c r="L468" s="8" t="s">
        <v>38</v>
      </c>
      <c r="M468" s="8" t="s">
        <v>27</v>
      </c>
      <c r="N468" s="10" t="s">
        <v>39</v>
      </c>
    </row>
    <row r="469" spans="1:14" x14ac:dyDescent="0.25">
      <c r="A469" s="7" t="s">
        <v>622</v>
      </c>
      <c r="B469" s="16">
        <v>45568</v>
      </c>
      <c r="C469" s="8" t="str">
        <f>TRIM(Sales_Data!C469)</f>
        <v>Jones, Emma</v>
      </c>
      <c r="D469" s="8" t="str">
        <f>PROPER(TRIM(Sales_Data!D469))</f>
        <v>Mexico</v>
      </c>
      <c r="E469" s="8" t="s">
        <v>60</v>
      </c>
      <c r="F469" s="8" t="s">
        <v>52</v>
      </c>
      <c r="G469" s="8">
        <v>47</v>
      </c>
      <c r="H469" s="9">
        <v>27.54</v>
      </c>
      <c r="I469" s="87">
        <f>PRODUCT(Table1[[#This Row],[Quantity]],Table1[[#This Row],[Unit_Price]])</f>
        <v>1294.3799999999999</v>
      </c>
      <c r="J469" s="9">
        <v>62.78</v>
      </c>
      <c r="K469" s="47">
        <v>503.1</v>
      </c>
      <c r="L469" s="8" t="s">
        <v>19</v>
      </c>
      <c r="M469" s="8" t="s">
        <v>20</v>
      </c>
      <c r="N469" s="10" t="s">
        <v>21</v>
      </c>
    </row>
    <row r="470" spans="1:14" x14ac:dyDescent="0.25">
      <c r="A470" s="7" t="s">
        <v>623</v>
      </c>
      <c r="B470" s="16">
        <v>45356</v>
      </c>
      <c r="C470" s="8" t="str">
        <f>TRIM(Sales_Data!C470)</f>
        <v>Miller, Daniel</v>
      </c>
      <c r="D470" s="8" t="str">
        <f>PROPER(TRIM(Sales_Data!D470))</f>
        <v>India</v>
      </c>
      <c r="E470" s="8" t="s">
        <v>36</v>
      </c>
      <c r="F470" s="8" t="s">
        <v>37</v>
      </c>
      <c r="G470" s="8">
        <v>16</v>
      </c>
      <c r="H470" s="9">
        <v>45.08</v>
      </c>
      <c r="I470" s="87">
        <f>PRODUCT(Table1[[#This Row],[Quantity]],Table1[[#This Row],[Unit_Price]])</f>
        <v>721.28</v>
      </c>
      <c r="J470" s="9">
        <v>21.61</v>
      </c>
      <c r="K470" s="47">
        <v>187.67</v>
      </c>
      <c r="L470" s="8" t="s">
        <v>26</v>
      </c>
      <c r="M470" s="8" t="s">
        <v>32</v>
      </c>
      <c r="N470" s="10" t="s">
        <v>58</v>
      </c>
    </row>
    <row r="471" spans="1:14" x14ac:dyDescent="0.25">
      <c r="A471" s="7" t="s">
        <v>624</v>
      </c>
      <c r="B471" s="16">
        <v>45764</v>
      </c>
      <c r="C471" s="8" t="str">
        <f>TRIM(Sales_Data!C471)</f>
        <v>Garcia, Emily</v>
      </c>
      <c r="D471" s="8" t="str">
        <f>PROPER(TRIM(Sales_Data!D471))</f>
        <v>Uae</v>
      </c>
      <c r="E471" s="8" t="s">
        <v>51</v>
      </c>
      <c r="F471" s="8" t="s">
        <v>52</v>
      </c>
      <c r="G471" s="8">
        <v>37</v>
      </c>
      <c r="H471" s="9">
        <v>33.200000000000003</v>
      </c>
      <c r="I471" s="87">
        <f>PRODUCT(Table1[[#This Row],[Quantity]],Table1[[#This Row],[Unit_Price]])</f>
        <v>1228.4000000000001</v>
      </c>
      <c r="J471" s="9">
        <v>41.34</v>
      </c>
      <c r="K471" s="47">
        <v>354.56</v>
      </c>
      <c r="L471" s="8" t="s">
        <v>38</v>
      </c>
      <c r="M471" s="8" t="s">
        <v>27</v>
      </c>
      <c r="N471" s="10" t="s">
        <v>58</v>
      </c>
    </row>
    <row r="472" spans="1:14" x14ac:dyDescent="0.25">
      <c r="A472" s="7" t="s">
        <v>625</v>
      </c>
      <c r="B472" s="16">
        <v>45638</v>
      </c>
      <c r="C472" s="8" t="str">
        <f>TRIM(Sales_Data!C472)</f>
        <v>Smith, Emily</v>
      </c>
      <c r="D472" s="8" t="str">
        <f>PROPER(TRIM(Sales_Data!D472))</f>
        <v>Uae</v>
      </c>
      <c r="E472" s="8" t="s">
        <v>25</v>
      </c>
      <c r="F472" s="8" t="s">
        <v>18</v>
      </c>
      <c r="G472" s="8">
        <v>8</v>
      </c>
      <c r="H472" s="9">
        <v>27.31</v>
      </c>
      <c r="I472" s="87">
        <f>PRODUCT(Table1[[#This Row],[Quantity]],Table1[[#This Row],[Unit_Price]])</f>
        <v>218.48</v>
      </c>
      <c r="J472" s="9">
        <v>9.51</v>
      </c>
      <c r="K472" s="47">
        <v>64.97</v>
      </c>
      <c r="L472" s="8" t="s">
        <v>38</v>
      </c>
      <c r="M472" s="8" t="s">
        <v>20</v>
      </c>
      <c r="N472" s="10" t="s">
        <v>58</v>
      </c>
    </row>
    <row r="473" spans="1:14" x14ac:dyDescent="0.25">
      <c r="A473" s="7" t="s">
        <v>626</v>
      </c>
      <c r="B473" s="16">
        <v>45405</v>
      </c>
      <c r="C473" s="8" t="str">
        <f>TRIM(Sales_Data!C473)</f>
        <v>Martinez, Michael</v>
      </c>
      <c r="D473" s="8" t="str">
        <f>PROPER(TRIM(Sales_Data!D473))</f>
        <v>South Africa</v>
      </c>
      <c r="E473" s="8" t="s">
        <v>25</v>
      </c>
      <c r="F473" s="8" t="s">
        <v>18</v>
      </c>
      <c r="G473" s="8">
        <v>19</v>
      </c>
      <c r="H473" s="9">
        <v>29.14</v>
      </c>
      <c r="I473" s="87">
        <f>PRODUCT(Table1[[#This Row],[Quantity]],Table1[[#This Row],[Unit_Price]])</f>
        <v>553.66</v>
      </c>
      <c r="J473" s="9">
        <v>19.7</v>
      </c>
      <c r="K473" s="47">
        <v>191.96</v>
      </c>
      <c r="L473" s="8" t="s">
        <v>19</v>
      </c>
      <c r="M473" s="8" t="s">
        <v>27</v>
      </c>
      <c r="N473" s="10" t="s">
        <v>87</v>
      </c>
    </row>
    <row r="474" spans="1:14" x14ac:dyDescent="0.25">
      <c r="A474" s="7" t="s">
        <v>627</v>
      </c>
      <c r="B474" s="16">
        <v>45563</v>
      </c>
      <c r="C474" s="8" t="str">
        <f>TRIM(Sales_Data!C474)</f>
        <v>Williams, James</v>
      </c>
      <c r="D474" s="8" t="str">
        <f>PROPER(TRIM(Sales_Data!D474))</f>
        <v>Singapore</v>
      </c>
      <c r="E474" s="8" t="s">
        <v>17</v>
      </c>
      <c r="F474" s="8" t="s">
        <v>18</v>
      </c>
      <c r="G474" s="8">
        <v>6</v>
      </c>
      <c r="H474" s="9">
        <v>55.41</v>
      </c>
      <c r="I474" s="87">
        <f>PRODUCT(Table1[[#This Row],[Quantity]],Table1[[#This Row],[Unit_Price]])</f>
        <v>332.46</v>
      </c>
      <c r="J474" s="9">
        <v>15.57</v>
      </c>
      <c r="K474" s="47">
        <v>106.89</v>
      </c>
      <c r="L474" s="8" t="s">
        <v>19</v>
      </c>
      <c r="M474" s="8" t="s">
        <v>20</v>
      </c>
      <c r="N474" s="10" t="s">
        <v>58</v>
      </c>
    </row>
    <row r="475" spans="1:14" x14ac:dyDescent="0.25">
      <c r="A475" s="7" t="s">
        <v>628</v>
      </c>
      <c r="B475" s="16">
        <v>45763</v>
      </c>
      <c r="C475" s="8" t="str">
        <f>TRIM(Sales_Data!C475)</f>
        <v>Hernandez, Laura</v>
      </c>
      <c r="D475" s="8" t="str">
        <f>PROPER(TRIM(Sales_Data!D475))</f>
        <v>Uae</v>
      </c>
      <c r="E475" s="8" t="s">
        <v>25</v>
      </c>
      <c r="F475" s="8" t="s">
        <v>18</v>
      </c>
      <c r="G475" s="8">
        <v>48</v>
      </c>
      <c r="H475" s="9">
        <v>29.07</v>
      </c>
      <c r="I475" s="87">
        <f>PRODUCT(Table1[[#This Row],[Quantity]],Table1[[#This Row],[Unit_Price]])</f>
        <v>1395.3600000000001</v>
      </c>
      <c r="J475" s="9">
        <v>70.38</v>
      </c>
      <c r="K475" s="47">
        <v>460.98</v>
      </c>
      <c r="L475" s="8" t="s">
        <v>26</v>
      </c>
      <c r="M475" s="8" t="s">
        <v>32</v>
      </c>
      <c r="N475" s="10" t="s">
        <v>58</v>
      </c>
    </row>
    <row r="476" spans="1:14" x14ac:dyDescent="0.25">
      <c r="A476" s="7" t="s">
        <v>629</v>
      </c>
      <c r="B476" s="16">
        <v>45419</v>
      </c>
      <c r="C476" s="8" t="str">
        <f>TRIM(Sales_Data!C476)</f>
        <v>Hernandez, Michael</v>
      </c>
      <c r="D476" s="8" t="str">
        <f>PROPER(TRIM(Sales_Data!D476))</f>
        <v>Brazil</v>
      </c>
      <c r="E476" s="8" t="s">
        <v>51</v>
      </c>
      <c r="F476" s="8" t="s">
        <v>52</v>
      </c>
      <c r="G476" s="8">
        <v>26</v>
      </c>
      <c r="H476" s="9">
        <v>27.17</v>
      </c>
      <c r="I476" s="87">
        <f>PRODUCT(Table1[[#This Row],[Quantity]],Table1[[#This Row],[Unit_Price]])</f>
        <v>706.42000000000007</v>
      </c>
      <c r="J476" s="9">
        <v>33.94</v>
      </c>
      <c r="K476" s="47">
        <v>87.48</v>
      </c>
      <c r="L476" s="8" t="s">
        <v>38</v>
      </c>
      <c r="M476" s="8" t="s">
        <v>27</v>
      </c>
      <c r="N476" s="10" t="s">
        <v>39</v>
      </c>
    </row>
    <row r="477" spans="1:14" x14ac:dyDescent="0.25">
      <c r="A477" s="7" t="s">
        <v>630</v>
      </c>
      <c r="B477" s="16">
        <v>45425</v>
      </c>
      <c r="C477" s="8" t="str">
        <f>TRIM(Sales_Data!C477)</f>
        <v>Miller, Laura</v>
      </c>
      <c r="D477" s="8" t="str">
        <f>PROPER(TRIM(Sales_Data!D477))</f>
        <v>Japan</v>
      </c>
      <c r="E477" s="8" t="s">
        <v>17</v>
      </c>
      <c r="F477" s="8" t="s">
        <v>18</v>
      </c>
      <c r="G477" s="8">
        <v>9</v>
      </c>
      <c r="H477" s="9">
        <v>48.76</v>
      </c>
      <c r="I477" s="87">
        <f>PRODUCT(Table1[[#This Row],[Quantity]],Table1[[#This Row],[Unit_Price]])</f>
        <v>438.84</v>
      </c>
      <c r="J477" s="9">
        <v>16.91</v>
      </c>
      <c r="K477" s="47">
        <v>106.93</v>
      </c>
      <c r="L477" s="8" t="s">
        <v>38</v>
      </c>
      <c r="M477" s="8" t="s">
        <v>20</v>
      </c>
      <c r="N477" s="10" t="s">
        <v>58</v>
      </c>
    </row>
    <row r="478" spans="1:14" x14ac:dyDescent="0.25">
      <c r="A478" s="7" t="s">
        <v>631</v>
      </c>
      <c r="B478" s="16">
        <v>45321</v>
      </c>
      <c r="C478" s="8" t="str">
        <f>TRIM(Sales_Data!C478)</f>
        <v>Miller, Emily</v>
      </c>
      <c r="D478" s="8" t="str">
        <f>PROPER(TRIM(Sales_Data!D478))</f>
        <v>Uk</v>
      </c>
      <c r="E478" s="8" t="s">
        <v>51</v>
      </c>
      <c r="F478" s="8" t="s">
        <v>52</v>
      </c>
      <c r="G478" s="8">
        <v>37</v>
      </c>
      <c r="H478" s="9">
        <v>33.21</v>
      </c>
      <c r="I478" s="87">
        <f>PRODUCT(Table1[[#This Row],[Quantity]],Table1[[#This Row],[Unit_Price]])</f>
        <v>1228.77</v>
      </c>
      <c r="J478" s="9">
        <v>96.12</v>
      </c>
      <c r="K478" s="47">
        <v>300.14999999999998</v>
      </c>
      <c r="L478" s="8" t="s">
        <v>38</v>
      </c>
      <c r="M478" s="8" t="s">
        <v>27</v>
      </c>
      <c r="N478" s="10" t="s">
        <v>28</v>
      </c>
    </row>
    <row r="479" spans="1:14" x14ac:dyDescent="0.25">
      <c r="A479" s="7" t="s">
        <v>632</v>
      </c>
      <c r="B479" s="16">
        <v>45460</v>
      </c>
      <c r="C479" s="8" t="str">
        <f>TRIM(Sales_Data!C479)</f>
        <v>Miller, Laura</v>
      </c>
      <c r="D479" s="8" t="str">
        <f>PROPER(TRIM(Sales_Data!D479))</f>
        <v>Brazil</v>
      </c>
      <c r="E479" s="8" t="s">
        <v>63</v>
      </c>
      <c r="F479" s="8" t="s">
        <v>37</v>
      </c>
      <c r="G479" s="8">
        <v>29</v>
      </c>
      <c r="H479" s="9">
        <v>16.54</v>
      </c>
      <c r="I479" s="87">
        <f>PRODUCT(Table1[[#This Row],[Quantity]],Table1[[#This Row],[Unit_Price]])</f>
        <v>479.65999999999997</v>
      </c>
      <c r="J479" s="9">
        <v>30.23</v>
      </c>
      <c r="K479" s="47">
        <v>79.680000000000007</v>
      </c>
      <c r="L479" s="8" t="s">
        <v>26</v>
      </c>
      <c r="M479" s="8" t="s">
        <v>32</v>
      </c>
      <c r="N479" s="10" t="s">
        <v>39</v>
      </c>
    </row>
    <row r="480" spans="1:14" x14ac:dyDescent="0.25">
      <c r="A480" s="7" t="s">
        <v>633</v>
      </c>
      <c r="B480" s="16">
        <v>45767</v>
      </c>
      <c r="C480" s="8" t="str">
        <f>TRIM(Sales_Data!C480)</f>
        <v>Williams, David</v>
      </c>
      <c r="D480" s="8" t="str">
        <f>PROPER(TRIM(Sales_Data!D480))</f>
        <v>Australia</v>
      </c>
      <c r="E480" s="8" t="s">
        <v>56</v>
      </c>
      <c r="F480" s="8" t="s">
        <v>57</v>
      </c>
      <c r="G480" s="8">
        <v>11</v>
      </c>
      <c r="H480" s="9">
        <v>44.56</v>
      </c>
      <c r="I480" s="87">
        <f>PRODUCT(Table1[[#This Row],[Quantity]],Table1[[#This Row],[Unit_Price]])</f>
        <v>490.16</v>
      </c>
      <c r="J480" s="9">
        <v>23.97</v>
      </c>
      <c r="K480" s="47">
        <v>191.19</v>
      </c>
      <c r="L480" s="8" t="s">
        <v>26</v>
      </c>
      <c r="M480" s="8" t="s">
        <v>32</v>
      </c>
      <c r="N480" s="10" t="s">
        <v>130</v>
      </c>
    </row>
    <row r="481" spans="1:14" x14ac:dyDescent="0.25">
      <c r="A481" s="7" t="s">
        <v>634</v>
      </c>
      <c r="B481" s="16">
        <v>45609</v>
      </c>
      <c r="C481" s="8" t="str">
        <f>TRIM(Sales_Data!C481)</f>
        <v>Hernandez, Emma</v>
      </c>
      <c r="D481" s="8" t="str">
        <f>PROPER(TRIM(Sales_Data!D481))</f>
        <v>Mexico</v>
      </c>
      <c r="E481" s="8" t="s">
        <v>36</v>
      </c>
      <c r="F481" s="8" t="s">
        <v>37</v>
      </c>
      <c r="G481" s="8">
        <v>50</v>
      </c>
      <c r="H481" s="9">
        <v>44.78</v>
      </c>
      <c r="I481" s="87">
        <f>PRODUCT(Table1[[#This Row],[Quantity]],Table1[[#This Row],[Unit_Price]])</f>
        <v>2239</v>
      </c>
      <c r="J481" s="9">
        <v>169.97</v>
      </c>
      <c r="K481" s="47">
        <v>469.03</v>
      </c>
      <c r="L481" s="8" t="s">
        <v>19</v>
      </c>
      <c r="M481" s="8" t="s">
        <v>32</v>
      </c>
      <c r="N481" s="10" t="s">
        <v>21</v>
      </c>
    </row>
    <row r="482" spans="1:14" x14ac:dyDescent="0.25">
      <c r="A482" s="7" t="s">
        <v>635</v>
      </c>
      <c r="B482" s="16">
        <v>45633</v>
      </c>
      <c r="C482" s="8" t="str">
        <f>TRIM(Sales_Data!C482)</f>
        <v>Davis, Sarah</v>
      </c>
      <c r="D482" s="8" t="str">
        <f>PROPER(TRIM(Sales_Data!D482))</f>
        <v>Usa</v>
      </c>
      <c r="E482" s="8" t="s">
        <v>25</v>
      </c>
      <c r="F482" s="8" t="s">
        <v>18</v>
      </c>
      <c r="G482" s="8">
        <v>30</v>
      </c>
      <c r="H482" s="9">
        <v>22.51</v>
      </c>
      <c r="I482" s="87">
        <f>PRODUCT(Table1[[#This Row],[Quantity]],Table1[[#This Row],[Unit_Price]])</f>
        <v>675.30000000000007</v>
      </c>
      <c r="J482" s="9">
        <v>26.26</v>
      </c>
      <c r="K482" s="47">
        <v>109.04</v>
      </c>
      <c r="L482" s="8" t="s">
        <v>19</v>
      </c>
      <c r="M482" s="8" t="s">
        <v>20</v>
      </c>
      <c r="N482" s="10" t="s">
        <v>21</v>
      </c>
    </row>
    <row r="483" spans="1:14" x14ac:dyDescent="0.25">
      <c r="A483" s="7" t="s">
        <v>636</v>
      </c>
      <c r="B483" s="16">
        <v>45355</v>
      </c>
      <c r="C483" s="8" t="str">
        <f>TRIM(Sales_Data!C483)</f>
        <v>Martinez, John</v>
      </c>
      <c r="D483" s="8" t="str">
        <f>PROPER(TRIM(Sales_Data!D483))</f>
        <v>Australia</v>
      </c>
      <c r="E483" s="8" t="s">
        <v>60</v>
      </c>
      <c r="F483" s="8" t="s">
        <v>52</v>
      </c>
      <c r="G483" s="8">
        <v>50</v>
      </c>
      <c r="H483" s="9">
        <v>27.18</v>
      </c>
      <c r="I483" s="87">
        <f>PRODUCT(Table1[[#This Row],[Quantity]],Table1[[#This Row],[Unit_Price]])</f>
        <v>1359</v>
      </c>
      <c r="J483" s="9">
        <v>45.67</v>
      </c>
      <c r="K483" s="47">
        <v>538.33000000000004</v>
      </c>
      <c r="L483" s="8" t="s">
        <v>19</v>
      </c>
      <c r="M483" s="8" t="s">
        <v>32</v>
      </c>
      <c r="N483" s="10" t="s">
        <v>130</v>
      </c>
    </row>
    <row r="484" spans="1:14" x14ac:dyDescent="0.25">
      <c r="A484" s="7" t="s">
        <v>637</v>
      </c>
      <c r="B484" s="16">
        <v>45562</v>
      </c>
      <c r="C484" s="8" t="str">
        <f>TRIM(Sales_Data!C484)</f>
        <v>Smith, Daniel</v>
      </c>
      <c r="D484" s="8" t="str">
        <f>PROPER(TRIM(Sales_Data!D484))</f>
        <v>Italy</v>
      </c>
      <c r="E484" s="8" t="s">
        <v>83</v>
      </c>
      <c r="F484" s="8" t="s">
        <v>52</v>
      </c>
      <c r="G484" s="8">
        <v>28</v>
      </c>
      <c r="H484" s="9">
        <v>37.51</v>
      </c>
      <c r="I484" s="87">
        <f>PRODUCT(Table1[[#This Row],[Quantity]],Table1[[#This Row],[Unit_Price]])</f>
        <v>1050.28</v>
      </c>
      <c r="J484" s="9">
        <v>45.83</v>
      </c>
      <c r="K484" s="47">
        <v>220.45</v>
      </c>
      <c r="L484" s="8" t="s">
        <v>38</v>
      </c>
      <c r="M484" s="8" t="s">
        <v>27</v>
      </c>
      <c r="N484" s="10" t="s">
        <v>28</v>
      </c>
    </row>
    <row r="485" spans="1:14" x14ac:dyDescent="0.25">
      <c r="A485" s="7" t="s">
        <v>638</v>
      </c>
      <c r="B485" s="16">
        <v>45362</v>
      </c>
      <c r="C485" s="8" t="str">
        <f>TRIM(Sales_Data!C485)</f>
        <v>Davis, James</v>
      </c>
      <c r="D485" s="8" t="str">
        <f>PROPER(TRIM(Sales_Data!D485))</f>
        <v>Australia</v>
      </c>
      <c r="E485" s="8" t="s">
        <v>43</v>
      </c>
      <c r="F485" s="8" t="s">
        <v>44</v>
      </c>
      <c r="G485" s="8">
        <v>50</v>
      </c>
      <c r="H485" s="9">
        <v>53.71</v>
      </c>
      <c r="I485" s="87">
        <f>PRODUCT(Table1[[#This Row],[Quantity]],Table1[[#This Row],[Unit_Price]])</f>
        <v>2685.5</v>
      </c>
      <c r="J485" s="9">
        <v>197.89</v>
      </c>
      <c r="K485" s="47">
        <v>487.61</v>
      </c>
      <c r="L485" s="8" t="s">
        <v>26</v>
      </c>
      <c r="M485" s="8" t="s">
        <v>32</v>
      </c>
      <c r="N485" s="10" t="s">
        <v>130</v>
      </c>
    </row>
    <row r="486" spans="1:14" x14ac:dyDescent="0.25">
      <c r="A486" s="7" t="s">
        <v>639</v>
      </c>
      <c r="B486" s="16">
        <v>45652</v>
      </c>
      <c r="C486" s="8" t="str">
        <f>TRIM(Sales_Data!C486)</f>
        <v>Smith, John</v>
      </c>
      <c r="D486" s="8" t="str">
        <f>PROPER(TRIM(Sales_Data!D486))</f>
        <v>South Africa</v>
      </c>
      <c r="E486" s="8" t="s">
        <v>60</v>
      </c>
      <c r="F486" s="8" t="s">
        <v>52</v>
      </c>
      <c r="G486" s="8">
        <v>24</v>
      </c>
      <c r="H486" s="9">
        <v>18.62</v>
      </c>
      <c r="I486" s="87">
        <f>PRODUCT(Table1[[#This Row],[Quantity]],Table1[[#This Row],[Unit_Price]])</f>
        <v>446.88</v>
      </c>
      <c r="J486" s="9">
        <v>26.91</v>
      </c>
      <c r="K486" s="47">
        <v>47.97</v>
      </c>
      <c r="L486" s="8" t="s">
        <v>26</v>
      </c>
      <c r="M486" s="8" t="s">
        <v>27</v>
      </c>
      <c r="N486" s="10" t="s">
        <v>87</v>
      </c>
    </row>
    <row r="487" spans="1:14" x14ac:dyDescent="0.25">
      <c r="A487" s="7" t="s">
        <v>640</v>
      </c>
      <c r="B487" s="16">
        <v>45663</v>
      </c>
      <c r="C487" s="8" t="str">
        <f>TRIM(Sales_Data!C487)</f>
        <v>Davis, Michael</v>
      </c>
      <c r="D487" s="8" t="str">
        <f>PROPER(TRIM(Sales_Data!D487))</f>
        <v>Singapore</v>
      </c>
      <c r="E487" s="8" t="s">
        <v>43</v>
      </c>
      <c r="F487" s="8" t="s">
        <v>44</v>
      </c>
      <c r="G487" s="8">
        <v>10</v>
      </c>
      <c r="H487" s="9">
        <v>49.15</v>
      </c>
      <c r="I487" s="87">
        <f>PRODUCT(Table1[[#This Row],[Quantity]],Table1[[#This Row],[Unit_Price]])</f>
        <v>491.5</v>
      </c>
      <c r="J487" s="9">
        <v>13.3</v>
      </c>
      <c r="K487" s="47">
        <v>78.2</v>
      </c>
      <c r="L487" s="8" t="s">
        <v>38</v>
      </c>
      <c r="M487" s="8" t="s">
        <v>32</v>
      </c>
      <c r="N487" s="10" t="s">
        <v>58</v>
      </c>
    </row>
    <row r="488" spans="1:14" x14ac:dyDescent="0.25">
      <c r="A488" s="7" t="s">
        <v>641</v>
      </c>
      <c r="B488" s="16">
        <v>45631</v>
      </c>
      <c r="C488" s="8" t="str">
        <f>TRIM(Sales_Data!C488)</f>
        <v>Miller, Sarah</v>
      </c>
      <c r="D488" s="8" t="str">
        <f>PROPER(TRIM(Sales_Data!D488))</f>
        <v>China</v>
      </c>
      <c r="E488" s="8" t="s">
        <v>43</v>
      </c>
      <c r="F488" s="8" t="s">
        <v>44</v>
      </c>
      <c r="G488" s="8">
        <v>42</v>
      </c>
      <c r="H488" s="9">
        <v>50.96</v>
      </c>
      <c r="I488" s="87">
        <f>PRODUCT(Table1[[#This Row],[Quantity]],Table1[[#This Row],[Unit_Price]])</f>
        <v>2140.3200000000002</v>
      </c>
      <c r="J488" s="9">
        <v>127.85</v>
      </c>
      <c r="K488" s="47">
        <v>332.47</v>
      </c>
      <c r="L488" s="8" t="s">
        <v>19</v>
      </c>
      <c r="M488" s="8" t="s">
        <v>27</v>
      </c>
      <c r="N488" s="10" t="s">
        <v>58</v>
      </c>
    </row>
    <row r="489" spans="1:14" x14ac:dyDescent="0.25">
      <c r="A489" s="7" t="s">
        <v>642</v>
      </c>
      <c r="B489" s="16">
        <v>45312</v>
      </c>
      <c r="C489" s="8" t="str">
        <f>TRIM(Sales_Data!C489)</f>
        <v>Martinez, Sophia</v>
      </c>
      <c r="D489" s="8" t="str">
        <f>PROPER(TRIM(Sales_Data!D489))</f>
        <v>China</v>
      </c>
      <c r="E489" s="8" t="s">
        <v>56</v>
      </c>
      <c r="F489" s="8" t="s">
        <v>57</v>
      </c>
      <c r="G489" s="8">
        <v>39</v>
      </c>
      <c r="H489" s="9">
        <v>37.46</v>
      </c>
      <c r="I489" s="87">
        <f>PRODUCT(Table1[[#This Row],[Quantity]],Table1[[#This Row],[Unit_Price]])</f>
        <v>1460.94</v>
      </c>
      <c r="J489" s="9">
        <v>82.25</v>
      </c>
      <c r="K489" s="47">
        <v>403.69</v>
      </c>
      <c r="L489" s="8" t="s">
        <v>38</v>
      </c>
      <c r="M489" s="8" t="s">
        <v>20</v>
      </c>
      <c r="N489" s="10" t="s">
        <v>58</v>
      </c>
    </row>
    <row r="490" spans="1:14" x14ac:dyDescent="0.25">
      <c r="A490" s="7" t="s">
        <v>643</v>
      </c>
      <c r="B490" s="16">
        <v>45787</v>
      </c>
      <c r="C490" s="8" t="str">
        <f>TRIM(Sales_Data!C490)</f>
        <v>Garcia, Sophia</v>
      </c>
      <c r="D490" s="8" t="str">
        <f>PROPER(TRIM(Sales_Data!D490))</f>
        <v>France</v>
      </c>
      <c r="E490" s="8" t="s">
        <v>63</v>
      </c>
      <c r="F490" s="8" t="s">
        <v>37</v>
      </c>
      <c r="G490" s="8">
        <v>7</v>
      </c>
      <c r="H490" s="9">
        <v>20.2</v>
      </c>
      <c r="I490" s="87">
        <f>PRODUCT(Table1[[#This Row],[Quantity]],Table1[[#This Row],[Unit_Price]])</f>
        <v>141.4</v>
      </c>
      <c r="J490" s="9">
        <v>4.3499999999999996</v>
      </c>
      <c r="K490" s="47">
        <v>47.8</v>
      </c>
      <c r="L490" s="8" t="s">
        <v>26</v>
      </c>
      <c r="M490" s="8" t="s">
        <v>32</v>
      </c>
      <c r="N490" s="10" t="s">
        <v>28</v>
      </c>
    </row>
    <row r="491" spans="1:14" x14ac:dyDescent="0.25">
      <c r="A491" s="7" t="s">
        <v>644</v>
      </c>
      <c r="B491" s="16">
        <v>45550</v>
      </c>
      <c r="C491" s="8" t="str">
        <f>TRIM(Sales_Data!C491)</f>
        <v>Garcia, Emily</v>
      </c>
      <c r="D491" s="8" t="str">
        <f>PROPER(TRIM(Sales_Data!D491))</f>
        <v>Canada</v>
      </c>
      <c r="E491" s="8" t="s">
        <v>63</v>
      </c>
      <c r="F491" s="8" t="s">
        <v>37</v>
      </c>
      <c r="G491" s="8">
        <v>18</v>
      </c>
      <c r="H491" s="9">
        <v>18.63</v>
      </c>
      <c r="I491" s="87">
        <f>PRODUCT(Table1[[#This Row],[Quantity]],Table1[[#This Row],[Unit_Price]])</f>
        <v>335.34</v>
      </c>
      <c r="J491" s="9">
        <v>26.18</v>
      </c>
      <c r="K491" s="47">
        <v>79.66</v>
      </c>
      <c r="L491" s="8" t="s">
        <v>26</v>
      </c>
      <c r="M491" s="8" t="s">
        <v>20</v>
      </c>
      <c r="N491" s="10" t="s">
        <v>21</v>
      </c>
    </row>
    <row r="492" spans="1:14" x14ac:dyDescent="0.25">
      <c r="A492" s="7" t="s">
        <v>645</v>
      </c>
      <c r="B492" s="16">
        <v>45439</v>
      </c>
      <c r="C492" s="8" t="str">
        <f>TRIM(Sales_Data!C492)</f>
        <v>Brown, John</v>
      </c>
      <c r="D492" s="8" t="str">
        <f>PROPER(TRIM(Sales_Data!D492))</f>
        <v>Australia</v>
      </c>
      <c r="E492" s="8" t="s">
        <v>51</v>
      </c>
      <c r="F492" s="8" t="s">
        <v>52</v>
      </c>
      <c r="G492" s="8">
        <v>12</v>
      </c>
      <c r="H492" s="9">
        <v>27.08</v>
      </c>
      <c r="I492" s="87">
        <f>PRODUCT(Table1[[#This Row],[Quantity]],Table1[[#This Row],[Unit_Price]])</f>
        <v>324.95999999999998</v>
      </c>
      <c r="J492" s="9">
        <v>15.59</v>
      </c>
      <c r="K492" s="47">
        <v>39.369999999999997</v>
      </c>
      <c r="L492" s="8" t="s">
        <v>26</v>
      </c>
      <c r="M492" s="8" t="s">
        <v>32</v>
      </c>
      <c r="N492" s="10" t="s">
        <v>130</v>
      </c>
    </row>
    <row r="493" spans="1:14" x14ac:dyDescent="0.25">
      <c r="A493" s="7" t="s">
        <v>646</v>
      </c>
      <c r="B493" s="16">
        <v>45771</v>
      </c>
      <c r="C493" s="8" t="str">
        <f>TRIM(Sales_Data!C493)</f>
        <v>Hernandez, Sarah</v>
      </c>
      <c r="D493" s="8" t="str">
        <f>PROPER(TRIM(Sales_Data!D493))</f>
        <v>France</v>
      </c>
      <c r="E493" s="8" t="s">
        <v>56</v>
      </c>
      <c r="F493" s="8" t="s">
        <v>57</v>
      </c>
      <c r="G493" s="8">
        <v>50</v>
      </c>
      <c r="H493" s="9">
        <v>32.21</v>
      </c>
      <c r="I493" s="87">
        <f>PRODUCT(Table1[[#This Row],[Quantity]],Table1[[#This Row],[Unit_Price]])</f>
        <v>1610.5</v>
      </c>
      <c r="J493" s="9">
        <v>32.68</v>
      </c>
      <c r="K493" s="47">
        <v>327.82</v>
      </c>
      <c r="L493" s="8" t="s">
        <v>26</v>
      </c>
      <c r="M493" s="8" t="s">
        <v>32</v>
      </c>
      <c r="N493" s="10" t="s">
        <v>28</v>
      </c>
    </row>
    <row r="494" spans="1:14" x14ac:dyDescent="0.25">
      <c r="A494" s="7" t="s">
        <v>647</v>
      </c>
      <c r="B494" s="16">
        <v>45734</v>
      </c>
      <c r="C494" s="8" t="str">
        <f>TRIM(Sales_Data!C494)</f>
        <v>Garcia, James</v>
      </c>
      <c r="D494" s="8" t="str">
        <f>PROPER(TRIM(Sales_Data!D494))</f>
        <v>South Africa</v>
      </c>
      <c r="E494" s="8" t="s">
        <v>63</v>
      </c>
      <c r="F494" s="8" t="s">
        <v>37</v>
      </c>
      <c r="G494" s="8">
        <v>49</v>
      </c>
      <c r="H494" s="9">
        <v>20.59</v>
      </c>
      <c r="I494" s="87">
        <f>PRODUCT(Table1[[#This Row],[Quantity]],Table1[[#This Row],[Unit_Price]])</f>
        <v>1008.91</v>
      </c>
      <c r="J494" s="9">
        <v>78.03</v>
      </c>
      <c r="K494" s="47">
        <v>306.13</v>
      </c>
      <c r="L494" s="8" t="s">
        <v>26</v>
      </c>
      <c r="M494" s="8" t="s">
        <v>32</v>
      </c>
      <c r="N494" s="10" t="s">
        <v>87</v>
      </c>
    </row>
    <row r="495" spans="1:14" x14ac:dyDescent="0.25">
      <c r="A495" s="7" t="s">
        <v>648</v>
      </c>
      <c r="B495" s="16">
        <v>45399</v>
      </c>
      <c r="C495" s="8" t="str">
        <f>TRIM(Sales_Data!C495)</f>
        <v>Miller, Michael</v>
      </c>
      <c r="D495" s="8" t="str">
        <f>PROPER(TRIM(Sales_Data!D495))</f>
        <v>Italy</v>
      </c>
      <c r="E495" s="8" t="s">
        <v>48</v>
      </c>
      <c r="F495" s="8" t="s">
        <v>37</v>
      </c>
      <c r="G495" s="8">
        <v>22</v>
      </c>
      <c r="H495" s="9">
        <v>28.63</v>
      </c>
      <c r="I495" s="87">
        <f>PRODUCT(Table1[[#This Row],[Quantity]],Table1[[#This Row],[Unit_Price]])</f>
        <v>629.86</v>
      </c>
      <c r="J495" s="9">
        <v>29.08</v>
      </c>
      <c r="K495" s="47">
        <v>160.78</v>
      </c>
      <c r="L495" s="8" t="s">
        <v>26</v>
      </c>
      <c r="M495" s="8" t="s">
        <v>27</v>
      </c>
      <c r="N495" s="10" t="s">
        <v>28</v>
      </c>
    </row>
    <row r="496" spans="1:14" x14ac:dyDescent="0.25">
      <c r="A496" s="7" t="s">
        <v>649</v>
      </c>
      <c r="B496" s="16">
        <v>45706</v>
      </c>
      <c r="C496" s="8" t="str">
        <f>TRIM(Sales_Data!C496)</f>
        <v>Davis, Michael</v>
      </c>
      <c r="D496" s="8" t="str">
        <f>PROPER(TRIM(Sales_Data!D496))</f>
        <v>China</v>
      </c>
      <c r="E496" s="8" t="s">
        <v>43</v>
      </c>
      <c r="F496" s="8" t="s">
        <v>44</v>
      </c>
      <c r="G496" s="8">
        <v>11</v>
      </c>
      <c r="H496" s="9">
        <v>56.12</v>
      </c>
      <c r="I496" s="87">
        <f>PRODUCT(Table1[[#This Row],[Quantity]],Table1[[#This Row],[Unit_Price]])</f>
        <v>617.31999999999994</v>
      </c>
      <c r="J496" s="9">
        <v>38.26</v>
      </c>
      <c r="K496" s="47">
        <v>139.06</v>
      </c>
      <c r="L496" s="8" t="s">
        <v>26</v>
      </c>
      <c r="M496" s="8" t="s">
        <v>27</v>
      </c>
      <c r="N496" s="10" t="s">
        <v>58</v>
      </c>
    </row>
    <row r="497" spans="1:14" x14ac:dyDescent="0.25">
      <c r="A497" s="7" t="s">
        <v>650</v>
      </c>
      <c r="B497" s="16">
        <v>45395</v>
      </c>
      <c r="C497" s="8" t="str">
        <f>TRIM(Sales_Data!C497)</f>
        <v>Johnson, Emma</v>
      </c>
      <c r="D497" s="8" t="str">
        <f>PROPER(TRIM(Sales_Data!D497))</f>
        <v>Usa</v>
      </c>
      <c r="E497" s="8" t="s">
        <v>56</v>
      </c>
      <c r="F497" s="8" t="s">
        <v>57</v>
      </c>
      <c r="G497" s="8">
        <v>2</v>
      </c>
      <c r="H497" s="9">
        <v>30.88</v>
      </c>
      <c r="I497" s="87">
        <f>PRODUCT(Table1[[#This Row],[Quantity]],Table1[[#This Row],[Unit_Price]])</f>
        <v>61.76</v>
      </c>
      <c r="J497" s="9">
        <v>4.42</v>
      </c>
      <c r="K497" s="47">
        <v>7.34</v>
      </c>
      <c r="L497" s="8" t="s">
        <v>38</v>
      </c>
      <c r="M497" s="8" t="s">
        <v>27</v>
      </c>
      <c r="N497" s="10" t="s">
        <v>21</v>
      </c>
    </row>
    <row r="498" spans="1:14" x14ac:dyDescent="0.25">
      <c r="A498" s="7" t="s">
        <v>651</v>
      </c>
      <c r="B498" s="16">
        <v>45477</v>
      </c>
      <c r="C498" s="8" t="str">
        <f>TRIM(Sales_Data!C498)</f>
        <v>Johnson, Emily</v>
      </c>
      <c r="D498" s="8" t="str">
        <f>PROPER(TRIM(Sales_Data!D498))</f>
        <v>Australia</v>
      </c>
      <c r="E498" s="8" t="s">
        <v>43</v>
      </c>
      <c r="F498" s="8" t="s">
        <v>44</v>
      </c>
      <c r="G498" s="8">
        <v>34</v>
      </c>
      <c r="H498" s="9">
        <v>63.8</v>
      </c>
      <c r="I498" s="87">
        <f>PRODUCT(Table1[[#This Row],[Quantity]],Table1[[#This Row],[Unit_Price]])</f>
        <v>2169.1999999999998</v>
      </c>
      <c r="J498" s="9">
        <v>69.650000000000006</v>
      </c>
      <c r="K498" s="47">
        <v>739.55</v>
      </c>
      <c r="L498" s="8" t="s">
        <v>26</v>
      </c>
      <c r="M498" s="8" t="s">
        <v>32</v>
      </c>
      <c r="N498" s="10" t="s">
        <v>130</v>
      </c>
    </row>
    <row r="499" spans="1:14" x14ac:dyDescent="0.25">
      <c r="A499" s="7" t="s">
        <v>652</v>
      </c>
      <c r="B499" s="16">
        <v>45651</v>
      </c>
      <c r="C499" s="8" t="str">
        <f>TRIM(Sales_Data!C499)</f>
        <v>Smith, David</v>
      </c>
      <c r="D499" s="8" t="str">
        <f>PROPER(TRIM(Sales_Data!D499))</f>
        <v>Mexico</v>
      </c>
      <c r="E499" s="8" t="s">
        <v>83</v>
      </c>
      <c r="F499" s="8" t="s">
        <v>52</v>
      </c>
      <c r="G499" s="8">
        <v>50</v>
      </c>
      <c r="H499" s="9">
        <v>44.61</v>
      </c>
      <c r="I499" s="87">
        <f>PRODUCT(Table1[[#This Row],[Quantity]],Table1[[#This Row],[Unit_Price]])</f>
        <v>2230.5</v>
      </c>
      <c r="J499" s="9">
        <v>91.32</v>
      </c>
      <c r="K499" s="47">
        <v>739.18</v>
      </c>
      <c r="L499" s="8" t="s">
        <v>38</v>
      </c>
      <c r="M499" s="8" t="s">
        <v>20</v>
      </c>
      <c r="N499" s="10" t="s">
        <v>21</v>
      </c>
    </row>
    <row r="500" spans="1:14" x14ac:dyDescent="0.25">
      <c r="A500" s="7" t="s">
        <v>653</v>
      </c>
      <c r="B500" s="16">
        <v>45537</v>
      </c>
      <c r="C500" s="8" t="str">
        <f>TRIM(Sales_Data!C500)</f>
        <v>Smith, Emma</v>
      </c>
      <c r="D500" s="8" t="str">
        <f>PROPER(TRIM(Sales_Data!D500))</f>
        <v>Uae</v>
      </c>
      <c r="E500" s="8" t="s">
        <v>63</v>
      </c>
      <c r="F500" s="8" t="s">
        <v>37</v>
      </c>
      <c r="G500" s="8">
        <v>14</v>
      </c>
      <c r="H500" s="9">
        <v>18.61</v>
      </c>
      <c r="I500" s="87">
        <f>PRODUCT(Table1[[#This Row],[Quantity]],Table1[[#This Row],[Unit_Price]])</f>
        <v>260.53999999999996</v>
      </c>
      <c r="J500" s="9">
        <v>5.39</v>
      </c>
      <c r="K500" s="47">
        <v>76.650000000000006</v>
      </c>
      <c r="L500" s="8" t="s">
        <v>26</v>
      </c>
      <c r="M500" s="8" t="s">
        <v>32</v>
      </c>
      <c r="N500" s="10" t="s">
        <v>58</v>
      </c>
    </row>
    <row r="501" spans="1:14" x14ac:dyDescent="0.25">
      <c r="A501" s="11" t="s">
        <v>654</v>
      </c>
      <c r="B501" s="17">
        <v>45487</v>
      </c>
      <c r="C501" s="8" t="str">
        <f>TRIM(Sales_Data!C501)</f>
        <v>Hernandez, Michael</v>
      </c>
      <c r="D501" s="8" t="str">
        <f>PROPER(TRIM(Sales_Data!D501))</f>
        <v>Uk</v>
      </c>
      <c r="E501" s="12" t="s">
        <v>60</v>
      </c>
      <c r="F501" s="12" t="s">
        <v>52</v>
      </c>
      <c r="G501" s="12">
        <v>7</v>
      </c>
      <c r="H501" s="13">
        <v>24.61</v>
      </c>
      <c r="I501" s="87">
        <f>PRODUCT(Table1[[#This Row],[Quantity]],Table1[[#This Row],[Unit_Price]])</f>
        <v>172.26999999999998</v>
      </c>
      <c r="J501" s="13">
        <v>9.64</v>
      </c>
      <c r="K501" s="47">
        <v>54.13</v>
      </c>
      <c r="L501" s="12" t="s">
        <v>38</v>
      </c>
      <c r="M501" s="12" t="s">
        <v>32</v>
      </c>
      <c r="N501" s="14" t="s">
        <v>28</v>
      </c>
    </row>
  </sheetData>
  <conditionalFormatting sqref="K1:K1048576">
    <cfRule type="cellIs" dxfId="98" priority="1" operator="lessThan">
      <formula>0</formula>
    </cfRule>
  </conditionalFormatting>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0B520B-04BC-45DD-ACFB-81548FF0B2E3}">
  <sheetPr codeName="Sheet5"/>
  <dimension ref="A1:AB501"/>
  <sheetViews>
    <sheetView topLeftCell="K1" zoomScale="104" zoomScaleNormal="171" workbookViewId="0">
      <selection activeCell="U14" sqref="U14"/>
    </sheetView>
  </sheetViews>
  <sheetFormatPr defaultRowHeight="15" x14ac:dyDescent="0.25"/>
  <cols>
    <col min="1" max="1" width="14.7109375" bestFit="1" customWidth="1"/>
    <col min="2" max="2" width="13.42578125" customWidth="1"/>
    <col min="3" max="3" width="18.7109375" bestFit="1" customWidth="1"/>
    <col min="4" max="4" width="12.85546875" bestFit="1" customWidth="1"/>
    <col min="5" max="5" width="17" bestFit="1" customWidth="1"/>
    <col min="6" max="6" width="13.85546875" bestFit="1" customWidth="1"/>
    <col min="7" max="7" width="13.7109375" style="93" bestFit="1" customWidth="1"/>
    <col min="8" max="8" width="15.140625" bestFit="1" customWidth="1"/>
    <col min="9" max="9" width="15.5703125" style="88" bestFit="1" customWidth="1"/>
    <col min="10" max="10" width="18.28515625" bestFit="1" customWidth="1"/>
    <col min="11" max="11" width="16.7109375" style="2" customWidth="1"/>
    <col min="12" max="12" width="15.7109375" bestFit="1" customWidth="1"/>
    <col min="13" max="13" width="18.42578125" bestFit="1" customWidth="1"/>
    <col min="14" max="14" width="17.28515625" bestFit="1" customWidth="1"/>
    <col min="15" max="15" width="14.28515625" style="93" bestFit="1" customWidth="1"/>
    <col min="16" max="16" width="18.140625" style="93" bestFit="1" customWidth="1"/>
    <col min="17" max="17" width="21.140625" style="28" customWidth="1"/>
    <col min="18" max="18" width="17.28515625" customWidth="1"/>
    <col min="19" max="19" width="25.7109375" bestFit="1" customWidth="1"/>
    <col min="20" max="20" width="21.85546875" bestFit="1" customWidth="1"/>
    <col min="21" max="21" width="22.140625" bestFit="1" customWidth="1"/>
    <col min="23" max="23" width="15.85546875" bestFit="1" customWidth="1"/>
    <col min="24" max="24" width="17" bestFit="1" customWidth="1"/>
    <col min="25" max="25" width="14.140625" bestFit="1" customWidth="1"/>
    <col min="26" max="26" width="14" bestFit="1" customWidth="1"/>
    <col min="27" max="27" width="19.28515625" bestFit="1" customWidth="1"/>
    <col min="28" max="28" width="14.7109375" bestFit="1" customWidth="1"/>
  </cols>
  <sheetData>
    <row r="1" spans="1:28" x14ac:dyDescent="0.25">
      <c r="A1" s="3" t="s">
        <v>0</v>
      </c>
      <c r="B1" s="15" t="s">
        <v>1</v>
      </c>
      <c r="C1" s="4" t="s">
        <v>2</v>
      </c>
      <c r="D1" s="4" t="s">
        <v>3</v>
      </c>
      <c r="E1" s="4" t="s">
        <v>4</v>
      </c>
      <c r="F1" s="4" t="s">
        <v>5</v>
      </c>
      <c r="G1" s="90" t="s">
        <v>6</v>
      </c>
      <c r="H1" s="5" t="s">
        <v>7</v>
      </c>
      <c r="I1" s="86" t="s">
        <v>8</v>
      </c>
      <c r="J1" s="5" t="s">
        <v>9</v>
      </c>
      <c r="K1" s="5" t="s">
        <v>10</v>
      </c>
      <c r="L1" s="4" t="s">
        <v>11</v>
      </c>
      <c r="M1" s="4" t="s">
        <v>12</v>
      </c>
      <c r="N1" s="4" t="s">
        <v>13</v>
      </c>
      <c r="O1" s="90" t="s">
        <v>658</v>
      </c>
      <c r="P1" s="90" t="s">
        <v>685</v>
      </c>
      <c r="Q1" s="95" t="s">
        <v>686</v>
      </c>
      <c r="R1" s="21"/>
      <c r="S1" s="21"/>
      <c r="T1" s="21"/>
      <c r="U1" s="21"/>
      <c r="W1" s="94"/>
      <c r="X1" s="94"/>
      <c r="Y1" s="94"/>
      <c r="Z1" s="94"/>
      <c r="AA1" s="94"/>
      <c r="AB1" s="94"/>
    </row>
    <row r="2" spans="1:28" x14ac:dyDescent="0.25">
      <c r="A2" s="7" t="s">
        <v>14</v>
      </c>
      <c r="B2" s="16">
        <v>45677</v>
      </c>
      <c r="C2" s="8" t="s">
        <v>15</v>
      </c>
      <c r="D2" s="8" t="str">
        <f>PROPER(TRIM(Sales_Data!D2))</f>
        <v>Usa</v>
      </c>
      <c r="E2" s="8" t="s">
        <v>17</v>
      </c>
      <c r="F2" s="8" t="s">
        <v>18</v>
      </c>
      <c r="G2" s="91">
        <v>20</v>
      </c>
      <c r="H2" s="9">
        <v>55.22</v>
      </c>
      <c r="I2" s="87">
        <f>PRODUCT(Table15[[#This Row],[Quantity]],Table15[[#This Row],[Unit_Price]])</f>
        <v>1104.4000000000001</v>
      </c>
      <c r="J2" s="9">
        <v>49.36</v>
      </c>
      <c r="K2" s="47">
        <v>355.04</v>
      </c>
      <c r="L2" s="8" t="s">
        <v>19</v>
      </c>
      <c r="M2" s="8" t="s">
        <v>20</v>
      </c>
      <c r="N2" s="8" t="s">
        <v>21</v>
      </c>
      <c r="O2" s="91">
        <f>VLOOKUP(E2,Product_Master!$B$2:$F$11,5,FALSE)</f>
        <v>35</v>
      </c>
      <c r="P2" s="91">
        <f>PRODUCT(Table15[[#This Row],[Quantity]],Table15[[#This Row],[Unit_Cost]])</f>
        <v>700</v>
      </c>
      <c r="Q2" s="72">
        <f>(Table15[[#This Row],[Profit]]/Table15[[#This Row],[Total_Sales]])</f>
        <v>0.32147772546178921</v>
      </c>
      <c r="R2" s="22"/>
      <c r="S2" s="22"/>
      <c r="T2" s="22"/>
      <c r="U2" s="22"/>
      <c r="W2" s="20"/>
      <c r="X2" s="20"/>
      <c r="Y2" s="20"/>
      <c r="Z2" s="20"/>
      <c r="AA2" s="20"/>
      <c r="AB2" s="20"/>
    </row>
    <row r="3" spans="1:28" x14ac:dyDescent="0.25">
      <c r="A3" s="7" t="s">
        <v>22</v>
      </c>
      <c r="B3" s="16">
        <v>45702</v>
      </c>
      <c r="C3" s="8" t="s">
        <v>23</v>
      </c>
      <c r="D3" s="8" t="str">
        <f>PROPER(TRIM(Sales_Data!D3))</f>
        <v>Uk</v>
      </c>
      <c r="E3" s="8" t="s">
        <v>25</v>
      </c>
      <c r="F3" s="8" t="s">
        <v>18</v>
      </c>
      <c r="G3" s="91">
        <v>33</v>
      </c>
      <c r="H3" s="9">
        <v>32.03</v>
      </c>
      <c r="I3" s="87">
        <f>PRODUCT(Table15[[#This Row],[Quantity]],Table15[[#This Row],[Unit_Price]])</f>
        <v>1056.99</v>
      </c>
      <c r="J3" s="9">
        <v>59.59</v>
      </c>
      <c r="K3" s="47">
        <v>403.4</v>
      </c>
      <c r="L3" s="8" t="s">
        <v>26</v>
      </c>
      <c r="M3" s="8" t="s">
        <v>27</v>
      </c>
      <c r="N3" s="8" t="s">
        <v>28</v>
      </c>
      <c r="O3" s="91">
        <f>VLOOKUP(E3,Product_Master!$B$2:$F$11,5,FALSE)</f>
        <v>18</v>
      </c>
      <c r="P3" s="91">
        <f>PRODUCT(Table15[[#This Row],[Quantity]],Table15[[#This Row],[Unit_Cost]])</f>
        <v>594</v>
      </c>
      <c r="Q3" s="72">
        <f>(Table15[[#This Row],[Profit]]/Table15[[#This Row],[Total_Sales]])</f>
        <v>0.38164977908967918</v>
      </c>
      <c r="R3" s="22"/>
      <c r="S3" s="22"/>
      <c r="T3" s="22"/>
      <c r="U3" s="22"/>
      <c r="W3" s="20"/>
      <c r="X3" s="20"/>
      <c r="Y3" s="20"/>
      <c r="Z3" s="20"/>
      <c r="AA3" s="20"/>
      <c r="AB3" s="20"/>
    </row>
    <row r="4" spans="1:28" x14ac:dyDescent="0.25">
      <c r="A4" s="7" t="s">
        <v>29</v>
      </c>
      <c r="B4" s="16">
        <v>45411</v>
      </c>
      <c r="C4" s="8" t="s">
        <v>30</v>
      </c>
      <c r="D4" s="8" t="str">
        <f>PROPER(TRIM(Sales_Data!D4))</f>
        <v>Italy</v>
      </c>
      <c r="E4" s="8" t="s">
        <v>25</v>
      </c>
      <c r="F4" s="8" t="s">
        <v>18</v>
      </c>
      <c r="G4" s="91">
        <v>34</v>
      </c>
      <c r="H4" s="9">
        <v>28.48</v>
      </c>
      <c r="I4" s="87">
        <f>PRODUCT(Table15[[#This Row],[Quantity]],Table15[[#This Row],[Unit_Price]])</f>
        <v>968.32</v>
      </c>
      <c r="J4" s="9">
        <v>73.95</v>
      </c>
      <c r="K4" s="47">
        <v>282.37</v>
      </c>
      <c r="L4" s="8" t="s">
        <v>19</v>
      </c>
      <c r="M4" s="8" t="s">
        <v>32</v>
      </c>
      <c r="N4" s="8" t="s">
        <v>28</v>
      </c>
      <c r="O4" s="91">
        <f>VLOOKUP(E4,Product_Master!$B$2:$F$11,5,FALSE)</f>
        <v>18</v>
      </c>
      <c r="P4" s="91">
        <f>PRODUCT(Table15[[#This Row],[Quantity]],Table15[[#This Row],[Unit_Cost]])</f>
        <v>612</v>
      </c>
      <c r="Q4" s="72">
        <f>(Table15[[#This Row],[Profit]]/Table15[[#This Row],[Total_Sales]])</f>
        <v>0.2916081460674157</v>
      </c>
      <c r="R4" s="22"/>
      <c r="S4" s="22"/>
      <c r="T4" s="22"/>
      <c r="U4" s="22"/>
      <c r="W4" s="20"/>
      <c r="X4" s="20"/>
      <c r="Y4" s="20"/>
      <c r="Z4" s="20"/>
      <c r="AA4" s="20"/>
      <c r="AB4" s="20"/>
    </row>
    <row r="5" spans="1:28" x14ac:dyDescent="0.25">
      <c r="A5" s="7" t="s">
        <v>33</v>
      </c>
      <c r="B5" s="16">
        <v>45566</v>
      </c>
      <c r="C5" s="8" t="s">
        <v>34</v>
      </c>
      <c r="D5" s="8" t="str">
        <f>PROPER(TRIM(Sales_Data!D5))</f>
        <v>Brazil</v>
      </c>
      <c r="E5" s="8" t="s">
        <v>36</v>
      </c>
      <c r="F5" s="8" t="s">
        <v>37</v>
      </c>
      <c r="G5" s="91">
        <v>6</v>
      </c>
      <c r="H5" s="9">
        <v>56.36</v>
      </c>
      <c r="I5" s="87">
        <f>PRODUCT(Table15[[#This Row],[Quantity]],Table15[[#This Row],[Unit_Price]])</f>
        <v>338.15999999999997</v>
      </c>
      <c r="J5" s="9">
        <v>11.39</v>
      </c>
      <c r="K5" s="47">
        <v>134.77000000000001</v>
      </c>
      <c r="L5" s="8" t="s">
        <v>38</v>
      </c>
      <c r="M5" s="8" t="s">
        <v>27</v>
      </c>
      <c r="N5" s="8" t="s">
        <v>39</v>
      </c>
      <c r="O5" s="91">
        <f>VLOOKUP(E5,Product_Master!$B$2:$F$11,5,FALSE)</f>
        <v>32</v>
      </c>
      <c r="P5" s="91">
        <f>PRODUCT(Table15[[#This Row],[Quantity]],Table15[[#This Row],[Unit_Cost]])</f>
        <v>192</v>
      </c>
      <c r="Q5" s="72">
        <f>(Table15[[#This Row],[Profit]]/Table15[[#This Row],[Total_Sales]])</f>
        <v>0.39853915306363857</v>
      </c>
      <c r="R5" s="22"/>
      <c r="S5" s="22"/>
      <c r="T5" s="22"/>
      <c r="U5" s="22"/>
      <c r="W5" s="20"/>
      <c r="X5" s="20"/>
      <c r="Y5" s="20"/>
      <c r="Z5" s="20"/>
      <c r="AA5" s="20"/>
      <c r="AB5" s="20"/>
    </row>
    <row r="6" spans="1:28" x14ac:dyDescent="0.25">
      <c r="A6" s="7" t="s">
        <v>40</v>
      </c>
      <c r="B6" s="16">
        <v>45703</v>
      </c>
      <c r="C6" s="8" t="s">
        <v>41</v>
      </c>
      <c r="D6" s="8" t="str">
        <f>PROPER(TRIM(Sales_Data!D6))</f>
        <v>Canada</v>
      </c>
      <c r="E6" s="8" t="s">
        <v>43</v>
      </c>
      <c r="F6" s="8" t="s">
        <v>44</v>
      </c>
      <c r="G6" s="91">
        <v>17</v>
      </c>
      <c r="H6" s="9">
        <v>69.22</v>
      </c>
      <c r="I6" s="87">
        <f>PRODUCT(Table15[[#This Row],[Quantity]],Table15[[#This Row],[Unit_Price]])</f>
        <v>1176.74</v>
      </c>
      <c r="J6" s="9">
        <v>65.94</v>
      </c>
      <c r="K6" s="47">
        <v>430.8</v>
      </c>
      <c r="L6" s="8" t="s">
        <v>26</v>
      </c>
      <c r="M6" s="8" t="s">
        <v>20</v>
      </c>
      <c r="N6" s="8" t="s">
        <v>21</v>
      </c>
      <c r="O6" s="91">
        <f>VLOOKUP(E6,Product_Master!$B$2:$F$11,5,FALSE)</f>
        <v>40</v>
      </c>
      <c r="P6" s="91">
        <f>PRODUCT(Table15[[#This Row],[Quantity]],Table15[[#This Row],[Unit_Cost]])</f>
        <v>680</v>
      </c>
      <c r="Q6" s="72">
        <f>(Table15[[#This Row],[Profit]]/Table15[[#This Row],[Total_Sales]])</f>
        <v>0.36609616397844896</v>
      </c>
      <c r="R6" s="22"/>
      <c r="S6" s="22"/>
      <c r="T6" s="22"/>
      <c r="U6" s="22"/>
      <c r="W6" s="20"/>
      <c r="X6" s="20"/>
      <c r="Y6" s="20"/>
      <c r="Z6" s="20"/>
      <c r="AA6" s="20"/>
      <c r="AB6" s="20"/>
    </row>
    <row r="7" spans="1:28" x14ac:dyDescent="0.25">
      <c r="A7" s="7" t="s">
        <v>45</v>
      </c>
      <c r="B7" s="16">
        <v>45714</v>
      </c>
      <c r="C7" s="8" t="s">
        <v>46</v>
      </c>
      <c r="D7" s="8" t="str">
        <f>PROPER(TRIM(Sales_Data!D7))</f>
        <v>Mexico</v>
      </c>
      <c r="E7" s="8" t="s">
        <v>48</v>
      </c>
      <c r="F7" s="8" t="s">
        <v>37</v>
      </c>
      <c r="G7" s="91">
        <v>13</v>
      </c>
      <c r="H7" s="9">
        <v>27.94</v>
      </c>
      <c r="I7" s="87">
        <f>PRODUCT(Table15[[#This Row],[Quantity]],Table15[[#This Row],[Unit_Price]])</f>
        <v>363.22</v>
      </c>
      <c r="J7" s="9">
        <v>15.36</v>
      </c>
      <c r="K7" s="47">
        <v>87.86</v>
      </c>
      <c r="L7" s="8" t="s">
        <v>26</v>
      </c>
      <c r="M7" s="8" t="s">
        <v>20</v>
      </c>
      <c r="N7" s="8" t="s">
        <v>21</v>
      </c>
      <c r="O7" s="91">
        <f>VLOOKUP(E7,Product_Master!$B$2:$F$11,5,FALSE)</f>
        <v>20</v>
      </c>
      <c r="P7" s="91">
        <f>PRODUCT(Table15[[#This Row],[Quantity]],Table15[[#This Row],[Unit_Cost]])</f>
        <v>260</v>
      </c>
      <c r="Q7" s="72">
        <f>(Table15[[#This Row],[Profit]]/Table15[[#This Row],[Total_Sales]])</f>
        <v>0.2418919663014151</v>
      </c>
      <c r="R7" s="22"/>
      <c r="S7" s="22"/>
      <c r="T7" s="22"/>
      <c r="U7" s="22"/>
      <c r="W7" s="20"/>
      <c r="X7" s="20"/>
      <c r="Y7" s="20"/>
      <c r="Z7" s="20"/>
      <c r="AA7" s="20"/>
      <c r="AB7" s="20"/>
    </row>
    <row r="8" spans="1:28" x14ac:dyDescent="0.25">
      <c r="A8" s="7" t="s">
        <v>49</v>
      </c>
      <c r="B8" s="16">
        <v>45456</v>
      </c>
      <c r="C8" s="8" t="s">
        <v>50</v>
      </c>
      <c r="D8" s="8" t="str">
        <f>PROPER(TRIM(Sales_Data!D8))</f>
        <v>Uk</v>
      </c>
      <c r="E8" s="8" t="s">
        <v>51</v>
      </c>
      <c r="F8" s="8" t="s">
        <v>52</v>
      </c>
      <c r="G8" s="91">
        <v>3</v>
      </c>
      <c r="H8" s="9">
        <v>31.52</v>
      </c>
      <c r="I8" s="87">
        <f>PRODUCT(Table15[[#This Row],[Quantity]],Table15[[#This Row],[Unit_Price]])</f>
        <v>94.56</v>
      </c>
      <c r="J8" s="9">
        <v>6.98</v>
      </c>
      <c r="K8" s="47">
        <v>20.079999999999998</v>
      </c>
      <c r="L8" s="8" t="s">
        <v>19</v>
      </c>
      <c r="M8" s="8" t="s">
        <v>32</v>
      </c>
      <c r="N8" s="8" t="s">
        <v>28</v>
      </c>
      <c r="O8" s="91">
        <f>VLOOKUP(E8,Product_Master!$B$2:$F$11,5,FALSE)</f>
        <v>22.5</v>
      </c>
      <c r="P8" s="91">
        <f>PRODUCT(Table15[[#This Row],[Quantity]],Table15[[#This Row],[Unit_Cost]])</f>
        <v>67.5</v>
      </c>
      <c r="Q8" s="72">
        <f>(Table15[[#This Row],[Profit]]/Table15[[#This Row],[Total_Sales]])</f>
        <v>0.21235194585448391</v>
      </c>
      <c r="R8" s="22"/>
      <c r="S8" s="22"/>
      <c r="T8" s="22"/>
      <c r="U8" s="22"/>
      <c r="W8" s="20"/>
      <c r="X8" s="20"/>
      <c r="Y8" s="20"/>
      <c r="Z8" s="20"/>
      <c r="AA8" s="20"/>
      <c r="AB8" s="20"/>
    </row>
    <row r="9" spans="1:28" x14ac:dyDescent="0.25">
      <c r="A9" s="7" t="s">
        <v>53</v>
      </c>
      <c r="B9" s="16">
        <v>45778</v>
      </c>
      <c r="C9" s="8" t="s">
        <v>54</v>
      </c>
      <c r="D9" s="8" t="str">
        <f>PROPER(TRIM(Sales_Data!D9))</f>
        <v>China</v>
      </c>
      <c r="E9" s="8" t="s">
        <v>56</v>
      </c>
      <c r="F9" s="8" t="s">
        <v>57</v>
      </c>
      <c r="G9" s="91">
        <v>14</v>
      </c>
      <c r="H9" s="9">
        <v>30.71</v>
      </c>
      <c r="I9" s="87">
        <f>PRODUCT(Table15[[#This Row],[Quantity]],Table15[[#This Row],[Unit_Price]])</f>
        <v>429.94</v>
      </c>
      <c r="J9" s="9">
        <v>13.03</v>
      </c>
      <c r="K9" s="47">
        <v>66.91</v>
      </c>
      <c r="L9" s="8" t="s">
        <v>26</v>
      </c>
      <c r="M9" s="8" t="s">
        <v>20</v>
      </c>
      <c r="N9" s="8" t="s">
        <v>58</v>
      </c>
      <c r="O9" s="91">
        <f>VLOOKUP(E9,Product_Master!$B$2:$F$11,5,FALSE)</f>
        <v>25</v>
      </c>
      <c r="P9" s="91">
        <f>PRODUCT(Table15[[#This Row],[Quantity]],Table15[[#This Row],[Unit_Cost]])</f>
        <v>350</v>
      </c>
      <c r="Q9" s="72">
        <f>(Table15[[#This Row],[Profit]]/Table15[[#This Row],[Total_Sales]])</f>
        <v>0.15562636646973996</v>
      </c>
      <c r="R9" s="22"/>
      <c r="S9" s="22"/>
      <c r="T9" s="22"/>
      <c r="U9" s="22"/>
      <c r="W9" s="20"/>
      <c r="X9" s="20"/>
      <c r="Y9" s="20"/>
      <c r="Z9" s="20"/>
      <c r="AA9" s="20"/>
      <c r="AB9" s="20"/>
    </row>
    <row r="10" spans="1:28" x14ac:dyDescent="0.25">
      <c r="A10" s="7" t="s">
        <v>59</v>
      </c>
      <c r="B10" s="16">
        <v>45548</v>
      </c>
      <c r="C10" s="8" t="s">
        <v>30</v>
      </c>
      <c r="D10" s="8" t="str">
        <f>PROPER(TRIM(Sales_Data!D10))</f>
        <v>Usa</v>
      </c>
      <c r="E10" s="8" t="s">
        <v>60</v>
      </c>
      <c r="F10" s="8" t="s">
        <v>52</v>
      </c>
      <c r="G10" s="91">
        <v>47</v>
      </c>
      <c r="H10" s="9">
        <v>24.47</v>
      </c>
      <c r="I10" s="87">
        <f>PRODUCT(Table15[[#This Row],[Quantity]],Table15[[#This Row],[Unit_Price]])</f>
        <v>1150.0899999999999</v>
      </c>
      <c r="J10" s="9">
        <v>61.3</v>
      </c>
      <c r="K10" s="47">
        <v>360.29</v>
      </c>
      <c r="L10" s="8" t="s">
        <v>26</v>
      </c>
      <c r="M10" s="8" t="s">
        <v>20</v>
      </c>
      <c r="N10" s="8" t="s">
        <v>21</v>
      </c>
      <c r="O10" s="91">
        <f>VLOOKUP(E10,Product_Master!$B$2:$F$11,5,FALSE)</f>
        <v>15.5</v>
      </c>
      <c r="P10" s="91">
        <f>PRODUCT(Table15[[#This Row],[Quantity]],Table15[[#This Row],[Unit_Cost]])</f>
        <v>728.5</v>
      </c>
      <c r="Q10" s="72">
        <f>(Table15[[#This Row],[Profit]]/Table15[[#This Row],[Total_Sales]])</f>
        <v>0.31327113530245465</v>
      </c>
      <c r="R10" s="22"/>
      <c r="S10" s="22"/>
      <c r="T10" s="22"/>
      <c r="U10" s="22"/>
      <c r="W10" s="20"/>
      <c r="X10" s="20"/>
      <c r="Y10" s="20"/>
      <c r="Z10" s="20"/>
      <c r="AA10" s="20"/>
      <c r="AB10" s="20"/>
    </row>
    <row r="11" spans="1:28" x14ac:dyDescent="0.25">
      <c r="A11" s="7" t="s">
        <v>61</v>
      </c>
      <c r="B11" s="16">
        <v>45531</v>
      </c>
      <c r="C11" s="8" t="s">
        <v>62</v>
      </c>
      <c r="D11" s="8" t="str">
        <f>PROPER(TRIM(Sales_Data!D11))</f>
        <v>Italy</v>
      </c>
      <c r="E11" s="8" t="s">
        <v>63</v>
      </c>
      <c r="F11" s="8" t="s">
        <v>37</v>
      </c>
      <c r="G11" s="91">
        <v>27</v>
      </c>
      <c r="H11" s="9">
        <v>18.98</v>
      </c>
      <c r="I11" s="87">
        <f>PRODUCT(Table15[[#This Row],[Quantity]],Table15[[#This Row],[Unit_Price]])</f>
        <v>512.46</v>
      </c>
      <c r="J11" s="9">
        <v>28.89</v>
      </c>
      <c r="K11" s="47">
        <v>139.32</v>
      </c>
      <c r="L11" s="8" t="s">
        <v>26</v>
      </c>
      <c r="M11" s="8" t="s">
        <v>32</v>
      </c>
      <c r="N11" s="8" t="s">
        <v>28</v>
      </c>
      <c r="O11" s="91">
        <f>VLOOKUP(E11,Product_Master!$B$2:$F$11,5,FALSE)</f>
        <v>12.75</v>
      </c>
      <c r="P11" s="91">
        <f>PRODUCT(Table15[[#This Row],[Quantity]],Table15[[#This Row],[Unit_Cost]])</f>
        <v>344.25</v>
      </c>
      <c r="Q11" s="72">
        <f>(Table15[[#This Row],[Profit]]/Table15[[#This Row],[Total_Sales]])</f>
        <v>0.27186512118018963</v>
      </c>
      <c r="R11" s="22"/>
      <c r="S11" s="22"/>
      <c r="T11" s="22"/>
      <c r="U11" s="22"/>
      <c r="W11" s="20"/>
      <c r="X11" s="20"/>
      <c r="Y11" s="20"/>
      <c r="Z11" s="20"/>
      <c r="AA11" s="20"/>
      <c r="AB11" s="20"/>
    </row>
    <row r="12" spans="1:28" ht="18.75" x14ac:dyDescent="0.25">
      <c r="A12" s="7" t="s">
        <v>64</v>
      </c>
      <c r="B12" s="16">
        <v>45754</v>
      </c>
      <c r="C12" s="8" t="s">
        <v>65</v>
      </c>
      <c r="D12" s="8" t="str">
        <f>PROPER(TRIM(Sales_Data!D12))</f>
        <v>China</v>
      </c>
      <c r="E12" s="8" t="s">
        <v>17</v>
      </c>
      <c r="F12" s="8" t="s">
        <v>18</v>
      </c>
      <c r="G12" s="91">
        <v>32</v>
      </c>
      <c r="H12" s="9">
        <v>57.84</v>
      </c>
      <c r="I12" s="87">
        <f>PRODUCT(Table15[[#This Row],[Quantity]],Table15[[#This Row],[Unit_Price]])</f>
        <v>1850.88</v>
      </c>
      <c r="J12" s="9">
        <v>55.15</v>
      </c>
      <c r="K12" s="47">
        <v>675.73</v>
      </c>
      <c r="L12" s="8" t="s">
        <v>19</v>
      </c>
      <c r="M12" s="8" t="s">
        <v>20</v>
      </c>
      <c r="N12" s="8" t="s">
        <v>58</v>
      </c>
      <c r="O12" s="91">
        <f>VLOOKUP(E12,Product_Master!$B$2:$F$11,5,FALSE)</f>
        <v>35</v>
      </c>
      <c r="P12" s="91">
        <f>PRODUCT(Table15[[#This Row],[Quantity]],Table15[[#This Row],[Unit_Cost]])</f>
        <v>1120</v>
      </c>
      <c r="Q12" s="72">
        <f>(Table15[[#This Row],[Profit]]/Table15[[#This Row],[Total_Sales]])</f>
        <v>0.36508579702627936</v>
      </c>
      <c r="R12" s="22"/>
      <c r="S12" s="115" t="s">
        <v>1083</v>
      </c>
      <c r="T12" s="115"/>
      <c r="U12" s="115"/>
    </row>
    <row r="13" spans="1:28" x14ac:dyDescent="0.25">
      <c r="A13" s="7" t="s">
        <v>66</v>
      </c>
      <c r="B13" s="16">
        <v>45634</v>
      </c>
      <c r="C13" s="8" t="s">
        <v>67</v>
      </c>
      <c r="D13" s="8" t="str">
        <f>PROPER(TRIM(Sales_Data!D13))</f>
        <v>Canada</v>
      </c>
      <c r="E13" s="8" t="s">
        <v>43</v>
      </c>
      <c r="F13" s="8" t="s">
        <v>44</v>
      </c>
      <c r="G13" s="91">
        <v>49</v>
      </c>
      <c r="H13" s="9">
        <v>58.77</v>
      </c>
      <c r="I13" s="87">
        <f>PRODUCT(Table15[[#This Row],[Quantity]],Table15[[#This Row],[Unit_Price]])</f>
        <v>2879.73</v>
      </c>
      <c r="J13" s="9">
        <v>140.29</v>
      </c>
      <c r="K13" s="47">
        <v>779.44</v>
      </c>
      <c r="L13" s="8" t="s">
        <v>38</v>
      </c>
      <c r="M13" s="8" t="s">
        <v>32</v>
      </c>
      <c r="N13" s="8" t="s">
        <v>21</v>
      </c>
      <c r="O13" s="91">
        <f>VLOOKUP(E13,Product_Master!$B$2:$F$11,5,FALSE)</f>
        <v>40</v>
      </c>
      <c r="P13" s="91">
        <f>PRODUCT(Table15[[#This Row],[Quantity]],Table15[[#This Row],[Unit_Cost]])</f>
        <v>1960</v>
      </c>
      <c r="Q13" s="72">
        <f>(Table15[[#This Row],[Profit]]/Table15[[#This Row],[Total_Sales]])</f>
        <v>0.27066426366360735</v>
      </c>
      <c r="R13" s="22"/>
      <c r="S13" s="8" t="s">
        <v>1090</v>
      </c>
      <c r="T13" s="8" t="s">
        <v>1091</v>
      </c>
      <c r="U13" s="8" t="s">
        <v>1092</v>
      </c>
    </row>
    <row r="14" spans="1:28" x14ac:dyDescent="0.25">
      <c r="A14" s="7" t="s">
        <v>68</v>
      </c>
      <c r="B14" s="16">
        <v>45547</v>
      </c>
      <c r="C14" s="8" t="s">
        <v>65</v>
      </c>
      <c r="D14" s="8" t="str">
        <f>PROPER(TRIM(Sales_Data!D14))</f>
        <v>Singapore</v>
      </c>
      <c r="E14" s="8" t="s">
        <v>17</v>
      </c>
      <c r="F14" s="8" t="s">
        <v>18</v>
      </c>
      <c r="G14" s="91">
        <v>43</v>
      </c>
      <c r="H14" s="9">
        <v>56.92</v>
      </c>
      <c r="I14" s="87">
        <f>PRODUCT(Table15[[#This Row],[Quantity]],Table15[[#This Row],[Unit_Price]])</f>
        <v>2447.56</v>
      </c>
      <c r="J14" s="9">
        <v>140.4</v>
      </c>
      <c r="K14" s="47">
        <v>802.16</v>
      </c>
      <c r="L14" s="8" t="s">
        <v>19</v>
      </c>
      <c r="M14" s="8" t="s">
        <v>27</v>
      </c>
      <c r="N14" s="8" t="s">
        <v>58</v>
      </c>
      <c r="O14" s="91">
        <f>VLOOKUP(E14,Product_Master!$B$2:$F$11,5,FALSE)</f>
        <v>35</v>
      </c>
      <c r="P14" s="91">
        <f>PRODUCT(Table15[[#This Row],[Quantity]],Table15[[#This Row],[Unit_Cost]])</f>
        <v>1505</v>
      </c>
      <c r="Q14" s="72">
        <f>(Table15[[#This Row],[Profit]]/Table15[[#This Row],[Total_Sales]])</f>
        <v>0.3277386458350357</v>
      </c>
      <c r="R14" s="22"/>
      <c r="S14" s="97">
        <f>AVERAGE(Table15[Profit Margin %])</f>
        <v>0.27267437490594426</v>
      </c>
      <c r="T14" s="97">
        <f>MIN(Table15[Profit Margin %])</f>
        <v>9.3578691423519017E-2</v>
      </c>
      <c r="U14" s="97">
        <f>MAX(Table15[Profit Margin %])</f>
        <v>0.42019875028231574</v>
      </c>
    </row>
    <row r="15" spans="1:28" x14ac:dyDescent="0.25">
      <c r="A15" s="7" t="s">
        <v>70</v>
      </c>
      <c r="B15" s="16">
        <v>45350</v>
      </c>
      <c r="C15" s="8" t="s">
        <v>71</v>
      </c>
      <c r="D15" s="8" t="str">
        <f>PROPER(TRIM(Sales_Data!D15))</f>
        <v>Italy</v>
      </c>
      <c r="E15" s="8" t="s">
        <v>56</v>
      </c>
      <c r="F15" s="8" t="s">
        <v>57</v>
      </c>
      <c r="G15" s="91">
        <v>32</v>
      </c>
      <c r="H15" s="9">
        <v>43.45</v>
      </c>
      <c r="I15" s="87">
        <f>PRODUCT(Table15[[#This Row],[Quantity]],Table15[[#This Row],[Unit_Price]])</f>
        <v>1390.4</v>
      </c>
      <c r="J15" s="9">
        <v>30.04</v>
      </c>
      <c r="K15" s="47">
        <v>560.36</v>
      </c>
      <c r="L15" s="8" t="s">
        <v>19</v>
      </c>
      <c r="M15" s="8" t="s">
        <v>32</v>
      </c>
      <c r="N15" s="8" t="s">
        <v>28</v>
      </c>
      <c r="O15" s="91">
        <f>VLOOKUP(E15,Product_Master!$B$2:$F$11,5,FALSE)</f>
        <v>25</v>
      </c>
      <c r="P15" s="91">
        <f>PRODUCT(Table15[[#This Row],[Quantity]],Table15[[#This Row],[Unit_Cost]])</f>
        <v>800</v>
      </c>
      <c r="Q15" s="72">
        <f>(Table15[[#This Row],[Profit]]/Table15[[#This Row],[Total_Sales]])</f>
        <v>0.4030207134637514</v>
      </c>
      <c r="R15" s="22"/>
      <c r="S15" s="22"/>
      <c r="T15" s="22"/>
      <c r="U15" s="22"/>
    </row>
    <row r="16" spans="1:28" x14ac:dyDescent="0.25">
      <c r="A16" s="7" t="s">
        <v>72</v>
      </c>
      <c r="B16" s="16">
        <v>45378</v>
      </c>
      <c r="C16" s="8" t="s">
        <v>73</v>
      </c>
      <c r="D16" s="8" t="str">
        <f>PROPER(TRIM(Sales_Data!D16))</f>
        <v>Uae</v>
      </c>
      <c r="E16" s="8" t="s">
        <v>56</v>
      </c>
      <c r="F16" s="8" t="s">
        <v>57</v>
      </c>
      <c r="G16" s="91">
        <v>22</v>
      </c>
      <c r="H16" s="9">
        <v>42.59</v>
      </c>
      <c r="I16" s="87">
        <f>PRODUCT(Table15[[#This Row],[Quantity]],Table15[[#This Row],[Unit_Price]])</f>
        <v>936.98</v>
      </c>
      <c r="J16" s="9">
        <v>29.87</v>
      </c>
      <c r="K16" s="47">
        <v>357.11</v>
      </c>
      <c r="L16" s="8" t="s">
        <v>26</v>
      </c>
      <c r="M16" s="8" t="s">
        <v>32</v>
      </c>
      <c r="N16" s="8" t="s">
        <v>58</v>
      </c>
      <c r="O16" s="91">
        <f>VLOOKUP(E16,Product_Master!$B$2:$F$11,5,FALSE)</f>
        <v>25</v>
      </c>
      <c r="P16" s="91">
        <f>PRODUCT(Table15[[#This Row],[Quantity]],Table15[[#This Row],[Unit_Cost]])</f>
        <v>550</v>
      </c>
      <c r="Q16" s="72">
        <f>(Table15[[#This Row],[Profit]]/Table15[[#This Row],[Total_Sales]])</f>
        <v>0.38112873273709152</v>
      </c>
      <c r="R16" s="22"/>
      <c r="S16" s="22"/>
      <c r="T16" s="22"/>
      <c r="U16" s="22"/>
    </row>
    <row r="17" spans="1:21" x14ac:dyDescent="0.25">
      <c r="A17" s="7" t="s">
        <v>75</v>
      </c>
      <c r="B17" s="16">
        <v>45556</v>
      </c>
      <c r="C17" s="8" t="s">
        <v>76</v>
      </c>
      <c r="D17" s="8" t="str">
        <f>PROPER(TRIM(Sales_Data!D17))</f>
        <v>Japan</v>
      </c>
      <c r="E17" s="8" t="s">
        <v>48</v>
      </c>
      <c r="F17" s="8" t="s">
        <v>37</v>
      </c>
      <c r="G17" s="91">
        <v>48</v>
      </c>
      <c r="H17" s="9">
        <v>25.36</v>
      </c>
      <c r="I17" s="87">
        <f>PRODUCT(Table15[[#This Row],[Quantity]],Table15[[#This Row],[Unit_Price]])</f>
        <v>1217.28</v>
      </c>
      <c r="J17" s="9">
        <v>49.68</v>
      </c>
      <c r="K17" s="47">
        <v>207.6</v>
      </c>
      <c r="L17" s="8" t="s">
        <v>26</v>
      </c>
      <c r="M17" s="8" t="s">
        <v>20</v>
      </c>
      <c r="N17" s="8" t="s">
        <v>58</v>
      </c>
      <c r="O17" s="91">
        <f>VLOOKUP(E17,Product_Master!$B$2:$F$11,5,FALSE)</f>
        <v>20</v>
      </c>
      <c r="P17" s="91">
        <f>PRODUCT(Table15[[#This Row],[Quantity]],Table15[[#This Row],[Unit_Cost]])</f>
        <v>960</v>
      </c>
      <c r="Q17" s="72">
        <f>(Table15[[#This Row],[Profit]]/Table15[[#This Row],[Total_Sales]])</f>
        <v>0.17054416403785488</v>
      </c>
      <c r="R17" s="22"/>
      <c r="S17" s="22"/>
      <c r="T17" s="22"/>
      <c r="U17" s="22"/>
    </row>
    <row r="18" spans="1:21" x14ac:dyDescent="0.25">
      <c r="A18" s="7" t="s">
        <v>78</v>
      </c>
      <c r="B18" s="16">
        <v>45506</v>
      </c>
      <c r="C18" s="8" t="s">
        <v>65</v>
      </c>
      <c r="D18" s="8" t="str">
        <f>PROPER(TRIM(Sales_Data!D18))</f>
        <v>Uae</v>
      </c>
      <c r="E18" s="8" t="s">
        <v>25</v>
      </c>
      <c r="F18" s="8" t="s">
        <v>18</v>
      </c>
      <c r="G18" s="91">
        <v>48</v>
      </c>
      <c r="H18" s="9">
        <v>30.07</v>
      </c>
      <c r="I18" s="87">
        <f>PRODUCT(Table15[[#This Row],[Quantity]],Table15[[#This Row],[Unit_Price]])</f>
        <v>1443.3600000000001</v>
      </c>
      <c r="J18" s="9">
        <v>102.31</v>
      </c>
      <c r="K18" s="47">
        <v>477.05</v>
      </c>
      <c r="L18" s="8" t="s">
        <v>38</v>
      </c>
      <c r="M18" s="8" t="s">
        <v>20</v>
      </c>
      <c r="N18" s="8" t="s">
        <v>58</v>
      </c>
      <c r="O18" s="91">
        <f>VLOOKUP(E18,Product_Master!$B$2:$F$11,5,FALSE)</f>
        <v>18</v>
      </c>
      <c r="P18" s="91">
        <f>PRODUCT(Table15[[#This Row],[Quantity]],Table15[[#This Row],[Unit_Cost]])</f>
        <v>864</v>
      </c>
      <c r="Q18" s="72">
        <f>(Table15[[#This Row],[Profit]]/Table15[[#This Row],[Total_Sales]])</f>
        <v>0.33051352399955658</v>
      </c>
      <c r="R18" s="22"/>
      <c r="S18" s="22"/>
      <c r="T18" s="22"/>
      <c r="U18" s="22"/>
    </row>
    <row r="19" spans="1:21" x14ac:dyDescent="0.25">
      <c r="A19" s="7" t="s">
        <v>79</v>
      </c>
      <c r="B19" s="16">
        <v>45564</v>
      </c>
      <c r="C19" s="8" t="s">
        <v>46</v>
      </c>
      <c r="D19" s="8" t="str">
        <f>PROPER(TRIM(Sales_Data!D19))</f>
        <v>Uae</v>
      </c>
      <c r="E19" s="8" t="s">
        <v>48</v>
      </c>
      <c r="F19" s="8" t="s">
        <v>37</v>
      </c>
      <c r="G19" s="91">
        <v>6</v>
      </c>
      <c r="H19" s="9">
        <v>32.17</v>
      </c>
      <c r="I19" s="87">
        <f>PRODUCT(Table15[[#This Row],[Quantity]],Table15[[#This Row],[Unit_Price]])</f>
        <v>193.02</v>
      </c>
      <c r="J19" s="9">
        <v>14.45</v>
      </c>
      <c r="K19" s="47">
        <v>58.57</v>
      </c>
      <c r="L19" s="8" t="s">
        <v>38</v>
      </c>
      <c r="M19" s="8" t="s">
        <v>20</v>
      </c>
      <c r="N19" s="8" t="s">
        <v>58</v>
      </c>
      <c r="O19" s="91">
        <f>VLOOKUP(E19,Product_Master!$B$2:$F$11,5,FALSE)</f>
        <v>20</v>
      </c>
      <c r="P19" s="91">
        <f>PRODUCT(Table15[[#This Row],[Quantity]],Table15[[#This Row],[Unit_Cost]])</f>
        <v>120</v>
      </c>
      <c r="Q19" s="72">
        <f>(Table15[[#This Row],[Profit]]/Table15[[#This Row],[Total_Sales]])</f>
        <v>0.30344005802507512</v>
      </c>
      <c r="R19" s="22"/>
      <c r="S19" s="22"/>
      <c r="T19" s="22"/>
      <c r="U19" s="22"/>
    </row>
    <row r="20" spans="1:21" x14ac:dyDescent="0.25">
      <c r="A20" s="7" t="s">
        <v>80</v>
      </c>
      <c r="B20" s="16">
        <v>45476</v>
      </c>
      <c r="C20" s="8" t="s">
        <v>81</v>
      </c>
      <c r="D20" s="8" t="str">
        <f>PROPER(TRIM(Sales_Data!D20))</f>
        <v>Singapore</v>
      </c>
      <c r="E20" s="8" t="s">
        <v>25</v>
      </c>
      <c r="F20" s="8" t="s">
        <v>18</v>
      </c>
      <c r="G20" s="91">
        <v>37</v>
      </c>
      <c r="H20" s="9">
        <v>24.14</v>
      </c>
      <c r="I20" s="87">
        <f>PRODUCT(Table15[[#This Row],[Quantity]],Table15[[#This Row],[Unit_Price]])</f>
        <v>893.18000000000006</v>
      </c>
      <c r="J20" s="9">
        <v>31.39</v>
      </c>
      <c r="K20" s="47">
        <v>195.79</v>
      </c>
      <c r="L20" s="8" t="s">
        <v>26</v>
      </c>
      <c r="M20" s="8" t="s">
        <v>27</v>
      </c>
      <c r="N20" s="8" t="s">
        <v>58</v>
      </c>
      <c r="O20" s="91">
        <f>VLOOKUP(E20,Product_Master!$B$2:$F$11,5,FALSE)</f>
        <v>18</v>
      </c>
      <c r="P20" s="91">
        <f>PRODUCT(Table15[[#This Row],[Quantity]],Table15[[#This Row],[Unit_Cost]])</f>
        <v>666</v>
      </c>
      <c r="Q20" s="72">
        <f>(Table15[[#This Row],[Profit]]/Table15[[#This Row],[Total_Sales]])</f>
        <v>0.2192055352784433</v>
      </c>
      <c r="R20" s="22"/>
      <c r="S20" s="22"/>
      <c r="T20" s="22"/>
      <c r="U20" s="22"/>
    </row>
    <row r="21" spans="1:21" x14ac:dyDescent="0.25">
      <c r="A21" s="7" t="s">
        <v>82</v>
      </c>
      <c r="B21" s="16">
        <v>45770</v>
      </c>
      <c r="C21" s="8" t="s">
        <v>41</v>
      </c>
      <c r="D21" s="8" t="str">
        <f>PROPER(TRIM(Sales_Data!D21))</f>
        <v>Uk</v>
      </c>
      <c r="E21" s="8" t="s">
        <v>83</v>
      </c>
      <c r="F21" s="8" t="s">
        <v>52</v>
      </c>
      <c r="G21" s="91">
        <v>39</v>
      </c>
      <c r="H21" s="9">
        <v>37.840000000000003</v>
      </c>
      <c r="I21" s="87">
        <f>PRODUCT(Table15[[#This Row],[Quantity]],Table15[[#This Row],[Unit_Price]])</f>
        <v>1475.7600000000002</v>
      </c>
      <c r="J21" s="9">
        <v>73.400000000000006</v>
      </c>
      <c r="K21" s="47">
        <v>310.36</v>
      </c>
      <c r="L21" s="8" t="s">
        <v>26</v>
      </c>
      <c r="M21" s="8" t="s">
        <v>32</v>
      </c>
      <c r="N21" s="8" t="s">
        <v>28</v>
      </c>
      <c r="O21" s="91">
        <f>VLOOKUP(E21,Product_Master!$B$2:$F$11,5,FALSE)</f>
        <v>28</v>
      </c>
      <c r="P21" s="91">
        <f>PRODUCT(Table15[[#This Row],[Quantity]],Table15[[#This Row],[Unit_Cost]])</f>
        <v>1092</v>
      </c>
      <c r="Q21" s="72">
        <f>(Table15[[#This Row],[Profit]]/Table15[[#This Row],[Total_Sales]])</f>
        <v>0.21030519867729167</v>
      </c>
      <c r="R21" s="22"/>
      <c r="S21" s="22"/>
      <c r="T21" s="22"/>
      <c r="U21" s="22"/>
    </row>
    <row r="22" spans="1:21" x14ac:dyDescent="0.25">
      <c r="A22" s="7" t="s">
        <v>84</v>
      </c>
      <c r="B22" s="16">
        <v>45715</v>
      </c>
      <c r="C22" s="8" t="s">
        <v>85</v>
      </c>
      <c r="D22" s="8" t="str">
        <f>PROPER(TRIM(Sales_Data!D22))</f>
        <v>South Africa</v>
      </c>
      <c r="E22" s="8" t="s">
        <v>43</v>
      </c>
      <c r="F22" s="8" t="s">
        <v>44</v>
      </c>
      <c r="G22" s="91">
        <v>6</v>
      </c>
      <c r="H22" s="9">
        <v>68.77</v>
      </c>
      <c r="I22" s="87">
        <f>PRODUCT(Table15[[#This Row],[Quantity]],Table15[[#This Row],[Unit_Price]])</f>
        <v>412.62</v>
      </c>
      <c r="J22" s="9">
        <v>17.18</v>
      </c>
      <c r="K22" s="47">
        <v>155.44</v>
      </c>
      <c r="L22" s="8" t="s">
        <v>26</v>
      </c>
      <c r="M22" s="8" t="s">
        <v>20</v>
      </c>
      <c r="N22" s="8" t="s">
        <v>87</v>
      </c>
      <c r="O22" s="91">
        <f>VLOOKUP(E22,Product_Master!$B$2:$F$11,5,FALSE)</f>
        <v>40</v>
      </c>
      <c r="P22" s="91">
        <f>PRODUCT(Table15[[#This Row],[Quantity]],Table15[[#This Row],[Unit_Cost]])</f>
        <v>240</v>
      </c>
      <c r="Q22" s="72">
        <f>(Table15[[#This Row],[Profit]]/Table15[[#This Row],[Total_Sales]])</f>
        <v>0.37671465270709126</v>
      </c>
      <c r="R22" s="22"/>
      <c r="S22" s="22"/>
      <c r="T22" s="22"/>
      <c r="U22" s="22"/>
    </row>
    <row r="23" spans="1:21" x14ac:dyDescent="0.25">
      <c r="A23" s="7" t="s">
        <v>88</v>
      </c>
      <c r="B23" s="16">
        <v>45741</v>
      </c>
      <c r="C23" s="8" t="s">
        <v>89</v>
      </c>
      <c r="D23" s="8" t="str">
        <f>PROPER(TRIM(Sales_Data!D23))</f>
        <v>Canada</v>
      </c>
      <c r="E23" s="8" t="s">
        <v>63</v>
      </c>
      <c r="F23" s="8" t="s">
        <v>37</v>
      </c>
      <c r="G23" s="91">
        <v>6</v>
      </c>
      <c r="H23" s="9">
        <v>18.5</v>
      </c>
      <c r="I23" s="87">
        <f>PRODUCT(Table15[[#This Row],[Quantity]],Table15[[#This Row],[Unit_Price]])</f>
        <v>111</v>
      </c>
      <c r="J23" s="9">
        <v>5.26</v>
      </c>
      <c r="K23" s="47">
        <v>29.24</v>
      </c>
      <c r="L23" s="8" t="s">
        <v>38</v>
      </c>
      <c r="M23" s="8" t="s">
        <v>27</v>
      </c>
      <c r="N23" s="8" t="s">
        <v>21</v>
      </c>
      <c r="O23" s="91">
        <f>VLOOKUP(E23,Product_Master!$B$2:$F$11,5,FALSE)</f>
        <v>12.75</v>
      </c>
      <c r="P23" s="91">
        <f>PRODUCT(Table15[[#This Row],[Quantity]],Table15[[#This Row],[Unit_Cost]])</f>
        <v>76.5</v>
      </c>
      <c r="Q23" s="72">
        <f>(Table15[[#This Row],[Profit]]/Table15[[#This Row],[Total_Sales]])</f>
        <v>0.2634234234234234</v>
      </c>
      <c r="R23" s="22"/>
      <c r="S23" s="22"/>
      <c r="T23" s="22"/>
      <c r="U23" s="22"/>
    </row>
    <row r="24" spans="1:21" x14ac:dyDescent="0.25">
      <c r="A24" s="7" t="s">
        <v>90</v>
      </c>
      <c r="B24" s="16">
        <v>45426</v>
      </c>
      <c r="C24" s="8" t="s">
        <v>91</v>
      </c>
      <c r="D24" s="8" t="str">
        <f>PROPER(TRIM(Sales_Data!D24))</f>
        <v>Italy</v>
      </c>
      <c r="E24" s="8" t="s">
        <v>51</v>
      </c>
      <c r="F24" s="8" t="s">
        <v>52</v>
      </c>
      <c r="G24" s="91">
        <v>33</v>
      </c>
      <c r="H24" s="9">
        <v>28.96</v>
      </c>
      <c r="I24" s="87">
        <f>PRODUCT(Table15[[#This Row],[Quantity]],Table15[[#This Row],[Unit_Price]])</f>
        <v>955.68000000000006</v>
      </c>
      <c r="J24" s="9">
        <v>49.07</v>
      </c>
      <c r="K24" s="47">
        <v>164.11</v>
      </c>
      <c r="L24" s="8" t="s">
        <v>26</v>
      </c>
      <c r="M24" s="8" t="s">
        <v>20</v>
      </c>
      <c r="N24" s="8" t="s">
        <v>28</v>
      </c>
      <c r="O24" s="91">
        <f>VLOOKUP(E24,Product_Master!$B$2:$F$11,5,FALSE)</f>
        <v>22.5</v>
      </c>
      <c r="P24" s="91">
        <f>PRODUCT(Table15[[#This Row],[Quantity]],Table15[[#This Row],[Unit_Cost]])</f>
        <v>742.5</v>
      </c>
      <c r="Q24" s="72">
        <f>(Table15[[#This Row],[Profit]]/Table15[[#This Row],[Total_Sales]])</f>
        <v>0.17172065963502428</v>
      </c>
      <c r="R24" s="22"/>
      <c r="S24" s="22"/>
      <c r="T24" s="22"/>
      <c r="U24" s="22"/>
    </row>
    <row r="25" spans="1:21" x14ac:dyDescent="0.25">
      <c r="A25" s="7" t="s">
        <v>92</v>
      </c>
      <c r="B25" s="16">
        <v>45336</v>
      </c>
      <c r="C25" s="8" t="s">
        <v>93</v>
      </c>
      <c r="D25" s="8" t="str">
        <f>PROPER(TRIM(Sales_Data!D25))</f>
        <v>Canada</v>
      </c>
      <c r="E25" s="8" t="s">
        <v>51</v>
      </c>
      <c r="F25" s="8" t="s">
        <v>52</v>
      </c>
      <c r="G25" s="91">
        <v>31</v>
      </c>
      <c r="H25" s="9">
        <v>35.020000000000003</v>
      </c>
      <c r="I25" s="87">
        <f>PRODUCT(Table15[[#This Row],[Quantity]],Table15[[#This Row],[Unit_Price]])</f>
        <v>1085.6200000000001</v>
      </c>
      <c r="J25" s="9">
        <v>74.650000000000006</v>
      </c>
      <c r="K25" s="47">
        <v>313.47000000000003</v>
      </c>
      <c r="L25" s="8" t="s">
        <v>38</v>
      </c>
      <c r="M25" s="8" t="s">
        <v>20</v>
      </c>
      <c r="N25" s="8" t="s">
        <v>21</v>
      </c>
      <c r="O25" s="91">
        <f>VLOOKUP(E25,Product_Master!$B$2:$F$11,5,FALSE)</f>
        <v>22.5</v>
      </c>
      <c r="P25" s="91">
        <f>PRODUCT(Table15[[#This Row],[Quantity]],Table15[[#This Row],[Unit_Cost]])</f>
        <v>697.5</v>
      </c>
      <c r="Q25" s="72">
        <f>(Table15[[#This Row],[Profit]]/Table15[[#This Row],[Total_Sales]])</f>
        <v>0.28874744385696655</v>
      </c>
      <c r="R25" s="22"/>
      <c r="S25" s="22"/>
      <c r="T25" s="22"/>
      <c r="U25" s="22"/>
    </row>
    <row r="26" spans="1:21" x14ac:dyDescent="0.25">
      <c r="A26" s="7" t="s">
        <v>94</v>
      </c>
      <c r="B26" s="16">
        <v>45771</v>
      </c>
      <c r="C26" s="8" t="s">
        <v>95</v>
      </c>
      <c r="D26" s="8" t="str">
        <f>PROPER(TRIM(Sales_Data!D26))</f>
        <v>Canada</v>
      </c>
      <c r="E26" s="8" t="s">
        <v>48</v>
      </c>
      <c r="F26" s="8" t="s">
        <v>37</v>
      </c>
      <c r="G26" s="91">
        <v>25</v>
      </c>
      <c r="H26" s="9">
        <v>31.57</v>
      </c>
      <c r="I26" s="87">
        <f>PRODUCT(Table15[[#This Row],[Quantity]],Table15[[#This Row],[Unit_Price]])</f>
        <v>789.25</v>
      </c>
      <c r="J26" s="9">
        <v>56.47</v>
      </c>
      <c r="K26" s="47">
        <v>232.78</v>
      </c>
      <c r="L26" s="8" t="s">
        <v>26</v>
      </c>
      <c r="M26" s="8" t="s">
        <v>27</v>
      </c>
      <c r="N26" s="8" t="s">
        <v>21</v>
      </c>
      <c r="O26" s="91">
        <f>VLOOKUP(E26,Product_Master!$B$2:$F$11,5,FALSE)</f>
        <v>20</v>
      </c>
      <c r="P26" s="91">
        <f>PRODUCT(Table15[[#This Row],[Quantity]],Table15[[#This Row],[Unit_Cost]])</f>
        <v>500</v>
      </c>
      <c r="Q26" s="72">
        <f>(Table15[[#This Row],[Profit]]/Table15[[#This Row],[Total_Sales]])</f>
        <v>0.29493823249920809</v>
      </c>
      <c r="R26" s="22"/>
      <c r="S26" s="22"/>
      <c r="T26" s="22"/>
      <c r="U26" s="22"/>
    </row>
    <row r="27" spans="1:21" x14ac:dyDescent="0.25">
      <c r="A27" s="7" t="s">
        <v>96</v>
      </c>
      <c r="B27" s="16">
        <v>45648</v>
      </c>
      <c r="C27" s="8" t="s">
        <v>97</v>
      </c>
      <c r="D27" s="8" t="str">
        <f>PROPER(TRIM(Sales_Data!D27))</f>
        <v>Italy</v>
      </c>
      <c r="E27" s="8" t="s">
        <v>60</v>
      </c>
      <c r="F27" s="8" t="s">
        <v>52</v>
      </c>
      <c r="G27" s="91">
        <v>14</v>
      </c>
      <c r="H27" s="9">
        <v>27.08</v>
      </c>
      <c r="I27" s="87">
        <f>PRODUCT(Table15[[#This Row],[Quantity]],Table15[[#This Row],[Unit_Price]])</f>
        <v>379.12</v>
      </c>
      <c r="J27" s="9">
        <v>11.12</v>
      </c>
      <c r="K27" s="47">
        <v>151</v>
      </c>
      <c r="L27" s="8" t="s">
        <v>26</v>
      </c>
      <c r="M27" s="8" t="s">
        <v>32</v>
      </c>
      <c r="N27" s="8" t="s">
        <v>28</v>
      </c>
      <c r="O27" s="91">
        <f>VLOOKUP(E27,Product_Master!$B$2:$F$11,5,FALSE)</f>
        <v>15.5</v>
      </c>
      <c r="P27" s="91">
        <f>PRODUCT(Table15[[#This Row],[Quantity]],Table15[[#This Row],[Unit_Cost]])</f>
        <v>217</v>
      </c>
      <c r="Q27" s="72">
        <f>(Table15[[#This Row],[Profit]]/Table15[[#This Row],[Total_Sales]])</f>
        <v>0.39829077864528378</v>
      </c>
      <c r="R27" s="22"/>
      <c r="S27" s="22"/>
      <c r="T27" s="22"/>
      <c r="U27" s="22"/>
    </row>
    <row r="28" spans="1:21" x14ac:dyDescent="0.25">
      <c r="A28" s="7" t="s">
        <v>98</v>
      </c>
      <c r="B28" s="16">
        <v>45445</v>
      </c>
      <c r="C28" s="8" t="s">
        <v>34</v>
      </c>
      <c r="D28" s="8" t="str">
        <f>PROPER(TRIM(Sales_Data!D28))</f>
        <v>Italy</v>
      </c>
      <c r="E28" s="8" t="s">
        <v>83</v>
      </c>
      <c r="F28" s="8" t="s">
        <v>52</v>
      </c>
      <c r="G28" s="91">
        <v>39</v>
      </c>
      <c r="H28" s="9">
        <v>35.32</v>
      </c>
      <c r="I28" s="87">
        <f>PRODUCT(Table15[[#This Row],[Quantity]],Table15[[#This Row],[Unit_Price]])</f>
        <v>1377.48</v>
      </c>
      <c r="J28" s="9">
        <v>63.72</v>
      </c>
      <c r="K28" s="47">
        <v>221.76</v>
      </c>
      <c r="L28" s="8" t="s">
        <v>26</v>
      </c>
      <c r="M28" s="8" t="s">
        <v>27</v>
      </c>
      <c r="N28" s="8" t="s">
        <v>28</v>
      </c>
      <c r="O28" s="91">
        <f>VLOOKUP(E28,Product_Master!$B$2:$F$11,5,FALSE)</f>
        <v>28</v>
      </c>
      <c r="P28" s="91">
        <f>PRODUCT(Table15[[#This Row],[Quantity]],Table15[[#This Row],[Unit_Cost]])</f>
        <v>1092</v>
      </c>
      <c r="Q28" s="72">
        <f>(Table15[[#This Row],[Profit]]/Table15[[#This Row],[Total_Sales]])</f>
        <v>0.16098963324331386</v>
      </c>
      <c r="R28" s="22"/>
      <c r="S28" s="22"/>
      <c r="T28" s="22"/>
      <c r="U28" s="22"/>
    </row>
    <row r="29" spans="1:21" x14ac:dyDescent="0.25">
      <c r="A29" s="7" t="s">
        <v>99</v>
      </c>
      <c r="B29" s="16">
        <v>45527</v>
      </c>
      <c r="C29" s="8" t="s">
        <v>100</v>
      </c>
      <c r="D29" s="8" t="str">
        <f>PROPER(TRIM(Sales_Data!D29))</f>
        <v>China</v>
      </c>
      <c r="E29" s="8" t="s">
        <v>51</v>
      </c>
      <c r="F29" s="8" t="s">
        <v>52</v>
      </c>
      <c r="G29" s="91">
        <v>6</v>
      </c>
      <c r="H29" s="9">
        <v>39.630000000000003</v>
      </c>
      <c r="I29" s="87">
        <f>PRODUCT(Table15[[#This Row],[Quantity]],Table15[[#This Row],[Unit_Price]])</f>
        <v>237.78000000000003</v>
      </c>
      <c r="J29" s="9">
        <v>8.08</v>
      </c>
      <c r="K29" s="47">
        <v>94.7</v>
      </c>
      <c r="L29" s="8" t="s">
        <v>19</v>
      </c>
      <c r="M29" s="8" t="s">
        <v>32</v>
      </c>
      <c r="N29" s="8" t="s">
        <v>58</v>
      </c>
      <c r="O29" s="91">
        <f>VLOOKUP(E29,Product_Master!$B$2:$F$11,5,FALSE)</f>
        <v>22.5</v>
      </c>
      <c r="P29" s="91">
        <f>PRODUCT(Table15[[#This Row],[Quantity]],Table15[[#This Row],[Unit_Cost]])</f>
        <v>135</v>
      </c>
      <c r="Q29" s="72">
        <f>(Table15[[#This Row],[Profit]]/Table15[[#This Row],[Total_Sales]])</f>
        <v>0.39826730591302884</v>
      </c>
      <c r="R29" s="22"/>
      <c r="S29" s="22"/>
      <c r="T29" s="22"/>
      <c r="U29" s="22"/>
    </row>
    <row r="30" spans="1:21" x14ac:dyDescent="0.25">
      <c r="A30" s="7" t="s">
        <v>101</v>
      </c>
      <c r="B30" s="16">
        <v>45687</v>
      </c>
      <c r="C30" s="8" t="s">
        <v>102</v>
      </c>
      <c r="D30" s="8" t="str">
        <f>PROPER(TRIM(Sales_Data!D30))</f>
        <v>South Africa</v>
      </c>
      <c r="E30" s="8" t="s">
        <v>43</v>
      </c>
      <c r="F30" s="8" t="s">
        <v>44</v>
      </c>
      <c r="G30" s="91">
        <v>36</v>
      </c>
      <c r="H30" s="9">
        <v>68.400000000000006</v>
      </c>
      <c r="I30" s="87">
        <f>PRODUCT(Table15[[#This Row],[Quantity]],Table15[[#This Row],[Unit_Price]])</f>
        <v>2462.4</v>
      </c>
      <c r="J30" s="9">
        <v>150.83000000000001</v>
      </c>
      <c r="K30" s="47">
        <v>871.57</v>
      </c>
      <c r="L30" s="8" t="s">
        <v>26</v>
      </c>
      <c r="M30" s="8" t="s">
        <v>20</v>
      </c>
      <c r="N30" s="8" t="s">
        <v>87</v>
      </c>
      <c r="O30" s="91">
        <f>VLOOKUP(E30,Product_Master!$B$2:$F$11,5,FALSE)</f>
        <v>40</v>
      </c>
      <c r="P30" s="91">
        <f>PRODUCT(Table15[[#This Row],[Quantity]],Table15[[#This Row],[Unit_Cost]])</f>
        <v>1440</v>
      </c>
      <c r="Q30" s="72">
        <f>(Table15[[#This Row],[Profit]]/Table15[[#This Row],[Total_Sales]])</f>
        <v>0.35395142949967512</v>
      </c>
      <c r="R30" s="22"/>
      <c r="S30" s="22"/>
      <c r="T30" s="22"/>
      <c r="U30" s="22"/>
    </row>
    <row r="31" spans="1:21" x14ac:dyDescent="0.25">
      <c r="A31" s="7" t="s">
        <v>103</v>
      </c>
      <c r="B31" s="16">
        <v>45488</v>
      </c>
      <c r="C31" s="8" t="s">
        <v>76</v>
      </c>
      <c r="D31" s="8" t="str">
        <f>PROPER(TRIM(Sales_Data!D31))</f>
        <v>Italy</v>
      </c>
      <c r="E31" s="8" t="s">
        <v>56</v>
      </c>
      <c r="F31" s="8" t="s">
        <v>57</v>
      </c>
      <c r="G31" s="91">
        <v>1</v>
      </c>
      <c r="H31" s="9">
        <v>44.98</v>
      </c>
      <c r="I31" s="87">
        <f>PRODUCT(Table15[[#This Row],[Quantity]],Table15[[#This Row],[Unit_Price]])</f>
        <v>44.98</v>
      </c>
      <c r="J31" s="9">
        <v>2.81</v>
      </c>
      <c r="K31" s="47">
        <v>17.170000000000002</v>
      </c>
      <c r="L31" s="8" t="s">
        <v>26</v>
      </c>
      <c r="M31" s="8" t="s">
        <v>27</v>
      </c>
      <c r="N31" s="8" t="s">
        <v>28</v>
      </c>
      <c r="O31" s="91">
        <f>VLOOKUP(E31,Product_Master!$B$2:$F$11,5,FALSE)</f>
        <v>25</v>
      </c>
      <c r="P31" s="91">
        <f>PRODUCT(Table15[[#This Row],[Quantity]],Table15[[#This Row],[Unit_Cost]])</f>
        <v>25</v>
      </c>
      <c r="Q31" s="72">
        <f>(Table15[[#This Row],[Profit]]/Table15[[#This Row],[Total_Sales]])</f>
        <v>0.38172521120498004</v>
      </c>
      <c r="R31" s="22"/>
      <c r="S31" s="22"/>
      <c r="T31" s="22"/>
      <c r="U31" s="22"/>
    </row>
    <row r="32" spans="1:21" x14ac:dyDescent="0.25">
      <c r="A32" s="7" t="s">
        <v>104</v>
      </c>
      <c r="B32" s="16">
        <v>45769</v>
      </c>
      <c r="C32" s="8" t="s">
        <v>105</v>
      </c>
      <c r="D32" s="8" t="str">
        <f>PROPER(TRIM(Sales_Data!D32))</f>
        <v>France</v>
      </c>
      <c r="E32" s="8" t="s">
        <v>83</v>
      </c>
      <c r="F32" s="8" t="s">
        <v>52</v>
      </c>
      <c r="G32" s="91">
        <v>3</v>
      </c>
      <c r="H32" s="9">
        <v>37.74</v>
      </c>
      <c r="I32" s="87">
        <f>PRODUCT(Table15[[#This Row],[Quantity]],Table15[[#This Row],[Unit_Price]])</f>
        <v>113.22</v>
      </c>
      <c r="J32" s="9">
        <v>4.04</v>
      </c>
      <c r="K32" s="47">
        <v>25.18</v>
      </c>
      <c r="L32" s="8" t="s">
        <v>26</v>
      </c>
      <c r="M32" s="8" t="s">
        <v>27</v>
      </c>
      <c r="N32" s="8" t="s">
        <v>28</v>
      </c>
      <c r="O32" s="91">
        <f>VLOOKUP(E32,Product_Master!$B$2:$F$11,5,FALSE)</f>
        <v>28</v>
      </c>
      <c r="P32" s="91">
        <f>PRODUCT(Table15[[#This Row],[Quantity]],Table15[[#This Row],[Unit_Cost]])</f>
        <v>84</v>
      </c>
      <c r="Q32" s="72">
        <f>(Table15[[#This Row],[Profit]]/Table15[[#This Row],[Total_Sales]])</f>
        <v>0.22239886945769299</v>
      </c>
      <c r="R32" s="22"/>
      <c r="S32" s="22"/>
      <c r="T32" s="22"/>
      <c r="U32" s="22"/>
    </row>
    <row r="33" spans="1:21" x14ac:dyDescent="0.25">
      <c r="A33" s="7" t="s">
        <v>107</v>
      </c>
      <c r="B33" s="16">
        <v>45417</v>
      </c>
      <c r="C33" s="8" t="s">
        <v>108</v>
      </c>
      <c r="D33" s="8" t="str">
        <f>PROPER(TRIM(Sales_Data!D33))</f>
        <v>France</v>
      </c>
      <c r="E33" s="8" t="s">
        <v>56</v>
      </c>
      <c r="F33" s="8" t="s">
        <v>57</v>
      </c>
      <c r="G33" s="91">
        <v>12</v>
      </c>
      <c r="H33" s="9">
        <v>39.799999999999997</v>
      </c>
      <c r="I33" s="87">
        <f>PRODUCT(Table15[[#This Row],[Quantity]],Table15[[#This Row],[Unit_Price]])</f>
        <v>477.59999999999997</v>
      </c>
      <c r="J33" s="9">
        <v>20.54</v>
      </c>
      <c r="K33" s="47">
        <v>157.06</v>
      </c>
      <c r="L33" s="8" t="s">
        <v>38</v>
      </c>
      <c r="M33" s="8" t="s">
        <v>27</v>
      </c>
      <c r="N33" s="8" t="s">
        <v>28</v>
      </c>
      <c r="O33" s="91">
        <f>VLOOKUP(E33,Product_Master!$B$2:$F$11,5,FALSE)</f>
        <v>25</v>
      </c>
      <c r="P33" s="91">
        <f>PRODUCT(Table15[[#This Row],[Quantity]],Table15[[#This Row],[Unit_Cost]])</f>
        <v>300</v>
      </c>
      <c r="Q33" s="72">
        <f>(Table15[[#This Row],[Profit]]/Table15[[#This Row],[Total_Sales]])</f>
        <v>0.32885259631490787</v>
      </c>
      <c r="R33" s="22"/>
      <c r="S33" s="22"/>
      <c r="T33" s="22"/>
      <c r="U33" s="22"/>
    </row>
    <row r="34" spans="1:21" x14ac:dyDescent="0.25">
      <c r="A34" s="7" t="s">
        <v>109</v>
      </c>
      <c r="B34" s="16">
        <v>45409</v>
      </c>
      <c r="C34" s="8" t="s">
        <v>110</v>
      </c>
      <c r="D34" s="8" t="str">
        <f>PROPER(TRIM(Sales_Data!D34))</f>
        <v>China</v>
      </c>
      <c r="E34" s="8" t="s">
        <v>36</v>
      </c>
      <c r="F34" s="8" t="s">
        <v>37</v>
      </c>
      <c r="G34" s="91">
        <v>26</v>
      </c>
      <c r="H34" s="9">
        <v>43.23</v>
      </c>
      <c r="I34" s="87">
        <f>PRODUCT(Table15[[#This Row],[Quantity]],Table15[[#This Row],[Unit_Price]])</f>
        <v>1123.98</v>
      </c>
      <c r="J34" s="9">
        <v>57.2</v>
      </c>
      <c r="K34" s="47">
        <v>234.78</v>
      </c>
      <c r="L34" s="8" t="s">
        <v>26</v>
      </c>
      <c r="M34" s="8" t="s">
        <v>32</v>
      </c>
      <c r="N34" s="8" t="s">
        <v>58</v>
      </c>
      <c r="O34" s="91">
        <f>VLOOKUP(E34,Product_Master!$B$2:$F$11,5,FALSE)</f>
        <v>32</v>
      </c>
      <c r="P34" s="91">
        <f>PRODUCT(Table15[[#This Row],[Quantity]],Table15[[#This Row],[Unit_Cost]])</f>
        <v>832</v>
      </c>
      <c r="Q34" s="72">
        <f>(Table15[[#This Row],[Profit]]/Table15[[#This Row],[Total_Sales]])</f>
        <v>0.20888272033310201</v>
      </c>
      <c r="R34" s="22"/>
      <c r="S34" s="22"/>
      <c r="T34" s="22"/>
      <c r="U34" s="22"/>
    </row>
    <row r="35" spans="1:21" x14ac:dyDescent="0.25">
      <c r="A35" s="7" t="s">
        <v>111</v>
      </c>
      <c r="B35" s="16">
        <v>45668</v>
      </c>
      <c r="C35" s="8" t="s">
        <v>34</v>
      </c>
      <c r="D35" s="8" t="str">
        <f>PROPER(TRIM(Sales_Data!D35))</f>
        <v>Italy</v>
      </c>
      <c r="E35" s="8" t="s">
        <v>43</v>
      </c>
      <c r="F35" s="8" t="s">
        <v>44</v>
      </c>
      <c r="G35" s="91">
        <v>17</v>
      </c>
      <c r="H35" s="9">
        <v>66.34</v>
      </c>
      <c r="I35" s="87">
        <f>PRODUCT(Table15[[#This Row],[Quantity]],Table15[[#This Row],[Unit_Price]])</f>
        <v>1127.78</v>
      </c>
      <c r="J35" s="9">
        <v>81.150000000000006</v>
      </c>
      <c r="K35" s="47">
        <v>366.63</v>
      </c>
      <c r="L35" s="8" t="s">
        <v>26</v>
      </c>
      <c r="M35" s="8" t="s">
        <v>32</v>
      </c>
      <c r="N35" s="8" t="s">
        <v>28</v>
      </c>
      <c r="O35" s="91">
        <f>VLOOKUP(E35,Product_Master!$B$2:$F$11,5,FALSE)</f>
        <v>40</v>
      </c>
      <c r="P35" s="91">
        <f>PRODUCT(Table15[[#This Row],[Quantity]],Table15[[#This Row],[Unit_Cost]])</f>
        <v>680</v>
      </c>
      <c r="Q35" s="72">
        <f>(Table15[[#This Row],[Profit]]/Table15[[#This Row],[Total_Sales]])</f>
        <v>0.32508999982266046</v>
      </c>
      <c r="R35" s="22"/>
      <c r="S35" s="22"/>
      <c r="T35" s="22"/>
      <c r="U35" s="22"/>
    </row>
    <row r="36" spans="1:21" x14ac:dyDescent="0.25">
      <c r="A36" s="7" t="s">
        <v>112</v>
      </c>
      <c r="B36" s="16">
        <v>45578</v>
      </c>
      <c r="C36" s="8" t="s">
        <v>113</v>
      </c>
      <c r="D36" s="8" t="str">
        <f>PROPER(TRIM(Sales_Data!D36))</f>
        <v>Singapore</v>
      </c>
      <c r="E36" s="8" t="s">
        <v>56</v>
      </c>
      <c r="F36" s="8" t="s">
        <v>57</v>
      </c>
      <c r="G36" s="91">
        <v>4</v>
      </c>
      <c r="H36" s="9">
        <v>33.869999999999997</v>
      </c>
      <c r="I36" s="87">
        <f>PRODUCT(Table15[[#This Row],[Quantity]],Table15[[#This Row],[Unit_Price]])</f>
        <v>135.47999999999999</v>
      </c>
      <c r="J36" s="9">
        <v>6.59</v>
      </c>
      <c r="K36" s="47">
        <v>28.89</v>
      </c>
      <c r="L36" s="8" t="s">
        <v>19</v>
      </c>
      <c r="M36" s="8" t="s">
        <v>32</v>
      </c>
      <c r="N36" s="8" t="s">
        <v>58</v>
      </c>
      <c r="O36" s="91">
        <f>VLOOKUP(E36,Product_Master!$B$2:$F$11,5,FALSE)</f>
        <v>25</v>
      </c>
      <c r="P36" s="91">
        <f>PRODUCT(Table15[[#This Row],[Quantity]],Table15[[#This Row],[Unit_Cost]])</f>
        <v>100</v>
      </c>
      <c r="Q36" s="72">
        <f>(Table15[[#This Row],[Profit]]/Table15[[#This Row],[Total_Sales]])</f>
        <v>0.21324180690876884</v>
      </c>
      <c r="R36" s="22"/>
      <c r="S36" s="22"/>
      <c r="T36" s="22"/>
      <c r="U36" s="22"/>
    </row>
    <row r="37" spans="1:21" x14ac:dyDescent="0.25">
      <c r="A37" s="7" t="s">
        <v>114</v>
      </c>
      <c r="B37" s="16">
        <v>45606</v>
      </c>
      <c r="C37" s="8" t="s">
        <v>115</v>
      </c>
      <c r="D37" s="8" t="str">
        <f>PROPER(TRIM(Sales_Data!D37))</f>
        <v>Italy</v>
      </c>
      <c r="E37" s="8" t="s">
        <v>43</v>
      </c>
      <c r="F37" s="8" t="s">
        <v>44</v>
      </c>
      <c r="G37" s="91">
        <v>10</v>
      </c>
      <c r="H37" s="9">
        <v>64.650000000000006</v>
      </c>
      <c r="I37" s="87">
        <f>PRODUCT(Table15[[#This Row],[Quantity]],Table15[[#This Row],[Unit_Price]])</f>
        <v>646.5</v>
      </c>
      <c r="J37" s="9">
        <v>17.89</v>
      </c>
      <c r="K37" s="47">
        <v>228.61</v>
      </c>
      <c r="L37" s="8" t="s">
        <v>38</v>
      </c>
      <c r="M37" s="8" t="s">
        <v>20</v>
      </c>
      <c r="N37" s="8" t="s">
        <v>28</v>
      </c>
      <c r="O37" s="91">
        <f>VLOOKUP(E37,Product_Master!$B$2:$F$11,5,FALSE)</f>
        <v>40</v>
      </c>
      <c r="P37" s="91">
        <f>PRODUCT(Table15[[#This Row],[Quantity]],Table15[[#This Row],[Unit_Cost]])</f>
        <v>400</v>
      </c>
      <c r="Q37" s="72">
        <f>(Table15[[#This Row],[Profit]]/Table15[[#This Row],[Total_Sales]])</f>
        <v>0.35361175560711527</v>
      </c>
      <c r="R37" s="22"/>
      <c r="S37" s="22"/>
      <c r="T37" s="22"/>
      <c r="U37" s="22"/>
    </row>
    <row r="38" spans="1:21" x14ac:dyDescent="0.25">
      <c r="A38" s="7" t="s">
        <v>116</v>
      </c>
      <c r="B38" s="16">
        <v>45638</v>
      </c>
      <c r="C38" s="8" t="s">
        <v>117</v>
      </c>
      <c r="D38" s="8" t="str">
        <f>PROPER(TRIM(Sales_Data!D38))</f>
        <v>South Africa</v>
      </c>
      <c r="E38" s="8" t="s">
        <v>51</v>
      </c>
      <c r="F38" s="8" t="s">
        <v>52</v>
      </c>
      <c r="G38" s="91">
        <v>12</v>
      </c>
      <c r="H38" s="9">
        <v>29.56</v>
      </c>
      <c r="I38" s="87">
        <f>PRODUCT(Table15[[#This Row],[Quantity]],Table15[[#This Row],[Unit_Price]])</f>
        <v>354.71999999999997</v>
      </c>
      <c r="J38" s="9">
        <v>21.4</v>
      </c>
      <c r="K38" s="47">
        <v>63.32</v>
      </c>
      <c r="L38" s="8" t="s">
        <v>26</v>
      </c>
      <c r="M38" s="8" t="s">
        <v>20</v>
      </c>
      <c r="N38" s="8" t="s">
        <v>87</v>
      </c>
      <c r="O38" s="91">
        <f>VLOOKUP(E38,Product_Master!$B$2:$F$11,5,FALSE)</f>
        <v>22.5</v>
      </c>
      <c r="P38" s="91">
        <f>PRODUCT(Table15[[#This Row],[Quantity]],Table15[[#This Row],[Unit_Cost]])</f>
        <v>270</v>
      </c>
      <c r="Q38" s="72">
        <f>(Table15[[#This Row],[Profit]]/Table15[[#This Row],[Total_Sales]])</f>
        <v>0.17850699142986018</v>
      </c>
      <c r="R38" s="22"/>
      <c r="S38" s="22"/>
      <c r="T38" s="22"/>
      <c r="U38" s="22"/>
    </row>
    <row r="39" spans="1:21" x14ac:dyDescent="0.25">
      <c r="A39" s="7" t="s">
        <v>118</v>
      </c>
      <c r="B39" s="16">
        <v>45413</v>
      </c>
      <c r="C39" s="8" t="s">
        <v>119</v>
      </c>
      <c r="D39" s="8" t="str">
        <f>PROPER(TRIM(Sales_Data!D39))</f>
        <v>Usa</v>
      </c>
      <c r="E39" s="8" t="s">
        <v>56</v>
      </c>
      <c r="F39" s="8" t="s">
        <v>57</v>
      </c>
      <c r="G39" s="91">
        <v>4</v>
      </c>
      <c r="H39" s="9">
        <v>35.36</v>
      </c>
      <c r="I39" s="87">
        <f>PRODUCT(Table15[[#This Row],[Quantity]],Table15[[#This Row],[Unit_Price]])</f>
        <v>141.44</v>
      </c>
      <c r="J39" s="9">
        <v>8.66</v>
      </c>
      <c r="K39" s="47">
        <v>32.78</v>
      </c>
      <c r="L39" s="8" t="s">
        <v>38</v>
      </c>
      <c r="M39" s="8" t="s">
        <v>27</v>
      </c>
      <c r="N39" s="8" t="s">
        <v>21</v>
      </c>
      <c r="O39" s="91">
        <f>VLOOKUP(E39,Product_Master!$B$2:$F$11,5,FALSE)</f>
        <v>25</v>
      </c>
      <c r="P39" s="91">
        <f>PRODUCT(Table15[[#This Row],[Quantity]],Table15[[#This Row],[Unit_Cost]])</f>
        <v>100</v>
      </c>
      <c r="Q39" s="72">
        <f>(Table15[[#This Row],[Profit]]/Table15[[#This Row],[Total_Sales]])</f>
        <v>0.23175904977375567</v>
      </c>
      <c r="R39" s="22"/>
      <c r="S39" s="22"/>
      <c r="T39" s="22"/>
      <c r="U39" s="22"/>
    </row>
    <row r="40" spans="1:21" x14ac:dyDescent="0.25">
      <c r="A40" s="7" t="s">
        <v>120</v>
      </c>
      <c r="B40" s="16">
        <v>45684</v>
      </c>
      <c r="C40" s="8" t="s">
        <v>121</v>
      </c>
      <c r="D40" s="8" t="str">
        <f>PROPER(TRIM(Sales_Data!D40))</f>
        <v>Italy</v>
      </c>
      <c r="E40" s="8" t="s">
        <v>48</v>
      </c>
      <c r="F40" s="8" t="s">
        <v>37</v>
      </c>
      <c r="G40" s="91">
        <v>28</v>
      </c>
      <c r="H40" s="9">
        <v>31.42</v>
      </c>
      <c r="I40" s="87">
        <f>PRODUCT(Table15[[#This Row],[Quantity]],Table15[[#This Row],[Unit_Price]])</f>
        <v>879.76</v>
      </c>
      <c r="J40" s="9">
        <v>69.319999999999993</v>
      </c>
      <c r="K40" s="47">
        <v>250.44</v>
      </c>
      <c r="L40" s="8" t="s">
        <v>19</v>
      </c>
      <c r="M40" s="8" t="s">
        <v>32</v>
      </c>
      <c r="N40" s="8" t="s">
        <v>28</v>
      </c>
      <c r="O40" s="91">
        <f>VLOOKUP(E40,Product_Master!$B$2:$F$11,5,FALSE)</f>
        <v>20</v>
      </c>
      <c r="P40" s="91">
        <f>PRODUCT(Table15[[#This Row],[Quantity]],Table15[[#This Row],[Unit_Cost]])</f>
        <v>560</v>
      </c>
      <c r="Q40" s="72">
        <f>(Table15[[#This Row],[Profit]]/Table15[[#This Row],[Total_Sales]])</f>
        <v>0.28466854596708191</v>
      </c>
      <c r="R40" s="22"/>
      <c r="S40" s="22"/>
      <c r="T40" s="22"/>
      <c r="U40" s="22"/>
    </row>
    <row r="41" spans="1:21" x14ac:dyDescent="0.25">
      <c r="A41" s="7" t="s">
        <v>122</v>
      </c>
      <c r="B41" s="16">
        <v>45414</v>
      </c>
      <c r="C41" s="8" t="s">
        <v>123</v>
      </c>
      <c r="D41" s="8" t="str">
        <f>PROPER(TRIM(Sales_Data!D41))</f>
        <v>Usa</v>
      </c>
      <c r="E41" s="8" t="s">
        <v>17</v>
      </c>
      <c r="F41" s="8" t="s">
        <v>18</v>
      </c>
      <c r="G41" s="91">
        <v>35</v>
      </c>
      <c r="H41" s="9">
        <v>55.12</v>
      </c>
      <c r="I41" s="87">
        <f>PRODUCT(Table15[[#This Row],[Quantity]],Table15[[#This Row],[Unit_Price]])</f>
        <v>1929.1999999999998</v>
      </c>
      <c r="J41" s="9">
        <v>58.22</v>
      </c>
      <c r="K41" s="47">
        <v>645.98</v>
      </c>
      <c r="L41" s="8" t="s">
        <v>19</v>
      </c>
      <c r="M41" s="8" t="s">
        <v>20</v>
      </c>
      <c r="N41" s="8" t="s">
        <v>21</v>
      </c>
      <c r="O41" s="91">
        <f>VLOOKUP(E41,Product_Master!$B$2:$F$11,5,FALSE)</f>
        <v>35</v>
      </c>
      <c r="P41" s="91">
        <f>PRODUCT(Table15[[#This Row],[Quantity]],Table15[[#This Row],[Unit_Cost]])</f>
        <v>1225</v>
      </c>
      <c r="Q41" s="72">
        <f>(Table15[[#This Row],[Profit]]/Table15[[#This Row],[Total_Sales]])</f>
        <v>0.3348434584283641</v>
      </c>
      <c r="R41" s="22"/>
      <c r="S41" s="22"/>
      <c r="T41" s="22"/>
      <c r="U41" s="22"/>
    </row>
    <row r="42" spans="1:21" x14ac:dyDescent="0.25">
      <c r="A42" s="7" t="s">
        <v>124</v>
      </c>
      <c r="B42" s="16">
        <v>45762</v>
      </c>
      <c r="C42" s="8" t="s">
        <v>125</v>
      </c>
      <c r="D42" s="8" t="str">
        <f>PROPER(TRIM(Sales_Data!D42))</f>
        <v>Uae</v>
      </c>
      <c r="E42" s="8" t="s">
        <v>51</v>
      </c>
      <c r="F42" s="8" t="s">
        <v>52</v>
      </c>
      <c r="G42" s="91">
        <v>41</v>
      </c>
      <c r="H42" s="9">
        <v>33.94</v>
      </c>
      <c r="I42" s="87">
        <f>PRODUCT(Table15[[#This Row],[Quantity]],Table15[[#This Row],[Unit_Price]])</f>
        <v>1391.54</v>
      </c>
      <c r="J42" s="9">
        <v>33.26</v>
      </c>
      <c r="K42" s="47">
        <v>435.78</v>
      </c>
      <c r="L42" s="8" t="s">
        <v>19</v>
      </c>
      <c r="M42" s="8" t="s">
        <v>32</v>
      </c>
      <c r="N42" s="8" t="s">
        <v>58</v>
      </c>
      <c r="O42" s="91">
        <f>VLOOKUP(E42,Product_Master!$B$2:$F$11,5,FALSE)</f>
        <v>22.5</v>
      </c>
      <c r="P42" s="91">
        <f>PRODUCT(Table15[[#This Row],[Quantity]],Table15[[#This Row],[Unit_Cost]])</f>
        <v>922.5</v>
      </c>
      <c r="Q42" s="72">
        <f>(Table15[[#This Row],[Profit]]/Table15[[#This Row],[Total_Sales]])</f>
        <v>0.31316383287580662</v>
      </c>
      <c r="R42" s="22"/>
      <c r="S42" s="22"/>
      <c r="T42" s="22"/>
      <c r="U42" s="22"/>
    </row>
    <row r="43" spans="1:21" x14ac:dyDescent="0.25">
      <c r="A43" s="7" t="s">
        <v>126</v>
      </c>
      <c r="B43" s="16">
        <v>45531</v>
      </c>
      <c r="C43" s="8" t="s">
        <v>71</v>
      </c>
      <c r="D43" s="8" t="str">
        <f>PROPER(TRIM(Sales_Data!D43))</f>
        <v>Singapore</v>
      </c>
      <c r="E43" s="8" t="s">
        <v>51</v>
      </c>
      <c r="F43" s="8" t="s">
        <v>52</v>
      </c>
      <c r="G43" s="91">
        <v>20</v>
      </c>
      <c r="H43" s="9">
        <v>38.43</v>
      </c>
      <c r="I43" s="87">
        <f>PRODUCT(Table15[[#This Row],[Quantity]],Table15[[#This Row],[Unit_Price]])</f>
        <v>768.6</v>
      </c>
      <c r="J43" s="9">
        <v>60.07</v>
      </c>
      <c r="K43" s="47">
        <v>258.52999999999997</v>
      </c>
      <c r="L43" s="8" t="s">
        <v>38</v>
      </c>
      <c r="M43" s="8" t="s">
        <v>32</v>
      </c>
      <c r="N43" s="8" t="s">
        <v>58</v>
      </c>
      <c r="O43" s="91">
        <f>VLOOKUP(E43,Product_Master!$B$2:$F$11,5,FALSE)</f>
        <v>22.5</v>
      </c>
      <c r="P43" s="91">
        <f>PRODUCT(Table15[[#This Row],[Quantity]],Table15[[#This Row],[Unit_Cost]])</f>
        <v>450</v>
      </c>
      <c r="Q43" s="72">
        <f>(Table15[[#This Row],[Profit]]/Table15[[#This Row],[Total_Sales]])</f>
        <v>0.33636481915170435</v>
      </c>
      <c r="R43" s="22"/>
      <c r="S43" s="22"/>
      <c r="T43" s="22"/>
      <c r="U43" s="22"/>
    </row>
    <row r="44" spans="1:21" x14ac:dyDescent="0.25">
      <c r="A44" s="7" t="s">
        <v>127</v>
      </c>
      <c r="B44" s="16">
        <v>45441</v>
      </c>
      <c r="C44" s="8" t="s">
        <v>73</v>
      </c>
      <c r="D44" s="8" t="str">
        <f>PROPER(TRIM(Sales_Data!D44))</f>
        <v>Brazil</v>
      </c>
      <c r="E44" s="8" t="s">
        <v>56</v>
      </c>
      <c r="F44" s="8" t="s">
        <v>57</v>
      </c>
      <c r="G44" s="91">
        <v>23</v>
      </c>
      <c r="H44" s="9">
        <v>35.07</v>
      </c>
      <c r="I44" s="87">
        <f>PRODUCT(Table15[[#This Row],[Quantity]],Table15[[#This Row],[Unit_Price]])</f>
        <v>806.61</v>
      </c>
      <c r="J44" s="9">
        <v>21.23</v>
      </c>
      <c r="K44" s="47">
        <v>210.38</v>
      </c>
      <c r="L44" s="8" t="s">
        <v>19</v>
      </c>
      <c r="M44" s="8" t="s">
        <v>32</v>
      </c>
      <c r="N44" s="8" t="s">
        <v>39</v>
      </c>
      <c r="O44" s="91">
        <f>VLOOKUP(E44,Product_Master!$B$2:$F$11,5,FALSE)</f>
        <v>25</v>
      </c>
      <c r="P44" s="91">
        <f>PRODUCT(Table15[[#This Row],[Quantity]],Table15[[#This Row],[Unit_Cost]])</f>
        <v>575</v>
      </c>
      <c r="Q44" s="72">
        <f>(Table15[[#This Row],[Profit]]/Table15[[#This Row],[Total_Sales]])</f>
        <v>0.26081997495691844</v>
      </c>
      <c r="R44" s="22"/>
      <c r="S44" s="22"/>
      <c r="T44" s="22"/>
      <c r="U44" s="22"/>
    </row>
    <row r="45" spans="1:21" x14ac:dyDescent="0.25">
      <c r="A45" s="7" t="s">
        <v>128</v>
      </c>
      <c r="B45" s="16">
        <v>45745</v>
      </c>
      <c r="C45" s="8" t="s">
        <v>67</v>
      </c>
      <c r="D45" s="8" t="str">
        <f>PROPER(TRIM(Sales_Data!D45))</f>
        <v>Australia</v>
      </c>
      <c r="E45" s="8" t="s">
        <v>43</v>
      </c>
      <c r="F45" s="8" t="s">
        <v>44</v>
      </c>
      <c r="G45" s="91">
        <v>35</v>
      </c>
      <c r="H45" s="9">
        <v>71.44</v>
      </c>
      <c r="I45" s="87">
        <f>PRODUCT(Table15[[#This Row],[Quantity]],Table15[[#This Row],[Unit_Price]])</f>
        <v>2500.4</v>
      </c>
      <c r="J45" s="9">
        <v>166.81</v>
      </c>
      <c r="K45" s="47">
        <v>933.59</v>
      </c>
      <c r="L45" s="8" t="s">
        <v>26</v>
      </c>
      <c r="M45" s="8" t="s">
        <v>27</v>
      </c>
      <c r="N45" s="8" t="s">
        <v>130</v>
      </c>
      <c r="O45" s="91">
        <f>VLOOKUP(E45,Product_Master!$B$2:$F$11,5,FALSE)</f>
        <v>40</v>
      </c>
      <c r="P45" s="91">
        <f>PRODUCT(Table15[[#This Row],[Quantity]],Table15[[#This Row],[Unit_Cost]])</f>
        <v>1400</v>
      </c>
      <c r="Q45" s="72">
        <f>(Table15[[#This Row],[Profit]]/Table15[[#This Row],[Total_Sales]])</f>
        <v>0.37337625979843225</v>
      </c>
      <c r="R45" s="22"/>
      <c r="S45" s="22"/>
      <c r="T45" s="22"/>
      <c r="U45" s="22"/>
    </row>
    <row r="46" spans="1:21" x14ac:dyDescent="0.25">
      <c r="A46" s="7" t="s">
        <v>131</v>
      </c>
      <c r="B46" s="16">
        <v>45632</v>
      </c>
      <c r="C46" s="8" t="s">
        <v>115</v>
      </c>
      <c r="D46" s="8" t="str">
        <f>PROPER(TRIM(Sales_Data!D46))</f>
        <v>Canada</v>
      </c>
      <c r="E46" s="8" t="s">
        <v>25</v>
      </c>
      <c r="F46" s="8" t="s">
        <v>18</v>
      </c>
      <c r="G46" s="91">
        <v>11</v>
      </c>
      <c r="H46" s="9">
        <v>26.05</v>
      </c>
      <c r="I46" s="87">
        <f>PRODUCT(Table15[[#This Row],[Quantity]],Table15[[#This Row],[Unit_Price]])</f>
        <v>286.55</v>
      </c>
      <c r="J46" s="9">
        <v>13.39</v>
      </c>
      <c r="K46" s="47">
        <v>75.16</v>
      </c>
      <c r="L46" s="8" t="s">
        <v>26</v>
      </c>
      <c r="M46" s="8" t="s">
        <v>20</v>
      </c>
      <c r="N46" s="8" t="s">
        <v>21</v>
      </c>
      <c r="O46" s="91">
        <f>VLOOKUP(E46,Product_Master!$B$2:$F$11,5,FALSE)</f>
        <v>18</v>
      </c>
      <c r="P46" s="91">
        <f>PRODUCT(Table15[[#This Row],[Quantity]],Table15[[#This Row],[Unit_Cost]])</f>
        <v>198</v>
      </c>
      <c r="Q46" s="72">
        <f>(Table15[[#This Row],[Profit]]/Table15[[#This Row],[Total_Sales]])</f>
        <v>0.26229279357878205</v>
      </c>
      <c r="R46" s="22"/>
      <c r="S46" s="22"/>
      <c r="T46" s="22"/>
      <c r="U46" s="22"/>
    </row>
    <row r="47" spans="1:21" x14ac:dyDescent="0.25">
      <c r="A47" s="7" t="s">
        <v>132</v>
      </c>
      <c r="B47" s="16">
        <v>45349</v>
      </c>
      <c r="C47" s="8" t="s">
        <v>41</v>
      </c>
      <c r="D47" s="8" t="str">
        <f>PROPER(TRIM(Sales_Data!D47))</f>
        <v>Uk</v>
      </c>
      <c r="E47" s="8" t="s">
        <v>60</v>
      </c>
      <c r="F47" s="8" t="s">
        <v>52</v>
      </c>
      <c r="G47" s="91">
        <v>46</v>
      </c>
      <c r="H47" s="9">
        <v>26.67</v>
      </c>
      <c r="I47" s="87">
        <f>PRODUCT(Table15[[#This Row],[Quantity]],Table15[[#This Row],[Unit_Price]])</f>
        <v>1226.8200000000002</v>
      </c>
      <c r="J47" s="9">
        <v>83.55</v>
      </c>
      <c r="K47" s="47">
        <v>430.27</v>
      </c>
      <c r="L47" s="8" t="s">
        <v>19</v>
      </c>
      <c r="M47" s="8" t="s">
        <v>32</v>
      </c>
      <c r="N47" s="8" t="s">
        <v>28</v>
      </c>
      <c r="O47" s="91">
        <f>VLOOKUP(E47,Product_Master!$B$2:$F$11,5,FALSE)</f>
        <v>15.5</v>
      </c>
      <c r="P47" s="91">
        <f>PRODUCT(Table15[[#This Row],[Quantity]],Table15[[#This Row],[Unit_Cost]])</f>
        <v>713</v>
      </c>
      <c r="Q47" s="72">
        <f>(Table15[[#This Row],[Profit]]/Table15[[#This Row],[Total_Sales]])</f>
        <v>0.35071974698814817</v>
      </c>
      <c r="R47" s="22"/>
      <c r="S47" s="22"/>
      <c r="T47" s="22"/>
      <c r="U47" s="22"/>
    </row>
    <row r="48" spans="1:21" x14ac:dyDescent="0.25">
      <c r="A48" s="7" t="s">
        <v>133</v>
      </c>
      <c r="B48" s="16">
        <v>45622</v>
      </c>
      <c r="C48" s="8" t="s">
        <v>91</v>
      </c>
      <c r="D48" s="8" t="str">
        <f>PROPER(TRIM(Sales_Data!D48))</f>
        <v>Uk</v>
      </c>
      <c r="E48" s="8" t="s">
        <v>83</v>
      </c>
      <c r="F48" s="8" t="s">
        <v>52</v>
      </c>
      <c r="G48" s="91">
        <v>12</v>
      </c>
      <c r="H48" s="9">
        <v>42.84</v>
      </c>
      <c r="I48" s="87">
        <f>PRODUCT(Table15[[#This Row],[Quantity]],Table15[[#This Row],[Unit_Price]])</f>
        <v>514.08000000000004</v>
      </c>
      <c r="J48" s="9">
        <v>22.74</v>
      </c>
      <c r="K48" s="47">
        <v>155.34</v>
      </c>
      <c r="L48" s="8" t="s">
        <v>38</v>
      </c>
      <c r="M48" s="8" t="s">
        <v>20</v>
      </c>
      <c r="N48" s="8" t="s">
        <v>28</v>
      </c>
      <c r="O48" s="91">
        <f>VLOOKUP(E48,Product_Master!$B$2:$F$11,5,FALSE)</f>
        <v>28</v>
      </c>
      <c r="P48" s="91">
        <f>PRODUCT(Table15[[#This Row],[Quantity]],Table15[[#This Row],[Unit_Cost]])</f>
        <v>336</v>
      </c>
      <c r="Q48" s="72">
        <f>(Table15[[#This Row],[Profit]]/Table15[[#This Row],[Total_Sales]])</f>
        <v>0.30217086834733892</v>
      </c>
      <c r="R48" s="22"/>
      <c r="S48" s="22"/>
      <c r="T48" s="22"/>
      <c r="U48" s="22"/>
    </row>
    <row r="49" spans="1:21" x14ac:dyDescent="0.25">
      <c r="A49" s="7" t="s">
        <v>134</v>
      </c>
      <c r="B49" s="16">
        <v>45496</v>
      </c>
      <c r="C49" s="8" t="s">
        <v>135</v>
      </c>
      <c r="D49" s="8" t="str">
        <f>PROPER(TRIM(Sales_Data!D49))</f>
        <v>Singapore</v>
      </c>
      <c r="E49" s="8" t="s">
        <v>25</v>
      </c>
      <c r="F49" s="8" t="s">
        <v>18</v>
      </c>
      <c r="G49" s="91">
        <v>18</v>
      </c>
      <c r="H49" s="9">
        <v>30.89</v>
      </c>
      <c r="I49" s="87">
        <f>PRODUCT(Table15[[#This Row],[Quantity]],Table15[[#This Row],[Unit_Price]])</f>
        <v>556.02</v>
      </c>
      <c r="J49" s="9">
        <v>12</v>
      </c>
      <c r="K49" s="47">
        <v>220.02</v>
      </c>
      <c r="L49" s="8" t="s">
        <v>26</v>
      </c>
      <c r="M49" s="8" t="s">
        <v>20</v>
      </c>
      <c r="N49" s="8" t="s">
        <v>58</v>
      </c>
      <c r="O49" s="91">
        <f>VLOOKUP(E49,Product_Master!$B$2:$F$11,5,FALSE)</f>
        <v>18</v>
      </c>
      <c r="P49" s="91">
        <f>PRODUCT(Table15[[#This Row],[Quantity]],Table15[[#This Row],[Unit_Cost]])</f>
        <v>324</v>
      </c>
      <c r="Q49" s="72">
        <f>(Table15[[#This Row],[Profit]]/Table15[[#This Row],[Total_Sales]])</f>
        <v>0.39570519046077485</v>
      </c>
      <c r="R49" s="22"/>
      <c r="S49" s="22"/>
      <c r="T49" s="22"/>
      <c r="U49" s="22"/>
    </row>
    <row r="50" spans="1:21" x14ac:dyDescent="0.25">
      <c r="A50" s="7" t="s">
        <v>136</v>
      </c>
      <c r="B50" s="16">
        <v>45649</v>
      </c>
      <c r="C50" s="8" t="s">
        <v>137</v>
      </c>
      <c r="D50" s="8" t="str">
        <f>PROPER(TRIM(Sales_Data!D50))</f>
        <v>Canada</v>
      </c>
      <c r="E50" s="8" t="s">
        <v>17</v>
      </c>
      <c r="F50" s="8" t="s">
        <v>18</v>
      </c>
      <c r="G50" s="91">
        <v>21</v>
      </c>
      <c r="H50" s="9">
        <v>52.41</v>
      </c>
      <c r="I50" s="87">
        <f>PRODUCT(Table15[[#This Row],[Quantity]],Table15[[#This Row],[Unit_Price]])</f>
        <v>1100.6099999999999</v>
      </c>
      <c r="J50" s="9">
        <v>81.099999999999994</v>
      </c>
      <c r="K50" s="47">
        <v>284.51</v>
      </c>
      <c r="L50" s="8" t="s">
        <v>38</v>
      </c>
      <c r="M50" s="8" t="s">
        <v>27</v>
      </c>
      <c r="N50" s="8" t="s">
        <v>21</v>
      </c>
      <c r="O50" s="91">
        <f>VLOOKUP(E50,Product_Master!$B$2:$F$11,5,FALSE)</f>
        <v>35</v>
      </c>
      <c r="P50" s="91">
        <f>PRODUCT(Table15[[#This Row],[Quantity]],Table15[[#This Row],[Unit_Cost]])</f>
        <v>735</v>
      </c>
      <c r="Q50" s="72">
        <f>(Table15[[#This Row],[Profit]]/Table15[[#This Row],[Total_Sales]])</f>
        <v>0.25850210337903529</v>
      </c>
      <c r="R50" s="22"/>
      <c r="S50" s="22"/>
      <c r="T50" s="22"/>
      <c r="U50" s="22"/>
    </row>
    <row r="51" spans="1:21" x14ac:dyDescent="0.25">
      <c r="A51" s="7" t="s">
        <v>138</v>
      </c>
      <c r="B51" s="16">
        <v>45299</v>
      </c>
      <c r="C51" s="8" t="s">
        <v>139</v>
      </c>
      <c r="D51" s="8" t="str">
        <f>PROPER(TRIM(Sales_Data!D51))</f>
        <v>Australia</v>
      </c>
      <c r="E51" s="8" t="s">
        <v>83</v>
      </c>
      <c r="F51" s="8" t="s">
        <v>52</v>
      </c>
      <c r="G51" s="91">
        <v>17</v>
      </c>
      <c r="H51" s="9">
        <v>38.64</v>
      </c>
      <c r="I51" s="87">
        <f>PRODUCT(Table15[[#This Row],[Quantity]],Table15[[#This Row],[Unit_Price]])</f>
        <v>656.88</v>
      </c>
      <c r="J51" s="9">
        <v>13.86</v>
      </c>
      <c r="K51" s="47">
        <v>167.02</v>
      </c>
      <c r="L51" s="8" t="s">
        <v>26</v>
      </c>
      <c r="M51" s="8" t="s">
        <v>20</v>
      </c>
      <c r="N51" s="8" t="s">
        <v>130</v>
      </c>
      <c r="O51" s="91">
        <f>VLOOKUP(E51,Product_Master!$B$2:$F$11,5,FALSE)</f>
        <v>28</v>
      </c>
      <c r="P51" s="91">
        <f>PRODUCT(Table15[[#This Row],[Quantity]],Table15[[#This Row],[Unit_Cost]])</f>
        <v>476</v>
      </c>
      <c r="Q51" s="72">
        <f>(Table15[[#This Row],[Profit]]/Table15[[#This Row],[Total_Sales]])</f>
        <v>0.25426257459505541</v>
      </c>
      <c r="R51" s="22"/>
      <c r="S51" s="22"/>
      <c r="T51" s="22"/>
      <c r="U51" s="22"/>
    </row>
    <row r="52" spans="1:21" x14ac:dyDescent="0.25">
      <c r="A52" s="7" t="s">
        <v>140</v>
      </c>
      <c r="B52" s="16">
        <v>45767</v>
      </c>
      <c r="C52" s="8" t="s">
        <v>119</v>
      </c>
      <c r="D52" s="8" t="str">
        <f>PROPER(TRIM(Sales_Data!D52))</f>
        <v>Japan</v>
      </c>
      <c r="E52" s="8" t="s">
        <v>25</v>
      </c>
      <c r="F52" s="8" t="s">
        <v>18</v>
      </c>
      <c r="G52" s="91">
        <v>41</v>
      </c>
      <c r="H52" s="9">
        <v>25.79</v>
      </c>
      <c r="I52" s="87">
        <f>PRODUCT(Table15[[#This Row],[Quantity]],Table15[[#This Row],[Unit_Price]])</f>
        <v>1057.3899999999999</v>
      </c>
      <c r="J52" s="9">
        <v>71.22</v>
      </c>
      <c r="K52" s="47">
        <v>248.17</v>
      </c>
      <c r="L52" s="8" t="s">
        <v>26</v>
      </c>
      <c r="M52" s="8" t="s">
        <v>27</v>
      </c>
      <c r="N52" s="8" t="s">
        <v>58</v>
      </c>
      <c r="O52" s="91">
        <f>VLOOKUP(E52,Product_Master!$B$2:$F$11,5,FALSE)</f>
        <v>18</v>
      </c>
      <c r="P52" s="91">
        <f>PRODUCT(Table15[[#This Row],[Quantity]],Table15[[#This Row],[Unit_Cost]])</f>
        <v>738</v>
      </c>
      <c r="Q52" s="72">
        <f>(Table15[[#This Row],[Profit]]/Table15[[#This Row],[Total_Sales]])</f>
        <v>0.23470053622599044</v>
      </c>
      <c r="R52" s="22"/>
      <c r="S52" s="22"/>
      <c r="T52" s="22"/>
      <c r="U52" s="22"/>
    </row>
    <row r="53" spans="1:21" x14ac:dyDescent="0.25">
      <c r="A53" s="7" t="s">
        <v>141</v>
      </c>
      <c r="B53" s="16">
        <v>45480</v>
      </c>
      <c r="C53" s="8" t="s">
        <v>142</v>
      </c>
      <c r="D53" s="8" t="str">
        <f>PROPER(TRIM(Sales_Data!D53))</f>
        <v>Japan</v>
      </c>
      <c r="E53" s="8" t="s">
        <v>83</v>
      </c>
      <c r="F53" s="8" t="s">
        <v>52</v>
      </c>
      <c r="G53" s="91">
        <v>41</v>
      </c>
      <c r="H53" s="9">
        <v>41.13</v>
      </c>
      <c r="I53" s="87">
        <f>PRODUCT(Table15[[#This Row],[Quantity]],Table15[[#This Row],[Unit_Price]])</f>
        <v>1686.3300000000002</v>
      </c>
      <c r="J53" s="9">
        <v>80.12</v>
      </c>
      <c r="K53" s="47">
        <v>458.21</v>
      </c>
      <c r="L53" s="8" t="s">
        <v>26</v>
      </c>
      <c r="M53" s="8" t="s">
        <v>32</v>
      </c>
      <c r="N53" s="8" t="s">
        <v>58</v>
      </c>
      <c r="O53" s="91">
        <f>VLOOKUP(E53,Product_Master!$B$2:$F$11,5,FALSE)</f>
        <v>28</v>
      </c>
      <c r="P53" s="91">
        <f>PRODUCT(Table15[[#This Row],[Quantity]],Table15[[#This Row],[Unit_Cost]])</f>
        <v>1148</v>
      </c>
      <c r="Q53" s="72">
        <f>(Table15[[#This Row],[Profit]]/Table15[[#This Row],[Total_Sales]])</f>
        <v>0.27172024455474308</v>
      </c>
      <c r="R53" s="22"/>
      <c r="S53" s="22"/>
      <c r="T53" s="22"/>
      <c r="U53" s="22"/>
    </row>
    <row r="54" spans="1:21" x14ac:dyDescent="0.25">
      <c r="A54" s="7" t="s">
        <v>143</v>
      </c>
      <c r="B54" s="16">
        <v>45599</v>
      </c>
      <c r="C54" s="8" t="s">
        <v>67</v>
      </c>
      <c r="D54" s="8" t="str">
        <f>PROPER(TRIM(Sales_Data!D54))</f>
        <v>China</v>
      </c>
      <c r="E54" s="8" t="s">
        <v>43</v>
      </c>
      <c r="F54" s="8" t="s">
        <v>44</v>
      </c>
      <c r="G54" s="91">
        <v>33</v>
      </c>
      <c r="H54" s="9">
        <v>55.67</v>
      </c>
      <c r="I54" s="87">
        <f>PRODUCT(Table15[[#This Row],[Quantity]],Table15[[#This Row],[Unit_Price]])</f>
        <v>1837.1100000000001</v>
      </c>
      <c r="J54" s="9">
        <v>144.32</v>
      </c>
      <c r="K54" s="47">
        <v>372.79</v>
      </c>
      <c r="L54" s="8" t="s">
        <v>19</v>
      </c>
      <c r="M54" s="8" t="s">
        <v>20</v>
      </c>
      <c r="N54" s="8" t="s">
        <v>58</v>
      </c>
      <c r="O54" s="91">
        <f>VLOOKUP(E54,Product_Master!$B$2:$F$11,5,FALSE)</f>
        <v>40</v>
      </c>
      <c r="P54" s="91">
        <f>PRODUCT(Table15[[#This Row],[Quantity]],Table15[[#This Row],[Unit_Cost]])</f>
        <v>1320</v>
      </c>
      <c r="Q54" s="72">
        <f>(Table15[[#This Row],[Profit]]/Table15[[#This Row],[Total_Sales]])</f>
        <v>0.20292198071971737</v>
      </c>
      <c r="R54" s="22"/>
      <c r="S54" s="22"/>
      <c r="T54" s="22"/>
      <c r="U54" s="22"/>
    </row>
    <row r="55" spans="1:21" x14ac:dyDescent="0.25">
      <c r="A55" s="7" t="s">
        <v>144</v>
      </c>
      <c r="B55" s="16">
        <v>45602</v>
      </c>
      <c r="C55" s="8" t="s">
        <v>145</v>
      </c>
      <c r="D55" s="8" t="str">
        <f>PROPER(TRIM(Sales_Data!D55))</f>
        <v>Japan</v>
      </c>
      <c r="E55" s="8" t="s">
        <v>43</v>
      </c>
      <c r="F55" s="8" t="s">
        <v>44</v>
      </c>
      <c r="G55" s="91">
        <v>18</v>
      </c>
      <c r="H55" s="9">
        <v>50.87</v>
      </c>
      <c r="I55" s="87">
        <f>PRODUCT(Table15[[#This Row],[Quantity]],Table15[[#This Row],[Unit_Price]])</f>
        <v>915.66</v>
      </c>
      <c r="J55" s="9">
        <v>49.93</v>
      </c>
      <c r="K55" s="47">
        <v>145.72999999999999</v>
      </c>
      <c r="L55" s="8" t="s">
        <v>19</v>
      </c>
      <c r="M55" s="8" t="s">
        <v>27</v>
      </c>
      <c r="N55" s="8" t="s">
        <v>58</v>
      </c>
      <c r="O55" s="91">
        <f>VLOOKUP(E55,Product_Master!$B$2:$F$11,5,FALSE)</f>
        <v>40</v>
      </c>
      <c r="P55" s="91">
        <f>PRODUCT(Table15[[#This Row],[Quantity]],Table15[[#This Row],[Unit_Cost]])</f>
        <v>720</v>
      </c>
      <c r="Q55" s="72">
        <f>(Table15[[#This Row],[Profit]]/Table15[[#This Row],[Total_Sales]])</f>
        <v>0.15915296070593887</v>
      </c>
      <c r="R55" s="22"/>
      <c r="S55" s="22"/>
      <c r="T55" s="22"/>
      <c r="U55" s="22"/>
    </row>
    <row r="56" spans="1:21" x14ac:dyDescent="0.25">
      <c r="A56" s="7" t="s">
        <v>146</v>
      </c>
      <c r="B56" s="16">
        <v>45765</v>
      </c>
      <c r="C56" s="8" t="s">
        <v>147</v>
      </c>
      <c r="D56" s="8" t="str">
        <f>PROPER(TRIM(Sales_Data!D56))</f>
        <v>South Africa</v>
      </c>
      <c r="E56" s="8" t="s">
        <v>60</v>
      </c>
      <c r="F56" s="8" t="s">
        <v>52</v>
      </c>
      <c r="G56" s="91">
        <v>14</v>
      </c>
      <c r="H56" s="9">
        <v>26.7</v>
      </c>
      <c r="I56" s="87">
        <f>PRODUCT(Table15[[#This Row],[Quantity]],Table15[[#This Row],[Unit_Price]])</f>
        <v>373.8</v>
      </c>
      <c r="J56" s="9">
        <v>11.84</v>
      </c>
      <c r="K56" s="47">
        <v>144.96</v>
      </c>
      <c r="L56" s="8" t="s">
        <v>38</v>
      </c>
      <c r="M56" s="8" t="s">
        <v>20</v>
      </c>
      <c r="N56" s="8" t="s">
        <v>87</v>
      </c>
      <c r="O56" s="91">
        <f>VLOOKUP(E56,Product_Master!$B$2:$F$11,5,FALSE)</f>
        <v>15.5</v>
      </c>
      <c r="P56" s="91">
        <f>PRODUCT(Table15[[#This Row],[Quantity]],Table15[[#This Row],[Unit_Cost]])</f>
        <v>217</v>
      </c>
      <c r="Q56" s="72">
        <f>(Table15[[#This Row],[Profit]]/Table15[[#This Row],[Total_Sales]])</f>
        <v>0.38780096308186196</v>
      </c>
      <c r="R56" s="22"/>
      <c r="S56" s="22"/>
      <c r="T56" s="22"/>
      <c r="U56" s="22"/>
    </row>
    <row r="57" spans="1:21" x14ac:dyDescent="0.25">
      <c r="A57" s="7" t="s">
        <v>148</v>
      </c>
      <c r="B57" s="16">
        <v>45543</v>
      </c>
      <c r="C57" s="8" t="s">
        <v>149</v>
      </c>
      <c r="D57" s="8" t="str">
        <f>PROPER(TRIM(Sales_Data!D57))</f>
        <v>Usa</v>
      </c>
      <c r="E57" s="8" t="s">
        <v>25</v>
      </c>
      <c r="F57" s="8" t="s">
        <v>18</v>
      </c>
      <c r="G57" s="91">
        <v>16</v>
      </c>
      <c r="H57" s="9">
        <v>28.96</v>
      </c>
      <c r="I57" s="87">
        <f>PRODUCT(Table15[[#This Row],[Quantity]],Table15[[#This Row],[Unit_Price]])</f>
        <v>463.36</v>
      </c>
      <c r="J57" s="9">
        <v>35.65</v>
      </c>
      <c r="K57" s="47">
        <v>139.71</v>
      </c>
      <c r="L57" s="8" t="s">
        <v>19</v>
      </c>
      <c r="M57" s="8" t="s">
        <v>32</v>
      </c>
      <c r="N57" s="8" t="s">
        <v>21</v>
      </c>
      <c r="O57" s="91">
        <f>VLOOKUP(E57,Product_Master!$B$2:$F$11,5,FALSE)</f>
        <v>18</v>
      </c>
      <c r="P57" s="91">
        <f>PRODUCT(Table15[[#This Row],[Quantity]],Table15[[#This Row],[Unit_Cost]])</f>
        <v>288</v>
      </c>
      <c r="Q57" s="72">
        <f>(Table15[[#This Row],[Profit]]/Table15[[#This Row],[Total_Sales]])</f>
        <v>0.30151502071823205</v>
      </c>
      <c r="R57" s="22"/>
      <c r="S57" s="22"/>
      <c r="T57" s="22"/>
      <c r="U57" s="22"/>
    </row>
    <row r="58" spans="1:21" x14ac:dyDescent="0.25">
      <c r="A58" s="7" t="s">
        <v>150</v>
      </c>
      <c r="B58" s="16">
        <v>45418</v>
      </c>
      <c r="C58" s="8" t="s">
        <v>67</v>
      </c>
      <c r="D58" s="8" t="str">
        <f>PROPER(TRIM(Sales_Data!D58))</f>
        <v>Germany</v>
      </c>
      <c r="E58" s="8" t="s">
        <v>25</v>
      </c>
      <c r="F58" s="8" t="s">
        <v>18</v>
      </c>
      <c r="G58" s="91">
        <v>47</v>
      </c>
      <c r="H58" s="9">
        <v>23.03</v>
      </c>
      <c r="I58" s="87">
        <f>PRODUCT(Table15[[#This Row],[Quantity]],Table15[[#This Row],[Unit_Price]])</f>
        <v>1082.4100000000001</v>
      </c>
      <c r="J58" s="9">
        <v>50.12</v>
      </c>
      <c r="K58" s="47">
        <v>186.29</v>
      </c>
      <c r="L58" s="8" t="s">
        <v>38</v>
      </c>
      <c r="M58" s="8" t="s">
        <v>20</v>
      </c>
      <c r="N58" s="8" t="s">
        <v>28</v>
      </c>
      <c r="O58" s="91">
        <f>VLOOKUP(E58,Product_Master!$B$2:$F$11,5,FALSE)</f>
        <v>18</v>
      </c>
      <c r="P58" s="91">
        <f>PRODUCT(Table15[[#This Row],[Quantity]],Table15[[#This Row],[Unit_Cost]])</f>
        <v>846</v>
      </c>
      <c r="Q58" s="72">
        <f>(Table15[[#This Row],[Profit]]/Table15[[#This Row],[Total_Sales]])</f>
        <v>0.1721066878539555</v>
      </c>
      <c r="R58" s="22"/>
      <c r="S58" s="22"/>
      <c r="T58" s="22"/>
      <c r="U58" s="22"/>
    </row>
    <row r="59" spans="1:21" x14ac:dyDescent="0.25">
      <c r="A59" s="7" t="s">
        <v>152</v>
      </c>
      <c r="B59" s="16">
        <v>45425</v>
      </c>
      <c r="C59" s="8" t="s">
        <v>149</v>
      </c>
      <c r="D59" s="8" t="str">
        <f>PROPER(TRIM(Sales_Data!D59))</f>
        <v>Australia</v>
      </c>
      <c r="E59" s="8" t="s">
        <v>17</v>
      </c>
      <c r="F59" s="8" t="s">
        <v>18</v>
      </c>
      <c r="G59" s="91">
        <v>18</v>
      </c>
      <c r="H59" s="9">
        <v>50.03</v>
      </c>
      <c r="I59" s="87">
        <f>PRODUCT(Table15[[#This Row],[Quantity]],Table15[[#This Row],[Unit_Price]])</f>
        <v>900.54</v>
      </c>
      <c r="J59" s="9">
        <v>68.44</v>
      </c>
      <c r="K59" s="47">
        <v>202.1</v>
      </c>
      <c r="L59" s="8" t="s">
        <v>38</v>
      </c>
      <c r="M59" s="8" t="s">
        <v>20</v>
      </c>
      <c r="N59" s="8" t="s">
        <v>130</v>
      </c>
      <c r="O59" s="91">
        <f>VLOOKUP(E59,Product_Master!$B$2:$F$11,5,FALSE)</f>
        <v>35</v>
      </c>
      <c r="P59" s="91">
        <f>PRODUCT(Table15[[#This Row],[Quantity]],Table15[[#This Row],[Unit_Cost]])</f>
        <v>630</v>
      </c>
      <c r="Q59" s="72">
        <f>(Table15[[#This Row],[Profit]]/Table15[[#This Row],[Total_Sales]])</f>
        <v>0.22442090301374731</v>
      </c>
      <c r="R59" s="22"/>
      <c r="S59" s="22"/>
      <c r="T59" s="22"/>
      <c r="U59" s="22"/>
    </row>
    <row r="60" spans="1:21" x14ac:dyDescent="0.25">
      <c r="A60" s="7" t="s">
        <v>153</v>
      </c>
      <c r="B60" s="16">
        <v>45493</v>
      </c>
      <c r="C60" s="8" t="s">
        <v>154</v>
      </c>
      <c r="D60" s="8" t="str">
        <f>PROPER(TRIM(Sales_Data!D60))</f>
        <v>Uk</v>
      </c>
      <c r="E60" s="8" t="s">
        <v>56</v>
      </c>
      <c r="F60" s="8" t="s">
        <v>57</v>
      </c>
      <c r="G60" s="91">
        <v>38</v>
      </c>
      <c r="H60" s="9">
        <v>32.07</v>
      </c>
      <c r="I60" s="87">
        <f>PRODUCT(Table15[[#This Row],[Quantity]],Table15[[#This Row],[Unit_Price]])</f>
        <v>1218.6600000000001</v>
      </c>
      <c r="J60" s="9">
        <v>54.49</v>
      </c>
      <c r="K60" s="47">
        <v>214.17</v>
      </c>
      <c r="L60" s="8" t="s">
        <v>38</v>
      </c>
      <c r="M60" s="8" t="s">
        <v>32</v>
      </c>
      <c r="N60" s="8" t="s">
        <v>28</v>
      </c>
      <c r="O60" s="91">
        <f>VLOOKUP(E60,Product_Master!$B$2:$F$11,5,FALSE)</f>
        <v>25</v>
      </c>
      <c r="P60" s="91">
        <f>PRODUCT(Table15[[#This Row],[Quantity]],Table15[[#This Row],[Unit_Cost]])</f>
        <v>950</v>
      </c>
      <c r="Q60" s="72">
        <f>(Table15[[#This Row],[Profit]]/Table15[[#This Row],[Total_Sales]])</f>
        <v>0.17574220865540838</v>
      </c>
      <c r="R60" s="22"/>
      <c r="S60" s="22"/>
      <c r="T60" s="22"/>
      <c r="U60" s="22"/>
    </row>
    <row r="61" spans="1:21" x14ac:dyDescent="0.25">
      <c r="A61" s="7" t="s">
        <v>155</v>
      </c>
      <c r="B61" s="16">
        <v>45752</v>
      </c>
      <c r="C61" s="8" t="s">
        <v>156</v>
      </c>
      <c r="D61" s="8" t="str">
        <f>PROPER(TRIM(Sales_Data!D61))</f>
        <v>Brazil</v>
      </c>
      <c r="E61" s="8" t="s">
        <v>36</v>
      </c>
      <c r="F61" s="8" t="s">
        <v>37</v>
      </c>
      <c r="G61" s="91">
        <v>23</v>
      </c>
      <c r="H61" s="9">
        <v>50.96</v>
      </c>
      <c r="I61" s="87">
        <f>PRODUCT(Table15[[#This Row],[Quantity]],Table15[[#This Row],[Unit_Price]])</f>
        <v>1172.08</v>
      </c>
      <c r="J61" s="9">
        <v>61</v>
      </c>
      <c r="K61" s="47">
        <v>375.08</v>
      </c>
      <c r="L61" s="8" t="s">
        <v>38</v>
      </c>
      <c r="M61" s="8" t="s">
        <v>27</v>
      </c>
      <c r="N61" s="8" t="s">
        <v>39</v>
      </c>
      <c r="O61" s="91">
        <f>VLOOKUP(E61,Product_Master!$B$2:$F$11,5,FALSE)</f>
        <v>32</v>
      </c>
      <c r="P61" s="91">
        <f>PRODUCT(Table15[[#This Row],[Quantity]],Table15[[#This Row],[Unit_Cost]])</f>
        <v>736</v>
      </c>
      <c r="Q61" s="72">
        <f>(Table15[[#This Row],[Profit]]/Table15[[#This Row],[Total_Sales]])</f>
        <v>0.32001228585079516</v>
      </c>
      <c r="R61" s="22"/>
      <c r="S61" s="22"/>
      <c r="T61" s="22"/>
      <c r="U61" s="22"/>
    </row>
    <row r="62" spans="1:21" x14ac:dyDescent="0.25">
      <c r="A62" s="7" t="s">
        <v>157</v>
      </c>
      <c r="B62" s="16">
        <v>45736</v>
      </c>
      <c r="C62" s="8" t="s">
        <v>158</v>
      </c>
      <c r="D62" s="8" t="str">
        <f>PROPER(TRIM(Sales_Data!D62))</f>
        <v>Japan</v>
      </c>
      <c r="E62" s="8" t="s">
        <v>43</v>
      </c>
      <c r="F62" s="8" t="s">
        <v>44</v>
      </c>
      <c r="G62" s="91">
        <v>46</v>
      </c>
      <c r="H62" s="9">
        <v>70.599999999999994</v>
      </c>
      <c r="I62" s="87">
        <f>PRODUCT(Table15[[#This Row],[Quantity]],Table15[[#This Row],[Unit_Price]])</f>
        <v>3247.6</v>
      </c>
      <c r="J62" s="9">
        <v>166.91</v>
      </c>
      <c r="K62" s="47">
        <v>1240.69</v>
      </c>
      <c r="L62" s="8" t="s">
        <v>38</v>
      </c>
      <c r="M62" s="8" t="s">
        <v>27</v>
      </c>
      <c r="N62" s="8" t="s">
        <v>58</v>
      </c>
      <c r="O62" s="91">
        <f>VLOOKUP(E62,Product_Master!$B$2:$F$11,5,FALSE)</f>
        <v>40</v>
      </c>
      <c r="P62" s="91">
        <f>PRODUCT(Table15[[#This Row],[Quantity]],Table15[[#This Row],[Unit_Cost]])</f>
        <v>1840</v>
      </c>
      <c r="Q62" s="72">
        <f>(Table15[[#This Row],[Profit]]/Table15[[#This Row],[Total_Sales]])</f>
        <v>0.3820328858233773</v>
      </c>
      <c r="R62" s="22"/>
      <c r="S62" s="22"/>
      <c r="T62" s="22"/>
      <c r="U62" s="22"/>
    </row>
    <row r="63" spans="1:21" x14ac:dyDescent="0.25">
      <c r="A63" s="7" t="s">
        <v>159</v>
      </c>
      <c r="B63" s="16">
        <v>45515</v>
      </c>
      <c r="C63" s="8" t="s">
        <v>91</v>
      </c>
      <c r="D63" s="8" t="str">
        <f>PROPER(TRIM(Sales_Data!D63))</f>
        <v>Japan</v>
      </c>
      <c r="E63" s="8" t="s">
        <v>43</v>
      </c>
      <c r="F63" s="8" t="s">
        <v>44</v>
      </c>
      <c r="G63" s="91">
        <v>15</v>
      </c>
      <c r="H63" s="9">
        <v>53.36</v>
      </c>
      <c r="I63" s="87">
        <f>PRODUCT(Table15[[#This Row],[Quantity]],Table15[[#This Row],[Unit_Price]])</f>
        <v>800.4</v>
      </c>
      <c r="J63" s="9">
        <v>56.29</v>
      </c>
      <c r="K63" s="47">
        <v>144.11000000000001</v>
      </c>
      <c r="L63" s="8" t="s">
        <v>19</v>
      </c>
      <c r="M63" s="8" t="s">
        <v>20</v>
      </c>
      <c r="N63" s="8" t="s">
        <v>58</v>
      </c>
      <c r="O63" s="91">
        <f>VLOOKUP(E63,Product_Master!$B$2:$F$11,5,FALSE)</f>
        <v>40</v>
      </c>
      <c r="P63" s="91">
        <f>PRODUCT(Table15[[#This Row],[Quantity]],Table15[[#This Row],[Unit_Cost]])</f>
        <v>600</v>
      </c>
      <c r="Q63" s="72">
        <f>(Table15[[#This Row],[Profit]]/Table15[[#This Row],[Total_Sales]])</f>
        <v>0.18004747626186909</v>
      </c>
      <c r="R63" s="22"/>
      <c r="S63" s="22"/>
      <c r="T63" s="22"/>
      <c r="U63" s="22"/>
    </row>
    <row r="64" spans="1:21" x14ac:dyDescent="0.25">
      <c r="A64" s="7" t="s">
        <v>160</v>
      </c>
      <c r="B64" s="16">
        <v>45369</v>
      </c>
      <c r="C64" s="8" t="s">
        <v>161</v>
      </c>
      <c r="D64" s="8" t="str">
        <f>PROPER(TRIM(Sales_Data!D64))</f>
        <v>Australia</v>
      </c>
      <c r="E64" s="8" t="s">
        <v>36</v>
      </c>
      <c r="F64" s="8" t="s">
        <v>37</v>
      </c>
      <c r="G64" s="91">
        <v>42</v>
      </c>
      <c r="H64" s="9">
        <v>39.840000000000003</v>
      </c>
      <c r="I64" s="87">
        <f>PRODUCT(Table15[[#This Row],[Quantity]],Table15[[#This Row],[Unit_Price]])</f>
        <v>1673.2800000000002</v>
      </c>
      <c r="J64" s="9">
        <v>132.74</v>
      </c>
      <c r="K64" s="47">
        <v>196.54</v>
      </c>
      <c r="L64" s="8" t="s">
        <v>19</v>
      </c>
      <c r="M64" s="8" t="s">
        <v>32</v>
      </c>
      <c r="N64" s="8" t="s">
        <v>130</v>
      </c>
      <c r="O64" s="91">
        <f>VLOOKUP(E64,Product_Master!$B$2:$F$11,5,FALSE)</f>
        <v>32</v>
      </c>
      <c r="P64" s="91">
        <f>PRODUCT(Table15[[#This Row],[Quantity]],Table15[[#This Row],[Unit_Cost]])</f>
        <v>1344</v>
      </c>
      <c r="Q64" s="72">
        <f>(Table15[[#This Row],[Profit]]/Table15[[#This Row],[Total_Sales]])</f>
        <v>0.11745792694587874</v>
      </c>
      <c r="R64" s="22"/>
      <c r="S64" s="22"/>
      <c r="T64" s="22"/>
      <c r="U64" s="22"/>
    </row>
    <row r="65" spans="1:21" x14ac:dyDescent="0.25">
      <c r="A65" s="7" t="s">
        <v>162</v>
      </c>
      <c r="B65" s="16">
        <v>45756</v>
      </c>
      <c r="C65" s="8" t="s">
        <v>145</v>
      </c>
      <c r="D65" s="8" t="str">
        <f>PROPER(TRIM(Sales_Data!D65))</f>
        <v>Japan</v>
      </c>
      <c r="E65" s="8" t="s">
        <v>56</v>
      </c>
      <c r="F65" s="8" t="s">
        <v>57</v>
      </c>
      <c r="G65" s="91">
        <v>31</v>
      </c>
      <c r="H65" s="9">
        <v>38.26</v>
      </c>
      <c r="I65" s="87">
        <f>PRODUCT(Table15[[#This Row],[Quantity]],Table15[[#This Row],[Unit_Price]])</f>
        <v>1186.06</v>
      </c>
      <c r="J65" s="9">
        <v>69.33</v>
      </c>
      <c r="K65" s="47">
        <v>341.73</v>
      </c>
      <c r="L65" s="8" t="s">
        <v>26</v>
      </c>
      <c r="M65" s="8" t="s">
        <v>20</v>
      </c>
      <c r="N65" s="8" t="s">
        <v>58</v>
      </c>
      <c r="O65" s="91">
        <f>VLOOKUP(E65,Product_Master!$B$2:$F$11,5,FALSE)</f>
        <v>25</v>
      </c>
      <c r="P65" s="91">
        <f>PRODUCT(Table15[[#This Row],[Quantity]],Table15[[#This Row],[Unit_Cost]])</f>
        <v>775</v>
      </c>
      <c r="Q65" s="72">
        <f>(Table15[[#This Row],[Profit]]/Table15[[#This Row],[Total_Sales]])</f>
        <v>0.28812201743588017</v>
      </c>
      <c r="R65" s="22"/>
      <c r="S65" s="22"/>
      <c r="T65" s="22"/>
      <c r="U65" s="22"/>
    </row>
    <row r="66" spans="1:21" x14ac:dyDescent="0.25">
      <c r="A66" s="7" t="s">
        <v>163</v>
      </c>
      <c r="B66" s="16">
        <v>45579</v>
      </c>
      <c r="C66" s="8" t="s">
        <v>147</v>
      </c>
      <c r="D66" s="8" t="str">
        <f>PROPER(TRIM(Sales_Data!D66))</f>
        <v>France</v>
      </c>
      <c r="E66" s="8" t="s">
        <v>60</v>
      </c>
      <c r="F66" s="8" t="s">
        <v>52</v>
      </c>
      <c r="G66" s="91">
        <v>2</v>
      </c>
      <c r="H66" s="9">
        <v>23.09</v>
      </c>
      <c r="I66" s="87">
        <f>PRODUCT(Table15[[#This Row],[Quantity]],Table15[[#This Row],[Unit_Price]])</f>
        <v>46.18</v>
      </c>
      <c r="J66" s="9">
        <v>2.52</v>
      </c>
      <c r="K66" s="47">
        <v>12.66</v>
      </c>
      <c r="L66" s="8" t="s">
        <v>26</v>
      </c>
      <c r="M66" s="8" t="s">
        <v>27</v>
      </c>
      <c r="N66" s="8" t="s">
        <v>28</v>
      </c>
      <c r="O66" s="91">
        <f>VLOOKUP(E66,Product_Master!$B$2:$F$11,5,FALSE)</f>
        <v>15.5</v>
      </c>
      <c r="P66" s="91">
        <f>PRODUCT(Table15[[#This Row],[Quantity]],Table15[[#This Row],[Unit_Cost]])</f>
        <v>31</v>
      </c>
      <c r="Q66" s="72">
        <f>(Table15[[#This Row],[Profit]]/Table15[[#This Row],[Total_Sales]])</f>
        <v>0.27414465136422694</v>
      </c>
      <c r="R66" s="22"/>
      <c r="S66" s="22"/>
      <c r="T66" s="22"/>
      <c r="U66" s="22"/>
    </row>
    <row r="67" spans="1:21" x14ac:dyDescent="0.25">
      <c r="A67" s="7" t="s">
        <v>164</v>
      </c>
      <c r="B67" s="16">
        <v>45647</v>
      </c>
      <c r="C67" s="8" t="s">
        <v>50</v>
      </c>
      <c r="D67" s="8" t="str">
        <f>PROPER(TRIM(Sales_Data!D67))</f>
        <v>Uae</v>
      </c>
      <c r="E67" s="8" t="s">
        <v>36</v>
      </c>
      <c r="F67" s="8" t="s">
        <v>37</v>
      </c>
      <c r="G67" s="91">
        <v>40</v>
      </c>
      <c r="H67" s="9">
        <v>46.81</v>
      </c>
      <c r="I67" s="87">
        <f>PRODUCT(Table15[[#This Row],[Quantity]],Table15[[#This Row],[Unit_Price]])</f>
        <v>1872.4</v>
      </c>
      <c r="J67" s="9">
        <v>43.01</v>
      </c>
      <c r="K67" s="47">
        <v>549.39</v>
      </c>
      <c r="L67" s="8" t="s">
        <v>19</v>
      </c>
      <c r="M67" s="8" t="s">
        <v>32</v>
      </c>
      <c r="N67" s="8" t="s">
        <v>58</v>
      </c>
      <c r="O67" s="91">
        <f>VLOOKUP(E67,Product_Master!$B$2:$F$11,5,FALSE)</f>
        <v>32</v>
      </c>
      <c r="P67" s="91">
        <f>PRODUCT(Table15[[#This Row],[Quantity]],Table15[[#This Row],[Unit_Cost]])</f>
        <v>1280</v>
      </c>
      <c r="Q67" s="72">
        <f>(Table15[[#This Row],[Profit]]/Table15[[#This Row],[Total_Sales]])</f>
        <v>0.29341486861781668</v>
      </c>
      <c r="R67" s="22"/>
      <c r="S67" s="22"/>
      <c r="T67" s="22"/>
      <c r="U67" s="22"/>
    </row>
    <row r="68" spans="1:21" x14ac:dyDescent="0.25">
      <c r="A68" s="7" t="s">
        <v>165</v>
      </c>
      <c r="B68" s="16">
        <v>45719</v>
      </c>
      <c r="C68" s="8" t="s">
        <v>166</v>
      </c>
      <c r="D68" s="8" t="str">
        <f>PROPER(TRIM(Sales_Data!D68))</f>
        <v>China</v>
      </c>
      <c r="E68" s="8" t="s">
        <v>36</v>
      </c>
      <c r="F68" s="8" t="s">
        <v>37</v>
      </c>
      <c r="G68" s="91">
        <v>43</v>
      </c>
      <c r="H68" s="9">
        <v>57.01</v>
      </c>
      <c r="I68" s="87">
        <f>PRODUCT(Table15[[#This Row],[Quantity]],Table15[[#This Row],[Unit_Price]])</f>
        <v>2451.4299999999998</v>
      </c>
      <c r="J68" s="9">
        <v>115.04</v>
      </c>
      <c r="K68" s="47">
        <v>960.39</v>
      </c>
      <c r="L68" s="8" t="s">
        <v>26</v>
      </c>
      <c r="M68" s="8" t="s">
        <v>20</v>
      </c>
      <c r="N68" s="8" t="s">
        <v>58</v>
      </c>
      <c r="O68" s="91">
        <f>VLOOKUP(E68,Product_Master!$B$2:$F$11,5,FALSE)</f>
        <v>32</v>
      </c>
      <c r="P68" s="91">
        <f>PRODUCT(Table15[[#This Row],[Quantity]],Table15[[#This Row],[Unit_Cost]])</f>
        <v>1376</v>
      </c>
      <c r="Q68" s="72">
        <f>(Table15[[#This Row],[Profit]]/Table15[[#This Row],[Total_Sales]])</f>
        <v>0.39176725421488684</v>
      </c>
      <c r="R68" s="22"/>
      <c r="S68" s="22"/>
      <c r="T68" s="22"/>
      <c r="U68" s="22"/>
    </row>
    <row r="69" spans="1:21" x14ac:dyDescent="0.25">
      <c r="A69" s="7" t="s">
        <v>167</v>
      </c>
      <c r="B69" s="16">
        <v>45362</v>
      </c>
      <c r="C69" s="8" t="s">
        <v>168</v>
      </c>
      <c r="D69" s="8" t="str">
        <f>PROPER(TRIM(Sales_Data!D69))</f>
        <v>Mexico</v>
      </c>
      <c r="E69" s="8" t="s">
        <v>63</v>
      </c>
      <c r="F69" s="8" t="s">
        <v>37</v>
      </c>
      <c r="G69" s="91">
        <v>15</v>
      </c>
      <c r="H69" s="9">
        <v>22.23</v>
      </c>
      <c r="I69" s="87">
        <f>PRODUCT(Table15[[#This Row],[Quantity]],Table15[[#This Row],[Unit_Price]])</f>
        <v>333.45</v>
      </c>
      <c r="J69" s="9">
        <v>16.89</v>
      </c>
      <c r="K69" s="47">
        <v>125.31</v>
      </c>
      <c r="L69" s="8" t="s">
        <v>38</v>
      </c>
      <c r="M69" s="8" t="s">
        <v>27</v>
      </c>
      <c r="N69" s="8" t="s">
        <v>21</v>
      </c>
      <c r="O69" s="91">
        <f>VLOOKUP(E69,Product_Master!$B$2:$F$11,5,FALSE)</f>
        <v>12.75</v>
      </c>
      <c r="P69" s="91">
        <f>PRODUCT(Table15[[#This Row],[Quantity]],Table15[[#This Row],[Unit_Cost]])</f>
        <v>191.25</v>
      </c>
      <c r="Q69" s="72">
        <f>(Table15[[#This Row],[Profit]]/Table15[[#This Row],[Total_Sales]])</f>
        <v>0.37579847053531268</v>
      </c>
      <c r="R69" s="22"/>
      <c r="S69" s="22"/>
      <c r="T69" s="22"/>
      <c r="U69" s="22"/>
    </row>
    <row r="70" spans="1:21" x14ac:dyDescent="0.25">
      <c r="A70" s="7" t="s">
        <v>169</v>
      </c>
      <c r="B70" s="16">
        <v>45532</v>
      </c>
      <c r="C70" s="8" t="s">
        <v>170</v>
      </c>
      <c r="D70" s="8" t="str">
        <f>PROPER(TRIM(Sales_Data!D70))</f>
        <v>France</v>
      </c>
      <c r="E70" s="8" t="s">
        <v>60</v>
      </c>
      <c r="F70" s="8" t="s">
        <v>52</v>
      </c>
      <c r="G70" s="91">
        <v>15</v>
      </c>
      <c r="H70" s="9">
        <v>19.23</v>
      </c>
      <c r="I70" s="87">
        <f>PRODUCT(Table15[[#This Row],[Quantity]],Table15[[#This Row],[Unit_Price]])</f>
        <v>288.45</v>
      </c>
      <c r="J70" s="9">
        <v>20.22</v>
      </c>
      <c r="K70" s="47">
        <v>35.729999999999997</v>
      </c>
      <c r="L70" s="8" t="s">
        <v>19</v>
      </c>
      <c r="M70" s="8" t="s">
        <v>20</v>
      </c>
      <c r="N70" s="8" t="s">
        <v>28</v>
      </c>
      <c r="O70" s="91">
        <f>VLOOKUP(E70,Product_Master!$B$2:$F$11,5,FALSE)</f>
        <v>15.5</v>
      </c>
      <c r="P70" s="91">
        <f>PRODUCT(Table15[[#This Row],[Quantity]],Table15[[#This Row],[Unit_Cost]])</f>
        <v>232.5</v>
      </c>
      <c r="Q70" s="72">
        <f>(Table15[[#This Row],[Profit]]/Table15[[#This Row],[Total_Sales]])</f>
        <v>0.12386895475819032</v>
      </c>
      <c r="R70" s="22"/>
      <c r="S70" s="22"/>
      <c r="T70" s="22"/>
      <c r="U70" s="22"/>
    </row>
    <row r="71" spans="1:21" x14ac:dyDescent="0.25">
      <c r="A71" s="7" t="s">
        <v>171</v>
      </c>
      <c r="B71" s="16">
        <v>45458</v>
      </c>
      <c r="C71" s="8" t="s">
        <v>93</v>
      </c>
      <c r="D71" s="8" t="str">
        <f>PROPER(TRIM(Sales_Data!D71))</f>
        <v>Italy</v>
      </c>
      <c r="E71" s="8" t="s">
        <v>83</v>
      </c>
      <c r="F71" s="8" t="s">
        <v>52</v>
      </c>
      <c r="G71" s="91">
        <v>34</v>
      </c>
      <c r="H71" s="9">
        <v>45.54</v>
      </c>
      <c r="I71" s="87">
        <f>PRODUCT(Table15[[#This Row],[Quantity]],Table15[[#This Row],[Unit_Price]])</f>
        <v>1548.36</v>
      </c>
      <c r="J71" s="9">
        <v>36.76</v>
      </c>
      <c r="K71" s="47">
        <v>559.6</v>
      </c>
      <c r="L71" s="8" t="s">
        <v>19</v>
      </c>
      <c r="M71" s="8" t="s">
        <v>20</v>
      </c>
      <c r="N71" s="8" t="s">
        <v>28</v>
      </c>
      <c r="O71" s="91">
        <f>VLOOKUP(E71,Product_Master!$B$2:$F$11,5,FALSE)</f>
        <v>28</v>
      </c>
      <c r="P71" s="91">
        <f>PRODUCT(Table15[[#This Row],[Quantity]],Table15[[#This Row],[Unit_Cost]])</f>
        <v>952</v>
      </c>
      <c r="Q71" s="72">
        <f>(Table15[[#This Row],[Profit]]/Table15[[#This Row],[Total_Sales]])</f>
        <v>0.36141465808984996</v>
      </c>
      <c r="R71" s="22"/>
      <c r="S71" s="22"/>
      <c r="T71" s="22"/>
      <c r="U71" s="22"/>
    </row>
    <row r="72" spans="1:21" x14ac:dyDescent="0.25">
      <c r="A72" s="7" t="s">
        <v>172</v>
      </c>
      <c r="B72" s="16">
        <v>45518</v>
      </c>
      <c r="C72" s="8" t="s">
        <v>173</v>
      </c>
      <c r="D72" s="8" t="str">
        <f>PROPER(TRIM(Sales_Data!D72))</f>
        <v>France</v>
      </c>
      <c r="E72" s="8" t="s">
        <v>43</v>
      </c>
      <c r="F72" s="8" t="s">
        <v>44</v>
      </c>
      <c r="G72" s="91">
        <v>33</v>
      </c>
      <c r="H72" s="9">
        <v>63.88</v>
      </c>
      <c r="I72" s="87">
        <f>PRODUCT(Table15[[#This Row],[Quantity]],Table15[[#This Row],[Unit_Price]])</f>
        <v>2108.04</v>
      </c>
      <c r="J72" s="9">
        <v>111.7</v>
      </c>
      <c r="K72" s="47">
        <v>676.34</v>
      </c>
      <c r="L72" s="8" t="s">
        <v>19</v>
      </c>
      <c r="M72" s="8" t="s">
        <v>32</v>
      </c>
      <c r="N72" s="8" t="s">
        <v>28</v>
      </c>
      <c r="O72" s="91">
        <f>VLOOKUP(E72,Product_Master!$B$2:$F$11,5,FALSE)</f>
        <v>40</v>
      </c>
      <c r="P72" s="91">
        <f>PRODUCT(Table15[[#This Row],[Quantity]],Table15[[#This Row],[Unit_Cost]])</f>
        <v>1320</v>
      </c>
      <c r="Q72" s="72">
        <f>(Table15[[#This Row],[Profit]]/Table15[[#This Row],[Total_Sales]])</f>
        <v>0.32083831426348647</v>
      </c>
      <c r="R72" s="22"/>
      <c r="S72" s="22"/>
      <c r="T72" s="22"/>
      <c r="U72" s="22"/>
    </row>
    <row r="73" spans="1:21" x14ac:dyDescent="0.25">
      <c r="A73" s="7" t="s">
        <v>174</v>
      </c>
      <c r="B73" s="16">
        <v>45446</v>
      </c>
      <c r="C73" s="8" t="s">
        <v>91</v>
      </c>
      <c r="D73" s="8" t="str">
        <f>PROPER(TRIM(Sales_Data!D73))</f>
        <v>Germany</v>
      </c>
      <c r="E73" s="8" t="s">
        <v>25</v>
      </c>
      <c r="F73" s="8" t="s">
        <v>18</v>
      </c>
      <c r="G73" s="91">
        <v>39</v>
      </c>
      <c r="H73" s="9">
        <v>25.38</v>
      </c>
      <c r="I73" s="87">
        <f>PRODUCT(Table15[[#This Row],[Quantity]],Table15[[#This Row],[Unit_Price]])</f>
        <v>989.81999999999994</v>
      </c>
      <c r="J73" s="9">
        <v>50.82</v>
      </c>
      <c r="K73" s="47">
        <v>237</v>
      </c>
      <c r="L73" s="8" t="s">
        <v>26</v>
      </c>
      <c r="M73" s="8" t="s">
        <v>27</v>
      </c>
      <c r="N73" s="8" t="s">
        <v>28</v>
      </c>
      <c r="O73" s="91">
        <f>VLOOKUP(E73,Product_Master!$B$2:$F$11,5,FALSE)</f>
        <v>18</v>
      </c>
      <c r="P73" s="91">
        <f>PRODUCT(Table15[[#This Row],[Quantity]],Table15[[#This Row],[Unit_Cost]])</f>
        <v>702</v>
      </c>
      <c r="Q73" s="72">
        <f>(Table15[[#This Row],[Profit]]/Table15[[#This Row],[Total_Sales]])</f>
        <v>0.2394374734800267</v>
      </c>
      <c r="R73" s="22"/>
      <c r="S73" s="22"/>
      <c r="T73" s="22"/>
      <c r="U73" s="22"/>
    </row>
    <row r="74" spans="1:21" x14ac:dyDescent="0.25">
      <c r="A74" s="7" t="s">
        <v>175</v>
      </c>
      <c r="B74" s="16">
        <v>45450</v>
      </c>
      <c r="C74" s="8" t="s">
        <v>176</v>
      </c>
      <c r="D74" s="8" t="str">
        <f>PROPER(TRIM(Sales_Data!D74))</f>
        <v>India</v>
      </c>
      <c r="E74" s="8" t="s">
        <v>56</v>
      </c>
      <c r="F74" s="8" t="s">
        <v>57</v>
      </c>
      <c r="G74" s="91">
        <v>9</v>
      </c>
      <c r="H74" s="9">
        <v>38.979999999999997</v>
      </c>
      <c r="I74" s="87">
        <f>PRODUCT(Table15[[#This Row],[Quantity]],Table15[[#This Row],[Unit_Price]])</f>
        <v>350.82</v>
      </c>
      <c r="J74" s="9">
        <v>25.56</v>
      </c>
      <c r="K74" s="47">
        <v>100.26</v>
      </c>
      <c r="L74" s="8" t="s">
        <v>19</v>
      </c>
      <c r="M74" s="8" t="s">
        <v>20</v>
      </c>
      <c r="N74" s="8" t="s">
        <v>58</v>
      </c>
      <c r="O74" s="91">
        <f>VLOOKUP(E74,Product_Master!$B$2:$F$11,5,FALSE)</f>
        <v>25</v>
      </c>
      <c r="P74" s="91">
        <f>PRODUCT(Table15[[#This Row],[Quantity]],Table15[[#This Row],[Unit_Cost]])</f>
        <v>225</v>
      </c>
      <c r="Q74" s="72">
        <f>(Table15[[#This Row],[Profit]]/Table15[[#This Row],[Total_Sales]])</f>
        <v>0.28578758337609034</v>
      </c>
      <c r="R74" s="22"/>
      <c r="S74" s="22"/>
      <c r="T74" s="22"/>
      <c r="U74" s="22"/>
    </row>
    <row r="75" spans="1:21" x14ac:dyDescent="0.25">
      <c r="A75" s="7" t="s">
        <v>178</v>
      </c>
      <c r="B75" s="16">
        <v>45569</v>
      </c>
      <c r="C75" s="8" t="s">
        <v>179</v>
      </c>
      <c r="D75" s="8" t="str">
        <f>PROPER(TRIM(Sales_Data!D75))</f>
        <v>South Africa</v>
      </c>
      <c r="E75" s="8" t="s">
        <v>48</v>
      </c>
      <c r="F75" s="8" t="s">
        <v>37</v>
      </c>
      <c r="G75" s="91">
        <v>14</v>
      </c>
      <c r="H75" s="9">
        <v>35.86</v>
      </c>
      <c r="I75" s="87">
        <f>PRODUCT(Table15[[#This Row],[Quantity]],Table15[[#This Row],[Unit_Price]])</f>
        <v>502.03999999999996</v>
      </c>
      <c r="J75" s="9">
        <v>40.130000000000003</v>
      </c>
      <c r="K75" s="47">
        <v>181.91</v>
      </c>
      <c r="L75" s="8" t="s">
        <v>38</v>
      </c>
      <c r="M75" s="8" t="s">
        <v>32</v>
      </c>
      <c r="N75" s="8" t="s">
        <v>87</v>
      </c>
      <c r="O75" s="91">
        <f>VLOOKUP(E75,Product_Master!$B$2:$F$11,5,FALSE)</f>
        <v>20</v>
      </c>
      <c r="P75" s="91">
        <f>PRODUCT(Table15[[#This Row],[Quantity]],Table15[[#This Row],[Unit_Cost]])</f>
        <v>280</v>
      </c>
      <c r="Q75" s="72">
        <f>(Table15[[#This Row],[Profit]]/Table15[[#This Row],[Total_Sales]])</f>
        <v>0.3623416460839774</v>
      </c>
      <c r="R75" s="22"/>
      <c r="S75" s="22"/>
      <c r="T75" s="22"/>
      <c r="U75" s="22"/>
    </row>
    <row r="76" spans="1:21" x14ac:dyDescent="0.25">
      <c r="A76" s="7" t="s">
        <v>180</v>
      </c>
      <c r="B76" s="16">
        <v>45293</v>
      </c>
      <c r="C76" s="8" t="s">
        <v>181</v>
      </c>
      <c r="D76" s="8" t="str">
        <f>PROPER(TRIM(Sales_Data!D76))</f>
        <v>Japan</v>
      </c>
      <c r="E76" s="8" t="s">
        <v>60</v>
      </c>
      <c r="F76" s="8" t="s">
        <v>52</v>
      </c>
      <c r="G76" s="91">
        <v>49</v>
      </c>
      <c r="H76" s="9">
        <v>21.37</v>
      </c>
      <c r="I76" s="87">
        <f>PRODUCT(Table15[[#This Row],[Quantity]],Table15[[#This Row],[Unit_Price]])</f>
        <v>1047.1300000000001</v>
      </c>
      <c r="J76" s="9">
        <v>65.98</v>
      </c>
      <c r="K76" s="47">
        <v>221.65</v>
      </c>
      <c r="L76" s="8" t="s">
        <v>38</v>
      </c>
      <c r="M76" s="8" t="s">
        <v>32</v>
      </c>
      <c r="N76" s="8" t="s">
        <v>58</v>
      </c>
      <c r="O76" s="91">
        <f>VLOOKUP(E76,Product_Master!$B$2:$F$11,5,FALSE)</f>
        <v>15.5</v>
      </c>
      <c r="P76" s="91">
        <f>PRODUCT(Table15[[#This Row],[Quantity]],Table15[[#This Row],[Unit_Cost]])</f>
        <v>759.5</v>
      </c>
      <c r="Q76" s="72">
        <f>(Table15[[#This Row],[Profit]]/Table15[[#This Row],[Total_Sales]])</f>
        <v>0.21167381318460934</v>
      </c>
      <c r="R76" s="22"/>
      <c r="S76" s="22"/>
      <c r="T76" s="22"/>
      <c r="U76" s="22"/>
    </row>
    <row r="77" spans="1:21" x14ac:dyDescent="0.25">
      <c r="A77" s="7" t="s">
        <v>182</v>
      </c>
      <c r="B77" s="16">
        <v>45745</v>
      </c>
      <c r="C77" s="8" t="s">
        <v>183</v>
      </c>
      <c r="D77" s="8" t="str">
        <f>PROPER(TRIM(Sales_Data!D77))</f>
        <v>Mexico</v>
      </c>
      <c r="E77" s="8" t="s">
        <v>25</v>
      </c>
      <c r="F77" s="8" t="s">
        <v>18</v>
      </c>
      <c r="G77" s="91">
        <v>42</v>
      </c>
      <c r="H77" s="9">
        <v>24.57</v>
      </c>
      <c r="I77" s="87">
        <f>PRODUCT(Table15[[#This Row],[Quantity]],Table15[[#This Row],[Unit_Price]])</f>
        <v>1031.94</v>
      </c>
      <c r="J77" s="9">
        <v>56.45</v>
      </c>
      <c r="K77" s="47">
        <v>219.49</v>
      </c>
      <c r="L77" s="8" t="s">
        <v>26</v>
      </c>
      <c r="M77" s="8" t="s">
        <v>20</v>
      </c>
      <c r="N77" s="8" t="s">
        <v>21</v>
      </c>
      <c r="O77" s="91">
        <f>VLOOKUP(E77,Product_Master!$B$2:$F$11,5,FALSE)</f>
        <v>18</v>
      </c>
      <c r="P77" s="91">
        <f>PRODUCT(Table15[[#This Row],[Quantity]],Table15[[#This Row],[Unit_Cost]])</f>
        <v>756</v>
      </c>
      <c r="Q77" s="72">
        <f>(Table15[[#This Row],[Profit]]/Table15[[#This Row],[Total_Sales]])</f>
        <v>0.2126964746012365</v>
      </c>
      <c r="R77" s="22"/>
      <c r="S77" s="22"/>
      <c r="T77" s="22"/>
      <c r="U77" s="22"/>
    </row>
    <row r="78" spans="1:21" x14ac:dyDescent="0.25">
      <c r="A78" s="7" t="s">
        <v>184</v>
      </c>
      <c r="B78" s="16">
        <v>45620</v>
      </c>
      <c r="C78" s="8" t="s">
        <v>183</v>
      </c>
      <c r="D78" s="8" t="str">
        <f>PROPER(TRIM(Sales_Data!D78))</f>
        <v>Singapore</v>
      </c>
      <c r="E78" s="8" t="s">
        <v>25</v>
      </c>
      <c r="F78" s="8" t="s">
        <v>18</v>
      </c>
      <c r="G78" s="91">
        <v>42</v>
      </c>
      <c r="H78" s="9">
        <v>26.39</v>
      </c>
      <c r="I78" s="87">
        <f>PRODUCT(Table15[[#This Row],[Quantity]],Table15[[#This Row],[Unit_Price]])</f>
        <v>1108.3800000000001</v>
      </c>
      <c r="J78" s="9">
        <v>44.56</v>
      </c>
      <c r="K78" s="47">
        <v>307.82</v>
      </c>
      <c r="L78" s="8" t="s">
        <v>26</v>
      </c>
      <c r="M78" s="8" t="s">
        <v>20</v>
      </c>
      <c r="N78" s="8" t="s">
        <v>58</v>
      </c>
      <c r="O78" s="91">
        <f>VLOOKUP(E78,Product_Master!$B$2:$F$11,5,FALSE)</f>
        <v>18</v>
      </c>
      <c r="P78" s="91">
        <f>PRODUCT(Table15[[#This Row],[Quantity]],Table15[[#This Row],[Unit_Cost]])</f>
        <v>756</v>
      </c>
      <c r="Q78" s="72">
        <f>(Table15[[#This Row],[Profit]]/Table15[[#This Row],[Total_Sales]])</f>
        <v>0.27772063732654861</v>
      </c>
      <c r="R78" s="22"/>
      <c r="S78" s="22"/>
      <c r="T78" s="22"/>
      <c r="U78" s="22"/>
    </row>
    <row r="79" spans="1:21" x14ac:dyDescent="0.25">
      <c r="A79" s="7" t="s">
        <v>185</v>
      </c>
      <c r="B79" s="16">
        <v>45598</v>
      </c>
      <c r="C79" s="8" t="s">
        <v>181</v>
      </c>
      <c r="D79" s="8" t="str">
        <f>PROPER(TRIM(Sales_Data!D79))</f>
        <v>Canada</v>
      </c>
      <c r="E79" s="8" t="s">
        <v>48</v>
      </c>
      <c r="F79" s="8" t="s">
        <v>37</v>
      </c>
      <c r="G79" s="91">
        <v>50</v>
      </c>
      <c r="H79" s="9">
        <v>29.73</v>
      </c>
      <c r="I79" s="87">
        <f>PRODUCT(Table15[[#This Row],[Quantity]],Table15[[#This Row],[Unit_Price]])</f>
        <v>1486.5</v>
      </c>
      <c r="J79" s="9">
        <v>96.77</v>
      </c>
      <c r="K79" s="47">
        <v>389.73</v>
      </c>
      <c r="L79" s="8" t="s">
        <v>38</v>
      </c>
      <c r="M79" s="8" t="s">
        <v>20</v>
      </c>
      <c r="N79" s="8" t="s">
        <v>21</v>
      </c>
      <c r="O79" s="91">
        <f>VLOOKUP(E79,Product_Master!$B$2:$F$11,5,FALSE)</f>
        <v>20</v>
      </c>
      <c r="P79" s="91">
        <f>PRODUCT(Table15[[#This Row],[Quantity]],Table15[[#This Row],[Unit_Cost]])</f>
        <v>1000</v>
      </c>
      <c r="Q79" s="72">
        <f>(Table15[[#This Row],[Profit]]/Table15[[#This Row],[Total_Sales]])</f>
        <v>0.26217961654894045</v>
      </c>
      <c r="R79" s="22"/>
      <c r="S79" s="22"/>
      <c r="T79" s="22"/>
      <c r="U79" s="22"/>
    </row>
    <row r="80" spans="1:21" x14ac:dyDescent="0.25">
      <c r="A80" s="7" t="s">
        <v>186</v>
      </c>
      <c r="B80" s="16">
        <v>45737</v>
      </c>
      <c r="C80" s="8" t="s">
        <v>179</v>
      </c>
      <c r="D80" s="8" t="str">
        <f>PROPER(TRIM(Sales_Data!D80))</f>
        <v>China</v>
      </c>
      <c r="E80" s="8" t="s">
        <v>60</v>
      </c>
      <c r="F80" s="8" t="s">
        <v>52</v>
      </c>
      <c r="G80" s="91">
        <v>39</v>
      </c>
      <c r="H80" s="9">
        <v>20.56</v>
      </c>
      <c r="I80" s="87">
        <f>PRODUCT(Table15[[#This Row],[Quantity]],Table15[[#This Row],[Unit_Price]])</f>
        <v>801.83999999999992</v>
      </c>
      <c r="J80" s="9">
        <v>43.55</v>
      </c>
      <c r="K80" s="47">
        <v>153.79</v>
      </c>
      <c r="L80" s="8" t="s">
        <v>19</v>
      </c>
      <c r="M80" s="8" t="s">
        <v>20</v>
      </c>
      <c r="N80" s="8" t="s">
        <v>58</v>
      </c>
      <c r="O80" s="91">
        <f>VLOOKUP(E80,Product_Master!$B$2:$F$11,5,FALSE)</f>
        <v>15.5</v>
      </c>
      <c r="P80" s="91">
        <f>PRODUCT(Table15[[#This Row],[Quantity]],Table15[[#This Row],[Unit_Cost]])</f>
        <v>604.5</v>
      </c>
      <c r="Q80" s="72">
        <f>(Table15[[#This Row],[Profit]]/Table15[[#This Row],[Total_Sales]])</f>
        <v>0.1917963683527886</v>
      </c>
      <c r="R80" s="22"/>
      <c r="S80" s="22"/>
      <c r="T80" s="22"/>
      <c r="U80" s="22"/>
    </row>
    <row r="81" spans="1:21" x14ac:dyDescent="0.25">
      <c r="A81" s="7" t="s">
        <v>187</v>
      </c>
      <c r="B81" s="16">
        <v>45297</v>
      </c>
      <c r="C81" s="8" t="s">
        <v>23</v>
      </c>
      <c r="D81" s="8" t="str">
        <f>PROPER(TRIM(Sales_Data!D81))</f>
        <v>China</v>
      </c>
      <c r="E81" s="8" t="s">
        <v>60</v>
      </c>
      <c r="F81" s="8" t="s">
        <v>52</v>
      </c>
      <c r="G81" s="91">
        <v>48</v>
      </c>
      <c r="H81" s="9">
        <v>24.36</v>
      </c>
      <c r="I81" s="87">
        <f>PRODUCT(Table15[[#This Row],[Quantity]],Table15[[#This Row],[Unit_Price]])</f>
        <v>1169.28</v>
      </c>
      <c r="J81" s="9">
        <v>81.599999999999994</v>
      </c>
      <c r="K81" s="47">
        <v>343.68</v>
      </c>
      <c r="L81" s="8" t="s">
        <v>38</v>
      </c>
      <c r="M81" s="8" t="s">
        <v>32</v>
      </c>
      <c r="N81" s="8" t="s">
        <v>58</v>
      </c>
      <c r="O81" s="91">
        <f>VLOOKUP(E81,Product_Master!$B$2:$F$11,5,FALSE)</f>
        <v>15.5</v>
      </c>
      <c r="P81" s="91">
        <f>PRODUCT(Table15[[#This Row],[Quantity]],Table15[[#This Row],[Unit_Cost]])</f>
        <v>744</v>
      </c>
      <c r="Q81" s="72">
        <f>(Table15[[#This Row],[Profit]]/Table15[[#This Row],[Total_Sales]])</f>
        <v>0.29392446633825947</v>
      </c>
      <c r="R81" s="22"/>
      <c r="S81" s="22"/>
      <c r="T81" s="22"/>
      <c r="U81" s="22"/>
    </row>
    <row r="82" spans="1:21" x14ac:dyDescent="0.25">
      <c r="A82" s="7" t="s">
        <v>188</v>
      </c>
      <c r="B82" s="16">
        <v>45563</v>
      </c>
      <c r="C82" s="8" t="s">
        <v>189</v>
      </c>
      <c r="D82" s="8" t="str">
        <f>PROPER(TRIM(Sales_Data!D82))</f>
        <v>Germany</v>
      </c>
      <c r="E82" s="8" t="s">
        <v>51</v>
      </c>
      <c r="F82" s="8" t="s">
        <v>52</v>
      </c>
      <c r="G82" s="91">
        <v>40</v>
      </c>
      <c r="H82" s="9">
        <v>27.95</v>
      </c>
      <c r="I82" s="87">
        <f>PRODUCT(Table15[[#This Row],[Quantity]],Table15[[#This Row],[Unit_Price]])</f>
        <v>1118</v>
      </c>
      <c r="J82" s="9">
        <v>37.590000000000003</v>
      </c>
      <c r="K82" s="47">
        <v>180.41</v>
      </c>
      <c r="L82" s="8" t="s">
        <v>38</v>
      </c>
      <c r="M82" s="8" t="s">
        <v>32</v>
      </c>
      <c r="N82" s="8" t="s">
        <v>28</v>
      </c>
      <c r="O82" s="91">
        <f>VLOOKUP(E82,Product_Master!$B$2:$F$11,5,FALSE)</f>
        <v>22.5</v>
      </c>
      <c r="P82" s="91">
        <f>PRODUCT(Table15[[#This Row],[Quantity]],Table15[[#This Row],[Unit_Cost]])</f>
        <v>900</v>
      </c>
      <c r="Q82" s="72">
        <f>(Table15[[#This Row],[Profit]]/Table15[[#This Row],[Total_Sales]])</f>
        <v>0.16136851520572451</v>
      </c>
      <c r="R82" s="22"/>
      <c r="S82" s="22"/>
      <c r="T82" s="22"/>
      <c r="U82" s="22"/>
    </row>
    <row r="83" spans="1:21" x14ac:dyDescent="0.25">
      <c r="A83" s="7" t="s">
        <v>190</v>
      </c>
      <c r="B83" s="16">
        <v>45716</v>
      </c>
      <c r="C83" s="8" t="s">
        <v>119</v>
      </c>
      <c r="D83" s="8" t="str">
        <f>PROPER(TRIM(Sales_Data!D83))</f>
        <v>India</v>
      </c>
      <c r="E83" s="8" t="s">
        <v>83</v>
      </c>
      <c r="F83" s="8" t="s">
        <v>52</v>
      </c>
      <c r="G83" s="91">
        <v>21</v>
      </c>
      <c r="H83" s="9">
        <v>40.19</v>
      </c>
      <c r="I83" s="87">
        <f>PRODUCT(Table15[[#This Row],[Quantity]],Table15[[#This Row],[Unit_Price]])</f>
        <v>843.99</v>
      </c>
      <c r="J83" s="9">
        <v>32.4</v>
      </c>
      <c r="K83" s="47">
        <v>223.59</v>
      </c>
      <c r="L83" s="8" t="s">
        <v>26</v>
      </c>
      <c r="M83" s="8" t="s">
        <v>27</v>
      </c>
      <c r="N83" s="8" t="s">
        <v>58</v>
      </c>
      <c r="O83" s="91">
        <f>VLOOKUP(E83,Product_Master!$B$2:$F$11,5,FALSE)</f>
        <v>28</v>
      </c>
      <c r="P83" s="91">
        <f>PRODUCT(Table15[[#This Row],[Quantity]],Table15[[#This Row],[Unit_Cost]])</f>
        <v>588</v>
      </c>
      <c r="Q83" s="72">
        <f>(Table15[[#This Row],[Profit]]/Table15[[#This Row],[Total_Sales]])</f>
        <v>0.26492020047630899</v>
      </c>
      <c r="R83" s="22"/>
      <c r="S83" s="22"/>
      <c r="T83" s="22"/>
      <c r="U83" s="22"/>
    </row>
    <row r="84" spans="1:21" x14ac:dyDescent="0.25">
      <c r="A84" s="7" t="s">
        <v>191</v>
      </c>
      <c r="B84" s="16">
        <v>45445</v>
      </c>
      <c r="C84" s="8" t="s">
        <v>89</v>
      </c>
      <c r="D84" s="8" t="str">
        <f>PROPER(TRIM(Sales_Data!D84))</f>
        <v>Singapore</v>
      </c>
      <c r="E84" s="8" t="s">
        <v>63</v>
      </c>
      <c r="F84" s="8" t="s">
        <v>37</v>
      </c>
      <c r="G84" s="91">
        <v>26</v>
      </c>
      <c r="H84" s="9">
        <v>16.670000000000002</v>
      </c>
      <c r="I84" s="87">
        <f>PRODUCT(Table15[[#This Row],[Quantity]],Table15[[#This Row],[Unit_Price]])</f>
        <v>433.42000000000007</v>
      </c>
      <c r="J84" s="9">
        <v>32.79</v>
      </c>
      <c r="K84" s="47">
        <v>69.13</v>
      </c>
      <c r="L84" s="8" t="s">
        <v>38</v>
      </c>
      <c r="M84" s="8" t="s">
        <v>27</v>
      </c>
      <c r="N84" s="8" t="s">
        <v>58</v>
      </c>
      <c r="O84" s="91">
        <f>VLOOKUP(E84,Product_Master!$B$2:$F$11,5,FALSE)</f>
        <v>12.75</v>
      </c>
      <c r="P84" s="91">
        <f>PRODUCT(Table15[[#This Row],[Quantity]],Table15[[#This Row],[Unit_Cost]])</f>
        <v>331.5</v>
      </c>
      <c r="Q84" s="72">
        <f>(Table15[[#This Row],[Profit]]/Table15[[#This Row],[Total_Sales]])</f>
        <v>0.15949886945687783</v>
      </c>
      <c r="R84" s="22"/>
      <c r="S84" s="22"/>
      <c r="T84" s="22"/>
      <c r="U84" s="22"/>
    </row>
    <row r="85" spans="1:21" x14ac:dyDescent="0.25">
      <c r="A85" s="7" t="s">
        <v>192</v>
      </c>
      <c r="B85" s="16">
        <v>45614</v>
      </c>
      <c r="C85" s="8" t="s">
        <v>193</v>
      </c>
      <c r="D85" s="8" t="str">
        <f>PROPER(TRIM(Sales_Data!D85))</f>
        <v>Brazil</v>
      </c>
      <c r="E85" s="8" t="s">
        <v>36</v>
      </c>
      <c r="F85" s="8" t="s">
        <v>37</v>
      </c>
      <c r="G85" s="91">
        <v>28</v>
      </c>
      <c r="H85" s="9">
        <v>39.85</v>
      </c>
      <c r="I85" s="87">
        <f>PRODUCT(Table15[[#This Row],[Quantity]],Table15[[#This Row],[Unit_Price]])</f>
        <v>1115.8</v>
      </c>
      <c r="J85" s="9">
        <v>43.87</v>
      </c>
      <c r="K85" s="47">
        <v>175.93</v>
      </c>
      <c r="L85" s="8" t="s">
        <v>38</v>
      </c>
      <c r="M85" s="8" t="s">
        <v>20</v>
      </c>
      <c r="N85" s="8" t="s">
        <v>39</v>
      </c>
      <c r="O85" s="91">
        <f>VLOOKUP(E85,Product_Master!$B$2:$F$11,5,FALSE)</f>
        <v>32</v>
      </c>
      <c r="P85" s="91">
        <f>PRODUCT(Table15[[#This Row],[Quantity]],Table15[[#This Row],[Unit_Cost]])</f>
        <v>896</v>
      </c>
      <c r="Q85" s="72">
        <f>(Table15[[#This Row],[Profit]]/Table15[[#This Row],[Total_Sales]])</f>
        <v>0.15767162573937982</v>
      </c>
      <c r="R85" s="22"/>
      <c r="S85" s="22"/>
      <c r="T85" s="22"/>
      <c r="U85" s="22"/>
    </row>
    <row r="86" spans="1:21" x14ac:dyDescent="0.25">
      <c r="A86" s="7" t="s">
        <v>194</v>
      </c>
      <c r="B86" s="16">
        <v>45608</v>
      </c>
      <c r="C86" s="8" t="s">
        <v>193</v>
      </c>
      <c r="D86" s="8" t="str">
        <f>PROPER(TRIM(Sales_Data!D86))</f>
        <v>Mexico</v>
      </c>
      <c r="E86" s="8" t="s">
        <v>63</v>
      </c>
      <c r="F86" s="8" t="s">
        <v>37</v>
      </c>
      <c r="G86" s="91">
        <v>47</v>
      </c>
      <c r="H86" s="9">
        <v>15.97</v>
      </c>
      <c r="I86" s="87">
        <f>PRODUCT(Table15[[#This Row],[Quantity]],Table15[[#This Row],[Unit_Price]])</f>
        <v>750.59</v>
      </c>
      <c r="J86" s="9">
        <v>48.55</v>
      </c>
      <c r="K86" s="47">
        <v>102.79</v>
      </c>
      <c r="L86" s="8" t="s">
        <v>38</v>
      </c>
      <c r="M86" s="8" t="s">
        <v>32</v>
      </c>
      <c r="N86" s="8" t="s">
        <v>21</v>
      </c>
      <c r="O86" s="91">
        <f>VLOOKUP(E86,Product_Master!$B$2:$F$11,5,FALSE)</f>
        <v>12.75</v>
      </c>
      <c r="P86" s="91">
        <f>PRODUCT(Table15[[#This Row],[Quantity]],Table15[[#This Row],[Unit_Cost]])</f>
        <v>599.25</v>
      </c>
      <c r="Q86" s="72">
        <f>(Table15[[#This Row],[Profit]]/Table15[[#This Row],[Total_Sales]])</f>
        <v>0.13694560279246992</v>
      </c>
      <c r="R86" s="22"/>
      <c r="S86" s="22"/>
      <c r="T86" s="22"/>
      <c r="U86" s="22"/>
    </row>
    <row r="87" spans="1:21" x14ac:dyDescent="0.25">
      <c r="A87" s="7" t="s">
        <v>195</v>
      </c>
      <c r="B87" s="16">
        <v>45597</v>
      </c>
      <c r="C87" s="8" t="s">
        <v>135</v>
      </c>
      <c r="D87" s="8" t="str">
        <f>PROPER(TRIM(Sales_Data!D87))</f>
        <v>China</v>
      </c>
      <c r="E87" s="8" t="s">
        <v>43</v>
      </c>
      <c r="F87" s="8" t="s">
        <v>44</v>
      </c>
      <c r="G87" s="91">
        <v>28</v>
      </c>
      <c r="H87" s="9">
        <v>53.6</v>
      </c>
      <c r="I87" s="87">
        <f>PRODUCT(Table15[[#This Row],[Quantity]],Table15[[#This Row],[Unit_Price]])</f>
        <v>1500.8</v>
      </c>
      <c r="J87" s="9">
        <v>68.55</v>
      </c>
      <c r="K87" s="47">
        <v>312.25</v>
      </c>
      <c r="L87" s="8" t="s">
        <v>26</v>
      </c>
      <c r="M87" s="8" t="s">
        <v>27</v>
      </c>
      <c r="N87" s="8" t="s">
        <v>58</v>
      </c>
      <c r="O87" s="91">
        <f>VLOOKUP(E87,Product_Master!$B$2:$F$11,5,FALSE)</f>
        <v>40</v>
      </c>
      <c r="P87" s="91">
        <f>PRODUCT(Table15[[#This Row],[Quantity]],Table15[[#This Row],[Unit_Cost]])</f>
        <v>1120</v>
      </c>
      <c r="Q87" s="72">
        <f>(Table15[[#This Row],[Profit]]/Table15[[#This Row],[Total_Sales]])</f>
        <v>0.20805570362473347</v>
      </c>
      <c r="R87" s="22"/>
      <c r="S87" s="22"/>
      <c r="T87" s="22"/>
      <c r="U87" s="22"/>
    </row>
    <row r="88" spans="1:21" x14ac:dyDescent="0.25">
      <c r="A88" s="7" t="s">
        <v>196</v>
      </c>
      <c r="B88" s="16">
        <v>45647</v>
      </c>
      <c r="C88" s="8" t="s">
        <v>108</v>
      </c>
      <c r="D88" s="8" t="str">
        <f>PROPER(TRIM(Sales_Data!D88))</f>
        <v>India</v>
      </c>
      <c r="E88" s="8" t="s">
        <v>83</v>
      </c>
      <c r="F88" s="8" t="s">
        <v>52</v>
      </c>
      <c r="G88" s="91">
        <v>37</v>
      </c>
      <c r="H88" s="9">
        <v>40.049999999999997</v>
      </c>
      <c r="I88" s="87">
        <f>PRODUCT(Table15[[#This Row],[Quantity]],Table15[[#This Row],[Unit_Price]])</f>
        <v>1481.85</v>
      </c>
      <c r="J88" s="9">
        <v>45.6</v>
      </c>
      <c r="K88" s="47">
        <v>400.25</v>
      </c>
      <c r="L88" s="8" t="s">
        <v>19</v>
      </c>
      <c r="M88" s="8" t="s">
        <v>32</v>
      </c>
      <c r="N88" s="8" t="s">
        <v>58</v>
      </c>
      <c r="O88" s="91">
        <f>VLOOKUP(E88,Product_Master!$B$2:$F$11,5,FALSE)</f>
        <v>28</v>
      </c>
      <c r="P88" s="91">
        <f>PRODUCT(Table15[[#This Row],[Quantity]],Table15[[#This Row],[Unit_Cost]])</f>
        <v>1036</v>
      </c>
      <c r="Q88" s="72">
        <f>(Table15[[#This Row],[Profit]]/Table15[[#This Row],[Total_Sales]])</f>
        <v>0.2701015622363937</v>
      </c>
      <c r="R88" s="22"/>
      <c r="S88" s="22"/>
      <c r="T88" s="22"/>
      <c r="U88" s="22"/>
    </row>
    <row r="89" spans="1:21" x14ac:dyDescent="0.25">
      <c r="A89" s="7" t="s">
        <v>197</v>
      </c>
      <c r="B89" s="16">
        <v>45709</v>
      </c>
      <c r="C89" s="8" t="s">
        <v>139</v>
      </c>
      <c r="D89" s="8" t="str">
        <f>PROPER(TRIM(Sales_Data!D89))</f>
        <v>Italy</v>
      </c>
      <c r="E89" s="8" t="s">
        <v>17</v>
      </c>
      <c r="F89" s="8" t="s">
        <v>18</v>
      </c>
      <c r="G89" s="91">
        <v>45</v>
      </c>
      <c r="H89" s="9">
        <v>43.74</v>
      </c>
      <c r="I89" s="87">
        <f>PRODUCT(Table15[[#This Row],[Quantity]],Table15[[#This Row],[Unit_Price]])</f>
        <v>1968.3000000000002</v>
      </c>
      <c r="J89" s="9">
        <v>80.55</v>
      </c>
      <c r="K89" s="47">
        <v>312.75</v>
      </c>
      <c r="L89" s="8" t="s">
        <v>26</v>
      </c>
      <c r="M89" s="8" t="s">
        <v>32</v>
      </c>
      <c r="N89" s="8" t="s">
        <v>28</v>
      </c>
      <c r="O89" s="91">
        <f>VLOOKUP(E89,Product_Master!$B$2:$F$11,5,FALSE)</f>
        <v>35</v>
      </c>
      <c r="P89" s="91">
        <f>PRODUCT(Table15[[#This Row],[Quantity]],Table15[[#This Row],[Unit_Cost]])</f>
        <v>1575</v>
      </c>
      <c r="Q89" s="72">
        <f>(Table15[[#This Row],[Profit]]/Table15[[#This Row],[Total_Sales]])</f>
        <v>0.15889346136259716</v>
      </c>
      <c r="R89" s="22"/>
      <c r="S89" s="22"/>
      <c r="T89" s="22"/>
      <c r="U89" s="22"/>
    </row>
    <row r="90" spans="1:21" x14ac:dyDescent="0.25">
      <c r="A90" s="7" t="s">
        <v>198</v>
      </c>
      <c r="B90" s="16">
        <v>45724</v>
      </c>
      <c r="C90" s="8" t="s">
        <v>199</v>
      </c>
      <c r="D90" s="8" t="str">
        <f>PROPER(TRIM(Sales_Data!D90))</f>
        <v>Uk</v>
      </c>
      <c r="E90" s="8" t="s">
        <v>60</v>
      </c>
      <c r="F90" s="8" t="s">
        <v>52</v>
      </c>
      <c r="G90" s="91">
        <v>9</v>
      </c>
      <c r="H90" s="9">
        <v>24.63</v>
      </c>
      <c r="I90" s="87">
        <f>PRODUCT(Table15[[#This Row],[Quantity]],Table15[[#This Row],[Unit_Price]])</f>
        <v>221.67</v>
      </c>
      <c r="J90" s="9">
        <v>13.53</v>
      </c>
      <c r="K90" s="47">
        <v>68.64</v>
      </c>
      <c r="L90" s="8" t="s">
        <v>26</v>
      </c>
      <c r="M90" s="8" t="s">
        <v>32</v>
      </c>
      <c r="N90" s="8" t="s">
        <v>28</v>
      </c>
      <c r="O90" s="91">
        <f>VLOOKUP(E90,Product_Master!$B$2:$F$11,5,FALSE)</f>
        <v>15.5</v>
      </c>
      <c r="P90" s="91">
        <f>PRODUCT(Table15[[#This Row],[Quantity]],Table15[[#This Row],[Unit_Cost]])</f>
        <v>139.5</v>
      </c>
      <c r="Q90" s="72">
        <f>(Table15[[#This Row],[Profit]]/Table15[[#This Row],[Total_Sales]])</f>
        <v>0.30964947895520373</v>
      </c>
      <c r="R90" s="22"/>
      <c r="S90" s="22"/>
      <c r="T90" s="22"/>
      <c r="U90" s="22"/>
    </row>
    <row r="91" spans="1:21" x14ac:dyDescent="0.25">
      <c r="A91" s="7" t="s">
        <v>200</v>
      </c>
      <c r="B91" s="16">
        <v>45731</v>
      </c>
      <c r="C91" s="8" t="s">
        <v>41</v>
      </c>
      <c r="D91" s="8" t="str">
        <f>PROPER(TRIM(Sales_Data!D91))</f>
        <v>South Africa</v>
      </c>
      <c r="E91" s="8" t="s">
        <v>60</v>
      </c>
      <c r="F91" s="8" t="s">
        <v>52</v>
      </c>
      <c r="G91" s="91">
        <v>6</v>
      </c>
      <c r="H91" s="9">
        <v>21.79</v>
      </c>
      <c r="I91" s="87">
        <f>PRODUCT(Table15[[#This Row],[Quantity]],Table15[[#This Row],[Unit_Price]])</f>
        <v>130.74</v>
      </c>
      <c r="J91" s="9">
        <v>7.75</v>
      </c>
      <c r="K91" s="47">
        <v>29.99</v>
      </c>
      <c r="L91" s="8" t="s">
        <v>26</v>
      </c>
      <c r="M91" s="8" t="s">
        <v>32</v>
      </c>
      <c r="N91" s="8" t="s">
        <v>87</v>
      </c>
      <c r="O91" s="91">
        <f>VLOOKUP(E91,Product_Master!$B$2:$F$11,5,FALSE)</f>
        <v>15.5</v>
      </c>
      <c r="P91" s="91">
        <f>PRODUCT(Table15[[#This Row],[Quantity]],Table15[[#This Row],[Unit_Cost]])</f>
        <v>93</v>
      </c>
      <c r="Q91" s="72">
        <f>(Table15[[#This Row],[Profit]]/Table15[[#This Row],[Total_Sales]])</f>
        <v>0.22938656876242922</v>
      </c>
      <c r="R91" s="22"/>
      <c r="S91" s="22"/>
      <c r="T91" s="22"/>
      <c r="U91" s="22"/>
    </row>
    <row r="92" spans="1:21" x14ac:dyDescent="0.25">
      <c r="A92" s="7" t="s">
        <v>201</v>
      </c>
      <c r="B92" s="16">
        <v>45480</v>
      </c>
      <c r="C92" s="8" t="s">
        <v>202</v>
      </c>
      <c r="D92" s="8" t="str">
        <f>PROPER(TRIM(Sales_Data!D92))</f>
        <v>France</v>
      </c>
      <c r="E92" s="8" t="s">
        <v>17</v>
      </c>
      <c r="F92" s="8" t="s">
        <v>18</v>
      </c>
      <c r="G92" s="91">
        <v>23</v>
      </c>
      <c r="H92" s="9">
        <v>58.43</v>
      </c>
      <c r="I92" s="87">
        <f>PRODUCT(Table15[[#This Row],[Quantity]],Table15[[#This Row],[Unit_Price]])</f>
        <v>1343.89</v>
      </c>
      <c r="J92" s="9">
        <v>38.729999999999997</v>
      </c>
      <c r="K92" s="47">
        <v>500.16</v>
      </c>
      <c r="L92" s="8" t="s">
        <v>26</v>
      </c>
      <c r="M92" s="8" t="s">
        <v>20</v>
      </c>
      <c r="N92" s="8" t="s">
        <v>28</v>
      </c>
      <c r="O92" s="91">
        <f>VLOOKUP(E92,Product_Master!$B$2:$F$11,5,FALSE)</f>
        <v>35</v>
      </c>
      <c r="P92" s="91">
        <f>PRODUCT(Table15[[#This Row],[Quantity]],Table15[[#This Row],[Unit_Cost]])</f>
        <v>805</v>
      </c>
      <c r="Q92" s="72">
        <f>(Table15[[#This Row],[Profit]]/Table15[[#This Row],[Total_Sales]])</f>
        <v>0.37217331775666163</v>
      </c>
      <c r="R92" s="22"/>
      <c r="S92" s="22"/>
      <c r="T92" s="22"/>
      <c r="U92" s="22"/>
    </row>
    <row r="93" spans="1:21" x14ac:dyDescent="0.25">
      <c r="A93" s="7" t="s">
        <v>203</v>
      </c>
      <c r="B93" s="16">
        <v>45547</v>
      </c>
      <c r="C93" s="8" t="s">
        <v>204</v>
      </c>
      <c r="D93" s="8" t="str">
        <f>PROPER(TRIM(Sales_Data!D93))</f>
        <v>Singapore</v>
      </c>
      <c r="E93" s="8" t="s">
        <v>43</v>
      </c>
      <c r="F93" s="8" t="s">
        <v>44</v>
      </c>
      <c r="G93" s="91">
        <v>19</v>
      </c>
      <c r="H93" s="9">
        <v>67.06</v>
      </c>
      <c r="I93" s="87">
        <f>PRODUCT(Table15[[#This Row],[Quantity]],Table15[[#This Row],[Unit_Price]])</f>
        <v>1274.1400000000001</v>
      </c>
      <c r="J93" s="9">
        <v>85.73</v>
      </c>
      <c r="K93" s="47">
        <v>428.41</v>
      </c>
      <c r="L93" s="8" t="s">
        <v>19</v>
      </c>
      <c r="M93" s="8" t="s">
        <v>27</v>
      </c>
      <c r="N93" s="8" t="s">
        <v>58</v>
      </c>
      <c r="O93" s="91">
        <f>VLOOKUP(E93,Product_Master!$B$2:$F$11,5,FALSE)</f>
        <v>40</v>
      </c>
      <c r="P93" s="91">
        <f>PRODUCT(Table15[[#This Row],[Quantity]],Table15[[#This Row],[Unit_Cost]])</f>
        <v>760</v>
      </c>
      <c r="Q93" s="72">
        <f>(Table15[[#This Row],[Profit]]/Table15[[#This Row],[Total_Sales]])</f>
        <v>0.33623463669612441</v>
      </c>
      <c r="R93" s="22"/>
      <c r="S93" s="22"/>
      <c r="T93" s="22"/>
      <c r="U93" s="22"/>
    </row>
    <row r="94" spans="1:21" x14ac:dyDescent="0.25">
      <c r="A94" s="7" t="s">
        <v>205</v>
      </c>
      <c r="B94" s="16">
        <v>45502</v>
      </c>
      <c r="C94" s="8" t="s">
        <v>199</v>
      </c>
      <c r="D94" s="8" t="str">
        <f>PROPER(TRIM(Sales_Data!D94))</f>
        <v>Italy</v>
      </c>
      <c r="E94" s="8" t="s">
        <v>25</v>
      </c>
      <c r="F94" s="8" t="s">
        <v>18</v>
      </c>
      <c r="G94" s="91">
        <v>4</v>
      </c>
      <c r="H94" s="9">
        <v>25.13</v>
      </c>
      <c r="I94" s="87">
        <f>PRODUCT(Table15[[#This Row],[Quantity]],Table15[[#This Row],[Unit_Price]])</f>
        <v>100.52</v>
      </c>
      <c r="J94" s="9">
        <v>5.6</v>
      </c>
      <c r="K94" s="47">
        <v>22.92</v>
      </c>
      <c r="L94" s="8" t="s">
        <v>26</v>
      </c>
      <c r="M94" s="8" t="s">
        <v>32</v>
      </c>
      <c r="N94" s="8" t="s">
        <v>28</v>
      </c>
      <c r="O94" s="91">
        <f>VLOOKUP(E94,Product_Master!$B$2:$F$11,5,FALSE)</f>
        <v>18</v>
      </c>
      <c r="P94" s="91">
        <f>PRODUCT(Table15[[#This Row],[Quantity]],Table15[[#This Row],[Unit_Cost]])</f>
        <v>72</v>
      </c>
      <c r="Q94" s="72">
        <f>(Table15[[#This Row],[Profit]]/Table15[[#This Row],[Total_Sales]])</f>
        <v>0.22801432550736175</v>
      </c>
      <c r="R94" s="22"/>
      <c r="S94" s="22"/>
      <c r="T94" s="22"/>
      <c r="U94" s="22"/>
    </row>
    <row r="95" spans="1:21" x14ac:dyDescent="0.25">
      <c r="A95" s="7" t="s">
        <v>206</v>
      </c>
      <c r="B95" s="16">
        <v>45755</v>
      </c>
      <c r="C95" s="8" t="s">
        <v>207</v>
      </c>
      <c r="D95" s="8" t="str">
        <f>PROPER(TRIM(Sales_Data!D95))</f>
        <v>Italy</v>
      </c>
      <c r="E95" s="8" t="s">
        <v>60</v>
      </c>
      <c r="F95" s="8" t="s">
        <v>52</v>
      </c>
      <c r="G95" s="91">
        <v>26</v>
      </c>
      <c r="H95" s="9">
        <v>19.34</v>
      </c>
      <c r="I95" s="87">
        <f>PRODUCT(Table15[[#This Row],[Quantity]],Table15[[#This Row],[Unit_Price]])</f>
        <v>502.84</v>
      </c>
      <c r="J95" s="9">
        <v>26.51</v>
      </c>
      <c r="K95" s="47">
        <v>73.33</v>
      </c>
      <c r="L95" s="8" t="s">
        <v>26</v>
      </c>
      <c r="M95" s="8" t="s">
        <v>20</v>
      </c>
      <c r="N95" s="8" t="s">
        <v>28</v>
      </c>
      <c r="O95" s="91">
        <f>VLOOKUP(E95,Product_Master!$B$2:$F$11,5,FALSE)</f>
        <v>15.5</v>
      </c>
      <c r="P95" s="91">
        <f>PRODUCT(Table15[[#This Row],[Quantity]],Table15[[#This Row],[Unit_Cost]])</f>
        <v>403</v>
      </c>
      <c r="Q95" s="72">
        <f>(Table15[[#This Row],[Profit]]/Table15[[#This Row],[Total_Sales]])</f>
        <v>0.14583167607986636</v>
      </c>
      <c r="R95" s="22"/>
      <c r="S95" s="22"/>
      <c r="T95" s="22"/>
      <c r="U95" s="22"/>
    </row>
    <row r="96" spans="1:21" x14ac:dyDescent="0.25">
      <c r="A96" s="7" t="s">
        <v>208</v>
      </c>
      <c r="B96" s="16">
        <v>45549</v>
      </c>
      <c r="C96" s="8" t="s">
        <v>209</v>
      </c>
      <c r="D96" s="8" t="str">
        <f>PROPER(TRIM(Sales_Data!D96))</f>
        <v>South Africa</v>
      </c>
      <c r="E96" s="8" t="s">
        <v>48</v>
      </c>
      <c r="F96" s="8" t="s">
        <v>37</v>
      </c>
      <c r="G96" s="91">
        <v>26</v>
      </c>
      <c r="H96" s="9">
        <v>35.81</v>
      </c>
      <c r="I96" s="87">
        <f>PRODUCT(Table15[[#This Row],[Quantity]],Table15[[#This Row],[Unit_Price]])</f>
        <v>931.06000000000006</v>
      </c>
      <c r="J96" s="9">
        <v>61.06</v>
      </c>
      <c r="K96" s="47">
        <v>350</v>
      </c>
      <c r="L96" s="8" t="s">
        <v>19</v>
      </c>
      <c r="M96" s="8" t="s">
        <v>20</v>
      </c>
      <c r="N96" s="8" t="s">
        <v>87</v>
      </c>
      <c r="O96" s="91">
        <f>VLOOKUP(E96,Product_Master!$B$2:$F$11,5,FALSE)</f>
        <v>20</v>
      </c>
      <c r="P96" s="91">
        <f>PRODUCT(Table15[[#This Row],[Quantity]],Table15[[#This Row],[Unit_Cost]])</f>
        <v>520</v>
      </c>
      <c r="Q96" s="72">
        <f>(Table15[[#This Row],[Profit]]/Table15[[#This Row],[Total_Sales]])</f>
        <v>0.37591562305329407</v>
      </c>
      <c r="R96" s="22"/>
      <c r="S96" s="22"/>
      <c r="T96" s="22"/>
      <c r="U96" s="22"/>
    </row>
    <row r="97" spans="1:21" x14ac:dyDescent="0.25">
      <c r="A97" s="7" t="s">
        <v>210</v>
      </c>
      <c r="B97" s="16">
        <v>45717</v>
      </c>
      <c r="C97" s="8" t="s">
        <v>211</v>
      </c>
      <c r="D97" s="8" t="str">
        <f>PROPER(TRIM(Sales_Data!D97))</f>
        <v>Singapore</v>
      </c>
      <c r="E97" s="8" t="s">
        <v>51</v>
      </c>
      <c r="F97" s="8" t="s">
        <v>52</v>
      </c>
      <c r="G97" s="91">
        <v>42</v>
      </c>
      <c r="H97" s="9">
        <v>39.950000000000003</v>
      </c>
      <c r="I97" s="87">
        <f>PRODUCT(Table15[[#This Row],[Quantity]],Table15[[#This Row],[Unit_Price]])</f>
        <v>1677.9</v>
      </c>
      <c r="J97" s="9">
        <v>93.95</v>
      </c>
      <c r="K97" s="47">
        <v>638.95000000000005</v>
      </c>
      <c r="L97" s="8" t="s">
        <v>26</v>
      </c>
      <c r="M97" s="8" t="s">
        <v>27</v>
      </c>
      <c r="N97" s="8" t="s">
        <v>58</v>
      </c>
      <c r="O97" s="91">
        <f>VLOOKUP(E97,Product_Master!$B$2:$F$11,5,FALSE)</f>
        <v>22.5</v>
      </c>
      <c r="P97" s="91">
        <f>PRODUCT(Table15[[#This Row],[Quantity]],Table15[[#This Row],[Unit_Cost]])</f>
        <v>945</v>
      </c>
      <c r="Q97" s="72">
        <f>(Table15[[#This Row],[Profit]]/Table15[[#This Row],[Total_Sales]])</f>
        <v>0.38080338518386081</v>
      </c>
      <c r="R97" s="22"/>
      <c r="S97" s="22"/>
      <c r="T97" s="22"/>
      <c r="U97" s="22"/>
    </row>
    <row r="98" spans="1:21" x14ac:dyDescent="0.25">
      <c r="A98" s="7" t="s">
        <v>212</v>
      </c>
      <c r="B98" s="16">
        <v>45501</v>
      </c>
      <c r="C98" s="8" t="s">
        <v>89</v>
      </c>
      <c r="D98" s="8" t="str">
        <f>PROPER(TRIM(Sales_Data!D98))</f>
        <v>Uae</v>
      </c>
      <c r="E98" s="8" t="s">
        <v>17</v>
      </c>
      <c r="F98" s="8" t="s">
        <v>18</v>
      </c>
      <c r="G98" s="91">
        <v>38</v>
      </c>
      <c r="H98" s="9">
        <v>49.98</v>
      </c>
      <c r="I98" s="87">
        <f>PRODUCT(Table15[[#This Row],[Quantity]],Table15[[#This Row],[Unit_Price]])</f>
        <v>1899.2399999999998</v>
      </c>
      <c r="J98" s="9">
        <v>112.91</v>
      </c>
      <c r="K98" s="47">
        <v>456.33</v>
      </c>
      <c r="L98" s="8" t="s">
        <v>38</v>
      </c>
      <c r="M98" s="8" t="s">
        <v>32</v>
      </c>
      <c r="N98" s="8" t="s">
        <v>58</v>
      </c>
      <c r="O98" s="91">
        <f>VLOOKUP(E98,Product_Master!$B$2:$F$11,5,FALSE)</f>
        <v>35</v>
      </c>
      <c r="P98" s="91">
        <f>PRODUCT(Table15[[#This Row],[Quantity]],Table15[[#This Row],[Unit_Cost]])</f>
        <v>1330</v>
      </c>
      <c r="Q98" s="72">
        <f>(Table15[[#This Row],[Profit]]/Table15[[#This Row],[Total_Sales]])</f>
        <v>0.24026979212737729</v>
      </c>
      <c r="R98" s="22"/>
      <c r="S98" s="22"/>
      <c r="T98" s="22"/>
      <c r="U98" s="22"/>
    </row>
    <row r="99" spans="1:21" x14ac:dyDescent="0.25">
      <c r="A99" s="7" t="s">
        <v>213</v>
      </c>
      <c r="B99" s="16">
        <v>45505</v>
      </c>
      <c r="C99" s="8" t="s">
        <v>119</v>
      </c>
      <c r="D99" s="8" t="str">
        <f>PROPER(TRIM(Sales_Data!D99))</f>
        <v>Japan</v>
      </c>
      <c r="E99" s="8" t="s">
        <v>83</v>
      </c>
      <c r="F99" s="8" t="s">
        <v>52</v>
      </c>
      <c r="G99" s="91">
        <v>1</v>
      </c>
      <c r="H99" s="9">
        <v>45.84</v>
      </c>
      <c r="I99" s="87">
        <f>PRODUCT(Table15[[#This Row],[Quantity]],Table15[[#This Row],[Unit_Price]])</f>
        <v>45.84</v>
      </c>
      <c r="J99" s="9">
        <v>1.26</v>
      </c>
      <c r="K99" s="47">
        <v>16.579999999999998</v>
      </c>
      <c r="L99" s="8" t="s">
        <v>38</v>
      </c>
      <c r="M99" s="8" t="s">
        <v>20</v>
      </c>
      <c r="N99" s="8" t="s">
        <v>58</v>
      </c>
      <c r="O99" s="91">
        <f>VLOOKUP(E99,Product_Master!$B$2:$F$11,5,FALSE)</f>
        <v>28</v>
      </c>
      <c r="P99" s="91">
        <f>PRODUCT(Table15[[#This Row],[Quantity]],Table15[[#This Row],[Unit_Cost]])</f>
        <v>28</v>
      </c>
      <c r="Q99" s="72">
        <f>(Table15[[#This Row],[Profit]]/Table15[[#This Row],[Total_Sales]])</f>
        <v>0.3616928446771378</v>
      </c>
      <c r="R99" s="22"/>
      <c r="S99" s="22"/>
      <c r="T99" s="22"/>
      <c r="U99" s="22"/>
    </row>
    <row r="100" spans="1:21" x14ac:dyDescent="0.25">
      <c r="A100" s="7" t="s">
        <v>214</v>
      </c>
      <c r="B100" s="16">
        <v>45749</v>
      </c>
      <c r="C100" s="8" t="s">
        <v>189</v>
      </c>
      <c r="D100" s="8" t="str">
        <f>PROPER(TRIM(Sales_Data!D100))</f>
        <v>Australia</v>
      </c>
      <c r="E100" s="8" t="s">
        <v>25</v>
      </c>
      <c r="F100" s="8" t="s">
        <v>18</v>
      </c>
      <c r="G100" s="91">
        <v>38</v>
      </c>
      <c r="H100" s="9">
        <v>26.34</v>
      </c>
      <c r="I100" s="87">
        <f>PRODUCT(Table15[[#This Row],[Quantity]],Table15[[#This Row],[Unit_Price]])</f>
        <v>1000.92</v>
      </c>
      <c r="J100" s="9">
        <v>47.88</v>
      </c>
      <c r="K100" s="47">
        <v>269.04000000000002</v>
      </c>
      <c r="L100" s="8" t="s">
        <v>19</v>
      </c>
      <c r="M100" s="8" t="s">
        <v>27</v>
      </c>
      <c r="N100" s="8" t="s">
        <v>130</v>
      </c>
      <c r="O100" s="91">
        <f>VLOOKUP(E100,Product_Master!$B$2:$F$11,5,FALSE)</f>
        <v>18</v>
      </c>
      <c r="P100" s="91">
        <f>PRODUCT(Table15[[#This Row],[Quantity]],Table15[[#This Row],[Unit_Cost]])</f>
        <v>684</v>
      </c>
      <c r="Q100" s="72">
        <f>(Table15[[#This Row],[Profit]]/Table15[[#This Row],[Total_Sales]])</f>
        <v>0.26879271070615035</v>
      </c>
      <c r="R100" s="22"/>
      <c r="S100" s="22"/>
      <c r="T100" s="22"/>
      <c r="U100" s="22"/>
    </row>
    <row r="101" spans="1:21" x14ac:dyDescent="0.25">
      <c r="A101" s="7" t="s">
        <v>215</v>
      </c>
      <c r="B101" s="16">
        <v>45590</v>
      </c>
      <c r="C101" s="8" t="s">
        <v>168</v>
      </c>
      <c r="D101" s="8" t="str">
        <f>PROPER(TRIM(Sales_Data!D101))</f>
        <v>France</v>
      </c>
      <c r="E101" s="8" t="s">
        <v>56</v>
      </c>
      <c r="F101" s="8" t="s">
        <v>57</v>
      </c>
      <c r="G101" s="91">
        <v>30</v>
      </c>
      <c r="H101" s="9">
        <v>36.43</v>
      </c>
      <c r="I101" s="87">
        <f>PRODUCT(Table15[[#This Row],[Quantity]],Table15[[#This Row],[Unit_Price]])</f>
        <v>1092.9000000000001</v>
      </c>
      <c r="J101" s="9">
        <v>61.97</v>
      </c>
      <c r="K101" s="47">
        <v>280.93</v>
      </c>
      <c r="L101" s="8" t="s">
        <v>38</v>
      </c>
      <c r="M101" s="8" t="s">
        <v>27</v>
      </c>
      <c r="N101" s="8" t="s">
        <v>28</v>
      </c>
      <c r="O101" s="91">
        <f>VLOOKUP(E101,Product_Master!$B$2:$F$11,5,FALSE)</f>
        <v>25</v>
      </c>
      <c r="P101" s="91">
        <f>PRODUCT(Table15[[#This Row],[Quantity]],Table15[[#This Row],[Unit_Cost]])</f>
        <v>750</v>
      </c>
      <c r="Q101" s="72">
        <f>(Table15[[#This Row],[Profit]]/Table15[[#This Row],[Total_Sales]])</f>
        <v>0.25705005032482386</v>
      </c>
      <c r="R101" s="22"/>
      <c r="S101" s="22"/>
      <c r="T101" s="22"/>
      <c r="U101" s="22"/>
    </row>
    <row r="102" spans="1:21" x14ac:dyDescent="0.25">
      <c r="A102" s="7" t="s">
        <v>216</v>
      </c>
      <c r="B102" s="16">
        <v>45468</v>
      </c>
      <c r="C102" s="8" t="s">
        <v>193</v>
      </c>
      <c r="D102" s="8" t="str">
        <f>PROPER(TRIM(Sales_Data!D102))</f>
        <v>Italy</v>
      </c>
      <c r="E102" s="8" t="s">
        <v>63</v>
      </c>
      <c r="F102" s="8" t="s">
        <v>37</v>
      </c>
      <c r="G102" s="91">
        <v>9</v>
      </c>
      <c r="H102" s="9">
        <v>22.27</v>
      </c>
      <c r="I102" s="87">
        <f>PRODUCT(Table15[[#This Row],[Quantity]],Table15[[#This Row],[Unit_Price]])</f>
        <v>200.43</v>
      </c>
      <c r="J102" s="9">
        <v>13.21</v>
      </c>
      <c r="K102" s="47">
        <v>72.47</v>
      </c>
      <c r="L102" s="8" t="s">
        <v>26</v>
      </c>
      <c r="M102" s="8" t="s">
        <v>27</v>
      </c>
      <c r="N102" s="8" t="s">
        <v>28</v>
      </c>
      <c r="O102" s="91">
        <f>VLOOKUP(E102,Product_Master!$B$2:$F$11,5,FALSE)</f>
        <v>12.75</v>
      </c>
      <c r="P102" s="91">
        <f>PRODUCT(Table15[[#This Row],[Quantity]],Table15[[#This Row],[Unit_Cost]])</f>
        <v>114.75</v>
      </c>
      <c r="Q102" s="72">
        <f>(Table15[[#This Row],[Profit]]/Table15[[#This Row],[Total_Sales]])</f>
        <v>0.36157261886943071</v>
      </c>
      <c r="R102" s="22"/>
      <c r="S102" s="22"/>
      <c r="T102" s="22"/>
      <c r="U102" s="22"/>
    </row>
    <row r="103" spans="1:21" x14ac:dyDescent="0.25">
      <c r="A103" s="7" t="s">
        <v>217</v>
      </c>
      <c r="B103" s="16">
        <v>45547</v>
      </c>
      <c r="C103" s="8" t="s">
        <v>100</v>
      </c>
      <c r="D103" s="8" t="str">
        <f>PROPER(TRIM(Sales_Data!D103))</f>
        <v>Australia</v>
      </c>
      <c r="E103" s="8" t="s">
        <v>60</v>
      </c>
      <c r="F103" s="8" t="s">
        <v>52</v>
      </c>
      <c r="G103" s="91">
        <v>26</v>
      </c>
      <c r="H103" s="9">
        <v>27.65</v>
      </c>
      <c r="I103" s="87">
        <f>PRODUCT(Table15[[#This Row],[Quantity]],Table15[[#This Row],[Unit_Price]])</f>
        <v>718.9</v>
      </c>
      <c r="J103" s="9">
        <v>46.25</v>
      </c>
      <c r="K103" s="47">
        <v>269.64999999999998</v>
      </c>
      <c r="L103" s="8" t="s">
        <v>26</v>
      </c>
      <c r="M103" s="8" t="s">
        <v>32</v>
      </c>
      <c r="N103" s="8" t="s">
        <v>130</v>
      </c>
      <c r="O103" s="91">
        <f>VLOOKUP(E103,Product_Master!$B$2:$F$11,5,FALSE)</f>
        <v>15.5</v>
      </c>
      <c r="P103" s="91">
        <f>PRODUCT(Table15[[#This Row],[Quantity]],Table15[[#This Row],[Unit_Cost]])</f>
        <v>403</v>
      </c>
      <c r="Q103" s="72">
        <f>(Table15[[#This Row],[Profit]]/Table15[[#This Row],[Total_Sales]])</f>
        <v>0.37508693837807761</v>
      </c>
      <c r="R103" s="22"/>
      <c r="S103" s="22"/>
      <c r="T103" s="22"/>
      <c r="U103" s="22"/>
    </row>
    <row r="104" spans="1:21" x14ac:dyDescent="0.25">
      <c r="A104" s="7" t="s">
        <v>218</v>
      </c>
      <c r="B104" s="16">
        <v>45503</v>
      </c>
      <c r="C104" s="8" t="s">
        <v>189</v>
      </c>
      <c r="D104" s="8" t="str">
        <f>PROPER(TRIM(Sales_Data!D104))</f>
        <v>Uk</v>
      </c>
      <c r="E104" s="8" t="s">
        <v>60</v>
      </c>
      <c r="F104" s="8" t="s">
        <v>52</v>
      </c>
      <c r="G104" s="91">
        <v>23</v>
      </c>
      <c r="H104" s="9">
        <v>22.45</v>
      </c>
      <c r="I104" s="87">
        <f>PRODUCT(Table15[[#This Row],[Quantity]],Table15[[#This Row],[Unit_Price]])</f>
        <v>516.35</v>
      </c>
      <c r="J104" s="9">
        <v>15.68</v>
      </c>
      <c r="K104" s="47">
        <v>144.16999999999999</v>
      </c>
      <c r="L104" s="8" t="s">
        <v>38</v>
      </c>
      <c r="M104" s="8" t="s">
        <v>32</v>
      </c>
      <c r="N104" s="8" t="s">
        <v>28</v>
      </c>
      <c r="O104" s="91">
        <f>VLOOKUP(E104,Product_Master!$B$2:$F$11,5,FALSE)</f>
        <v>15.5</v>
      </c>
      <c r="P104" s="91">
        <f>PRODUCT(Table15[[#This Row],[Quantity]],Table15[[#This Row],[Unit_Cost]])</f>
        <v>356.5</v>
      </c>
      <c r="Q104" s="72">
        <f>(Table15[[#This Row],[Profit]]/Table15[[#This Row],[Total_Sales]])</f>
        <v>0.2792098382879829</v>
      </c>
      <c r="R104" s="22"/>
      <c r="S104" s="22"/>
      <c r="T104" s="22"/>
      <c r="U104" s="22"/>
    </row>
    <row r="105" spans="1:21" x14ac:dyDescent="0.25">
      <c r="A105" s="7" t="s">
        <v>219</v>
      </c>
      <c r="B105" s="16">
        <v>45528</v>
      </c>
      <c r="C105" s="8" t="s">
        <v>123</v>
      </c>
      <c r="D105" s="8" t="str">
        <f>PROPER(TRIM(Sales_Data!D105))</f>
        <v>Uk</v>
      </c>
      <c r="E105" s="8" t="s">
        <v>60</v>
      </c>
      <c r="F105" s="8" t="s">
        <v>52</v>
      </c>
      <c r="G105" s="91">
        <v>30</v>
      </c>
      <c r="H105" s="9">
        <v>21.93</v>
      </c>
      <c r="I105" s="87">
        <f>PRODUCT(Table15[[#This Row],[Quantity]],Table15[[#This Row],[Unit_Price]])</f>
        <v>657.9</v>
      </c>
      <c r="J105" s="9">
        <v>24.66</v>
      </c>
      <c r="K105" s="47">
        <v>168.24</v>
      </c>
      <c r="L105" s="8" t="s">
        <v>26</v>
      </c>
      <c r="M105" s="8" t="s">
        <v>20</v>
      </c>
      <c r="N105" s="8" t="s">
        <v>28</v>
      </c>
      <c r="O105" s="91">
        <f>VLOOKUP(E105,Product_Master!$B$2:$F$11,5,FALSE)</f>
        <v>15.5</v>
      </c>
      <c r="P105" s="91">
        <f>PRODUCT(Table15[[#This Row],[Quantity]],Table15[[#This Row],[Unit_Cost]])</f>
        <v>465</v>
      </c>
      <c r="Q105" s="72">
        <f>(Table15[[#This Row],[Profit]]/Table15[[#This Row],[Total_Sales]])</f>
        <v>0.25572275421796625</v>
      </c>
      <c r="R105" s="22"/>
      <c r="S105" s="22"/>
      <c r="T105" s="22"/>
      <c r="U105" s="22"/>
    </row>
    <row r="106" spans="1:21" x14ac:dyDescent="0.25">
      <c r="A106" s="7" t="s">
        <v>220</v>
      </c>
      <c r="B106" s="16">
        <v>45546</v>
      </c>
      <c r="C106" s="8" t="s">
        <v>221</v>
      </c>
      <c r="D106" s="8" t="str">
        <f>PROPER(TRIM(Sales_Data!D106))</f>
        <v>Singapore</v>
      </c>
      <c r="E106" s="8" t="s">
        <v>63</v>
      </c>
      <c r="F106" s="8" t="s">
        <v>37</v>
      </c>
      <c r="G106" s="91">
        <v>43</v>
      </c>
      <c r="H106" s="9">
        <v>21.92</v>
      </c>
      <c r="I106" s="87">
        <f>PRODUCT(Table15[[#This Row],[Quantity]],Table15[[#This Row],[Unit_Price]])</f>
        <v>942.56000000000006</v>
      </c>
      <c r="J106" s="9">
        <v>51.15</v>
      </c>
      <c r="K106" s="47">
        <v>343.16</v>
      </c>
      <c r="L106" s="8" t="s">
        <v>19</v>
      </c>
      <c r="M106" s="8" t="s">
        <v>32</v>
      </c>
      <c r="N106" s="8" t="s">
        <v>58</v>
      </c>
      <c r="O106" s="91">
        <f>VLOOKUP(E106,Product_Master!$B$2:$F$11,5,FALSE)</f>
        <v>12.75</v>
      </c>
      <c r="P106" s="91">
        <f>PRODUCT(Table15[[#This Row],[Quantity]],Table15[[#This Row],[Unit_Cost]])</f>
        <v>548.25</v>
      </c>
      <c r="Q106" s="72">
        <f>(Table15[[#This Row],[Profit]]/Table15[[#This Row],[Total_Sales]])</f>
        <v>0.36407231369886267</v>
      </c>
      <c r="R106" s="22"/>
      <c r="S106" s="22"/>
      <c r="T106" s="22"/>
      <c r="U106" s="22"/>
    </row>
    <row r="107" spans="1:21" x14ac:dyDescent="0.25">
      <c r="A107" s="7" t="s">
        <v>222</v>
      </c>
      <c r="B107" s="16">
        <v>45692</v>
      </c>
      <c r="C107" s="8" t="s">
        <v>62</v>
      </c>
      <c r="D107" s="8" t="str">
        <f>PROPER(TRIM(Sales_Data!D107))</f>
        <v>Brazil</v>
      </c>
      <c r="E107" s="8" t="s">
        <v>43</v>
      </c>
      <c r="F107" s="8" t="s">
        <v>44</v>
      </c>
      <c r="G107" s="91">
        <v>3</v>
      </c>
      <c r="H107" s="9">
        <v>56.21</v>
      </c>
      <c r="I107" s="87">
        <f>PRODUCT(Table15[[#This Row],[Quantity]],Table15[[#This Row],[Unit_Price]])</f>
        <v>168.63</v>
      </c>
      <c r="J107" s="9">
        <v>7.56</v>
      </c>
      <c r="K107" s="47">
        <v>41.07</v>
      </c>
      <c r="L107" s="8" t="s">
        <v>38</v>
      </c>
      <c r="M107" s="8" t="s">
        <v>20</v>
      </c>
      <c r="N107" s="8" t="s">
        <v>39</v>
      </c>
      <c r="O107" s="91">
        <f>VLOOKUP(E107,Product_Master!$B$2:$F$11,5,FALSE)</f>
        <v>40</v>
      </c>
      <c r="P107" s="91">
        <f>PRODUCT(Table15[[#This Row],[Quantity]],Table15[[#This Row],[Unit_Cost]])</f>
        <v>120</v>
      </c>
      <c r="Q107" s="72">
        <f>(Table15[[#This Row],[Profit]]/Table15[[#This Row],[Total_Sales]])</f>
        <v>0.24355096957836686</v>
      </c>
      <c r="R107" s="22"/>
      <c r="S107" s="22"/>
      <c r="T107" s="22"/>
      <c r="U107" s="22"/>
    </row>
    <row r="108" spans="1:21" x14ac:dyDescent="0.25">
      <c r="A108" s="7" t="s">
        <v>223</v>
      </c>
      <c r="B108" s="16">
        <v>45384</v>
      </c>
      <c r="C108" s="8" t="s">
        <v>15</v>
      </c>
      <c r="D108" s="8" t="str">
        <f>PROPER(TRIM(Sales_Data!D108))</f>
        <v>Italy</v>
      </c>
      <c r="E108" s="8" t="s">
        <v>63</v>
      </c>
      <c r="F108" s="8" t="s">
        <v>37</v>
      </c>
      <c r="G108" s="91">
        <v>33</v>
      </c>
      <c r="H108" s="9">
        <v>15.44</v>
      </c>
      <c r="I108" s="87">
        <f>PRODUCT(Table15[[#This Row],[Quantity]],Table15[[#This Row],[Unit_Price]])</f>
        <v>509.52</v>
      </c>
      <c r="J108" s="9">
        <v>19.7</v>
      </c>
      <c r="K108" s="47">
        <v>69.069999999999993</v>
      </c>
      <c r="L108" s="8" t="s">
        <v>19</v>
      </c>
      <c r="M108" s="8" t="s">
        <v>32</v>
      </c>
      <c r="N108" s="8" t="s">
        <v>28</v>
      </c>
      <c r="O108" s="91">
        <f>VLOOKUP(E108,Product_Master!$B$2:$F$11,5,FALSE)</f>
        <v>12.75</v>
      </c>
      <c r="P108" s="91">
        <f>PRODUCT(Table15[[#This Row],[Quantity]],Table15[[#This Row],[Unit_Cost]])</f>
        <v>420.75</v>
      </c>
      <c r="Q108" s="72">
        <f>(Table15[[#This Row],[Profit]]/Table15[[#This Row],[Total_Sales]])</f>
        <v>0.13555895745014915</v>
      </c>
      <c r="R108" s="22"/>
      <c r="S108" s="22"/>
      <c r="T108" s="22"/>
      <c r="U108" s="22"/>
    </row>
    <row r="109" spans="1:21" x14ac:dyDescent="0.25">
      <c r="A109" s="7" t="s">
        <v>224</v>
      </c>
      <c r="B109" s="16">
        <v>45557</v>
      </c>
      <c r="C109" s="8" t="s">
        <v>93</v>
      </c>
      <c r="D109" s="8" t="str">
        <f>PROPER(TRIM(Sales_Data!D109))</f>
        <v>South Africa</v>
      </c>
      <c r="E109" s="8" t="s">
        <v>60</v>
      </c>
      <c r="F109" s="8" t="s">
        <v>52</v>
      </c>
      <c r="G109" s="91">
        <v>50</v>
      </c>
      <c r="H109" s="9">
        <v>23.02</v>
      </c>
      <c r="I109" s="87">
        <f>PRODUCT(Table15[[#This Row],[Quantity]],Table15[[#This Row],[Unit_Price]])</f>
        <v>1151</v>
      </c>
      <c r="J109" s="9">
        <v>69.3</v>
      </c>
      <c r="K109" s="47">
        <v>306.7</v>
      </c>
      <c r="L109" s="8" t="s">
        <v>26</v>
      </c>
      <c r="M109" s="8" t="s">
        <v>27</v>
      </c>
      <c r="N109" s="8" t="s">
        <v>87</v>
      </c>
      <c r="O109" s="91">
        <f>VLOOKUP(E109,Product_Master!$B$2:$F$11,5,FALSE)</f>
        <v>15.5</v>
      </c>
      <c r="P109" s="91">
        <f>PRODUCT(Table15[[#This Row],[Quantity]],Table15[[#This Row],[Unit_Cost]])</f>
        <v>775</v>
      </c>
      <c r="Q109" s="72">
        <f>(Table15[[#This Row],[Profit]]/Table15[[#This Row],[Total_Sales]])</f>
        <v>0.26646394439617721</v>
      </c>
      <c r="R109" s="22"/>
      <c r="S109" s="22"/>
      <c r="T109" s="22"/>
      <c r="U109" s="22"/>
    </row>
    <row r="110" spans="1:21" x14ac:dyDescent="0.25">
      <c r="A110" s="7" t="s">
        <v>225</v>
      </c>
      <c r="B110" s="16">
        <v>45362</v>
      </c>
      <c r="C110" s="8" t="s">
        <v>226</v>
      </c>
      <c r="D110" s="8" t="str">
        <f>PROPER(TRIM(Sales_Data!D110))</f>
        <v>Brazil</v>
      </c>
      <c r="E110" s="8" t="s">
        <v>63</v>
      </c>
      <c r="F110" s="8" t="s">
        <v>37</v>
      </c>
      <c r="G110" s="91">
        <v>8</v>
      </c>
      <c r="H110" s="9">
        <v>17.010000000000002</v>
      </c>
      <c r="I110" s="87">
        <f>PRODUCT(Table15[[#This Row],[Quantity]],Table15[[#This Row],[Unit_Price]])</f>
        <v>136.08000000000001</v>
      </c>
      <c r="J110" s="9">
        <v>8.84</v>
      </c>
      <c r="K110" s="47">
        <v>25.24</v>
      </c>
      <c r="L110" s="8" t="s">
        <v>19</v>
      </c>
      <c r="M110" s="8" t="s">
        <v>32</v>
      </c>
      <c r="N110" s="8" t="s">
        <v>39</v>
      </c>
      <c r="O110" s="91">
        <f>VLOOKUP(E110,Product_Master!$B$2:$F$11,5,FALSE)</f>
        <v>12.75</v>
      </c>
      <c r="P110" s="91">
        <f>PRODUCT(Table15[[#This Row],[Quantity]],Table15[[#This Row],[Unit_Cost]])</f>
        <v>102</v>
      </c>
      <c r="Q110" s="72">
        <f>(Table15[[#This Row],[Profit]]/Table15[[#This Row],[Total_Sales]])</f>
        <v>0.18547912992357435</v>
      </c>
      <c r="R110" s="22"/>
      <c r="S110" s="22"/>
      <c r="T110" s="22"/>
      <c r="U110" s="22"/>
    </row>
    <row r="111" spans="1:21" x14ac:dyDescent="0.25">
      <c r="A111" s="7" t="s">
        <v>227</v>
      </c>
      <c r="B111" s="16">
        <v>45591</v>
      </c>
      <c r="C111" s="8" t="s">
        <v>189</v>
      </c>
      <c r="D111" s="8" t="str">
        <f>PROPER(TRIM(Sales_Data!D111))</f>
        <v>France</v>
      </c>
      <c r="E111" s="8" t="s">
        <v>25</v>
      </c>
      <c r="F111" s="8" t="s">
        <v>18</v>
      </c>
      <c r="G111" s="91">
        <v>16</v>
      </c>
      <c r="H111" s="9">
        <v>26.47</v>
      </c>
      <c r="I111" s="87">
        <f>PRODUCT(Table15[[#This Row],[Quantity]],Table15[[#This Row],[Unit_Price]])</f>
        <v>423.52</v>
      </c>
      <c r="J111" s="9">
        <v>15.87</v>
      </c>
      <c r="K111" s="47">
        <v>119.65</v>
      </c>
      <c r="L111" s="8" t="s">
        <v>26</v>
      </c>
      <c r="M111" s="8" t="s">
        <v>20</v>
      </c>
      <c r="N111" s="8" t="s">
        <v>28</v>
      </c>
      <c r="O111" s="91">
        <f>VLOOKUP(E111,Product_Master!$B$2:$F$11,5,FALSE)</f>
        <v>18</v>
      </c>
      <c r="P111" s="91">
        <f>PRODUCT(Table15[[#This Row],[Quantity]],Table15[[#This Row],[Unit_Cost]])</f>
        <v>288</v>
      </c>
      <c r="Q111" s="72">
        <f>(Table15[[#This Row],[Profit]]/Table15[[#This Row],[Total_Sales]])</f>
        <v>0.28251322251605593</v>
      </c>
      <c r="R111" s="22"/>
      <c r="S111" s="22"/>
      <c r="T111" s="22"/>
      <c r="U111" s="22"/>
    </row>
    <row r="112" spans="1:21" x14ac:dyDescent="0.25">
      <c r="A112" s="7" t="s">
        <v>228</v>
      </c>
      <c r="B112" s="16">
        <v>45565</v>
      </c>
      <c r="C112" s="8" t="s">
        <v>170</v>
      </c>
      <c r="D112" s="8" t="str">
        <f>PROPER(TRIM(Sales_Data!D112))</f>
        <v>Brazil</v>
      </c>
      <c r="E112" s="8" t="s">
        <v>36</v>
      </c>
      <c r="F112" s="8" t="s">
        <v>37</v>
      </c>
      <c r="G112" s="91">
        <v>32</v>
      </c>
      <c r="H112" s="9">
        <v>43.18</v>
      </c>
      <c r="I112" s="87">
        <f>PRODUCT(Table15[[#This Row],[Quantity]],Table15[[#This Row],[Unit_Price]])</f>
        <v>1381.76</v>
      </c>
      <c r="J112" s="9">
        <v>88.54</v>
      </c>
      <c r="K112" s="47">
        <v>269.22000000000003</v>
      </c>
      <c r="L112" s="8" t="s">
        <v>26</v>
      </c>
      <c r="M112" s="8" t="s">
        <v>32</v>
      </c>
      <c r="N112" s="8" t="s">
        <v>39</v>
      </c>
      <c r="O112" s="91">
        <f>VLOOKUP(E112,Product_Master!$B$2:$F$11,5,FALSE)</f>
        <v>32</v>
      </c>
      <c r="P112" s="91">
        <f>PRODUCT(Table15[[#This Row],[Quantity]],Table15[[#This Row],[Unit_Cost]])</f>
        <v>1024</v>
      </c>
      <c r="Q112" s="72">
        <f>(Table15[[#This Row],[Profit]]/Table15[[#This Row],[Total_Sales]])</f>
        <v>0.19483846688281614</v>
      </c>
      <c r="R112" s="22"/>
      <c r="S112" s="22"/>
      <c r="T112" s="22"/>
      <c r="U112" s="22"/>
    </row>
    <row r="113" spans="1:21" x14ac:dyDescent="0.25">
      <c r="A113" s="7" t="s">
        <v>229</v>
      </c>
      <c r="B113" s="16">
        <v>45472</v>
      </c>
      <c r="C113" s="8" t="s">
        <v>110</v>
      </c>
      <c r="D113" s="8" t="str">
        <f>PROPER(TRIM(Sales_Data!D113))</f>
        <v>Australia</v>
      </c>
      <c r="E113" s="8" t="s">
        <v>60</v>
      </c>
      <c r="F113" s="8" t="s">
        <v>52</v>
      </c>
      <c r="G113" s="91">
        <v>29</v>
      </c>
      <c r="H113" s="9">
        <v>18.850000000000001</v>
      </c>
      <c r="I113" s="87">
        <f>PRODUCT(Table15[[#This Row],[Quantity]],Table15[[#This Row],[Unit_Price]])</f>
        <v>546.65000000000009</v>
      </c>
      <c r="J113" s="9">
        <v>13.22</v>
      </c>
      <c r="K113" s="47">
        <v>83.93</v>
      </c>
      <c r="L113" s="8" t="s">
        <v>19</v>
      </c>
      <c r="M113" s="8" t="s">
        <v>32</v>
      </c>
      <c r="N113" s="8" t="s">
        <v>130</v>
      </c>
      <c r="O113" s="91">
        <f>VLOOKUP(E113,Product_Master!$B$2:$F$11,5,FALSE)</f>
        <v>15.5</v>
      </c>
      <c r="P113" s="91">
        <f>PRODUCT(Table15[[#This Row],[Quantity]],Table15[[#This Row],[Unit_Cost]])</f>
        <v>449.5</v>
      </c>
      <c r="Q113" s="72">
        <f>(Table15[[#This Row],[Profit]]/Table15[[#This Row],[Total_Sales]])</f>
        <v>0.15353516875514497</v>
      </c>
      <c r="R113" s="22"/>
      <c r="S113" s="22"/>
      <c r="T113" s="22"/>
      <c r="U113" s="22"/>
    </row>
    <row r="114" spans="1:21" x14ac:dyDescent="0.25">
      <c r="A114" s="7" t="s">
        <v>230</v>
      </c>
      <c r="B114" s="16">
        <v>45664</v>
      </c>
      <c r="C114" s="8" t="s">
        <v>231</v>
      </c>
      <c r="D114" s="8" t="str">
        <f>PROPER(TRIM(Sales_Data!D114))</f>
        <v>France</v>
      </c>
      <c r="E114" s="8" t="s">
        <v>43</v>
      </c>
      <c r="F114" s="8" t="s">
        <v>44</v>
      </c>
      <c r="G114" s="91">
        <v>16</v>
      </c>
      <c r="H114" s="9">
        <v>64.400000000000006</v>
      </c>
      <c r="I114" s="87">
        <f>PRODUCT(Table15[[#This Row],[Quantity]],Table15[[#This Row],[Unit_Price]])</f>
        <v>1030.4000000000001</v>
      </c>
      <c r="J114" s="9">
        <v>61.72</v>
      </c>
      <c r="K114" s="47">
        <v>328.68</v>
      </c>
      <c r="L114" s="8" t="s">
        <v>26</v>
      </c>
      <c r="M114" s="8" t="s">
        <v>27</v>
      </c>
      <c r="N114" s="8" t="s">
        <v>28</v>
      </c>
      <c r="O114" s="91">
        <f>VLOOKUP(E114,Product_Master!$B$2:$F$11,5,FALSE)</f>
        <v>40</v>
      </c>
      <c r="P114" s="91">
        <f>PRODUCT(Table15[[#This Row],[Quantity]],Table15[[#This Row],[Unit_Cost]])</f>
        <v>640</v>
      </c>
      <c r="Q114" s="72">
        <f>(Table15[[#This Row],[Profit]]/Table15[[#This Row],[Total_Sales]])</f>
        <v>0.31898291925465838</v>
      </c>
      <c r="R114" s="22"/>
      <c r="S114" s="22"/>
      <c r="T114" s="22"/>
      <c r="U114" s="22"/>
    </row>
    <row r="115" spans="1:21" x14ac:dyDescent="0.25">
      <c r="A115" s="7" t="s">
        <v>232</v>
      </c>
      <c r="B115" s="16">
        <v>45611</v>
      </c>
      <c r="C115" s="8" t="s">
        <v>233</v>
      </c>
      <c r="D115" s="8" t="str">
        <f>PROPER(TRIM(Sales_Data!D115))</f>
        <v>Singapore</v>
      </c>
      <c r="E115" s="8" t="s">
        <v>60</v>
      </c>
      <c r="F115" s="8" t="s">
        <v>52</v>
      </c>
      <c r="G115" s="91">
        <v>15</v>
      </c>
      <c r="H115" s="9">
        <v>19.53</v>
      </c>
      <c r="I115" s="87">
        <f>PRODUCT(Table15[[#This Row],[Quantity]],Table15[[#This Row],[Unit_Price]])</f>
        <v>292.95000000000005</v>
      </c>
      <c r="J115" s="9">
        <v>7.15</v>
      </c>
      <c r="K115" s="47">
        <v>53.3</v>
      </c>
      <c r="L115" s="8" t="s">
        <v>38</v>
      </c>
      <c r="M115" s="8" t="s">
        <v>27</v>
      </c>
      <c r="N115" s="8" t="s">
        <v>58</v>
      </c>
      <c r="O115" s="91">
        <f>VLOOKUP(E115,Product_Master!$B$2:$F$11,5,FALSE)</f>
        <v>15.5</v>
      </c>
      <c r="P115" s="91">
        <f>PRODUCT(Table15[[#This Row],[Quantity]],Table15[[#This Row],[Unit_Cost]])</f>
        <v>232.5</v>
      </c>
      <c r="Q115" s="72">
        <f>(Table15[[#This Row],[Profit]]/Table15[[#This Row],[Total_Sales]])</f>
        <v>0.181942310974569</v>
      </c>
      <c r="R115" s="22"/>
      <c r="S115" s="22"/>
      <c r="T115" s="22"/>
      <c r="U115" s="22"/>
    </row>
    <row r="116" spans="1:21" x14ac:dyDescent="0.25">
      <c r="A116" s="7" t="s">
        <v>234</v>
      </c>
      <c r="B116" s="16">
        <v>45502</v>
      </c>
      <c r="C116" s="8" t="s">
        <v>113</v>
      </c>
      <c r="D116" s="8" t="str">
        <f>PROPER(TRIM(Sales_Data!D116))</f>
        <v>Germany</v>
      </c>
      <c r="E116" s="8" t="s">
        <v>48</v>
      </c>
      <c r="F116" s="8" t="s">
        <v>37</v>
      </c>
      <c r="G116" s="91">
        <v>36</v>
      </c>
      <c r="H116" s="9">
        <v>26.05</v>
      </c>
      <c r="I116" s="87">
        <f>PRODUCT(Table15[[#This Row],[Quantity]],Table15[[#This Row],[Unit_Price]])</f>
        <v>937.80000000000007</v>
      </c>
      <c r="J116" s="9">
        <v>32.799999999999997</v>
      </c>
      <c r="K116" s="47">
        <v>185</v>
      </c>
      <c r="L116" s="8" t="s">
        <v>19</v>
      </c>
      <c r="M116" s="8" t="s">
        <v>32</v>
      </c>
      <c r="N116" s="8" t="s">
        <v>28</v>
      </c>
      <c r="O116" s="91">
        <f>VLOOKUP(E116,Product_Master!$B$2:$F$11,5,FALSE)</f>
        <v>20</v>
      </c>
      <c r="P116" s="91">
        <f>PRODUCT(Table15[[#This Row],[Quantity]],Table15[[#This Row],[Unit_Cost]])</f>
        <v>720</v>
      </c>
      <c r="Q116" s="72">
        <f>(Table15[[#This Row],[Profit]]/Table15[[#This Row],[Total_Sales]])</f>
        <v>0.19727020686713584</v>
      </c>
      <c r="R116" s="22"/>
      <c r="S116" s="22"/>
      <c r="T116" s="22"/>
      <c r="U116" s="22"/>
    </row>
    <row r="117" spans="1:21" x14ac:dyDescent="0.25">
      <c r="A117" s="7" t="s">
        <v>235</v>
      </c>
      <c r="B117" s="16">
        <v>45329</v>
      </c>
      <c r="C117" s="8" t="s">
        <v>54</v>
      </c>
      <c r="D117" s="8" t="str">
        <f>PROPER(TRIM(Sales_Data!D117))</f>
        <v>South Africa</v>
      </c>
      <c r="E117" s="8" t="s">
        <v>36</v>
      </c>
      <c r="F117" s="8" t="s">
        <v>37</v>
      </c>
      <c r="G117" s="91">
        <v>26</v>
      </c>
      <c r="H117" s="9">
        <v>47.52</v>
      </c>
      <c r="I117" s="87">
        <f>PRODUCT(Table15[[#This Row],[Quantity]],Table15[[#This Row],[Unit_Price]])</f>
        <v>1235.52</v>
      </c>
      <c r="J117" s="9">
        <v>31.41</v>
      </c>
      <c r="K117" s="47">
        <v>372.11</v>
      </c>
      <c r="L117" s="8" t="s">
        <v>26</v>
      </c>
      <c r="M117" s="8" t="s">
        <v>20</v>
      </c>
      <c r="N117" s="8" t="s">
        <v>87</v>
      </c>
      <c r="O117" s="91">
        <f>VLOOKUP(E117,Product_Master!$B$2:$F$11,5,FALSE)</f>
        <v>32</v>
      </c>
      <c r="P117" s="91">
        <f>PRODUCT(Table15[[#This Row],[Quantity]],Table15[[#This Row],[Unit_Cost]])</f>
        <v>832</v>
      </c>
      <c r="Q117" s="72">
        <f>(Table15[[#This Row],[Profit]]/Table15[[#This Row],[Total_Sales]])</f>
        <v>0.30117683242683246</v>
      </c>
      <c r="R117" s="22"/>
      <c r="S117" s="22"/>
      <c r="T117" s="22"/>
      <c r="U117" s="22"/>
    </row>
    <row r="118" spans="1:21" x14ac:dyDescent="0.25">
      <c r="A118" s="7" t="s">
        <v>236</v>
      </c>
      <c r="B118" s="16">
        <v>45564</v>
      </c>
      <c r="C118" s="8" t="s">
        <v>211</v>
      </c>
      <c r="D118" s="8" t="str">
        <f>PROPER(TRIM(Sales_Data!D118))</f>
        <v>France</v>
      </c>
      <c r="E118" s="8" t="s">
        <v>25</v>
      </c>
      <c r="F118" s="8" t="s">
        <v>18</v>
      </c>
      <c r="G118" s="91">
        <v>38</v>
      </c>
      <c r="H118" s="9">
        <v>26.38</v>
      </c>
      <c r="I118" s="87">
        <f>PRODUCT(Table15[[#This Row],[Quantity]],Table15[[#This Row],[Unit_Price]])</f>
        <v>1002.4399999999999</v>
      </c>
      <c r="J118" s="9">
        <v>33.049999999999997</v>
      </c>
      <c r="K118" s="47">
        <v>285.39</v>
      </c>
      <c r="L118" s="8" t="s">
        <v>26</v>
      </c>
      <c r="M118" s="8" t="s">
        <v>20</v>
      </c>
      <c r="N118" s="8" t="s">
        <v>28</v>
      </c>
      <c r="O118" s="91">
        <f>VLOOKUP(E118,Product_Master!$B$2:$F$11,5,FALSE)</f>
        <v>18</v>
      </c>
      <c r="P118" s="91">
        <f>PRODUCT(Table15[[#This Row],[Quantity]],Table15[[#This Row],[Unit_Cost]])</f>
        <v>684</v>
      </c>
      <c r="Q118" s="72">
        <f>(Table15[[#This Row],[Profit]]/Table15[[#This Row],[Total_Sales]])</f>
        <v>0.28469534336219626</v>
      </c>
      <c r="R118" s="22"/>
      <c r="S118" s="22"/>
      <c r="T118" s="22"/>
      <c r="U118" s="22"/>
    </row>
    <row r="119" spans="1:21" x14ac:dyDescent="0.25">
      <c r="A119" s="7" t="s">
        <v>237</v>
      </c>
      <c r="B119" s="16">
        <v>45755</v>
      </c>
      <c r="C119" s="8" t="s">
        <v>139</v>
      </c>
      <c r="D119" s="8" t="str">
        <f>PROPER(TRIM(Sales_Data!D119))</f>
        <v>Japan</v>
      </c>
      <c r="E119" s="8" t="s">
        <v>63</v>
      </c>
      <c r="F119" s="8" t="s">
        <v>37</v>
      </c>
      <c r="G119" s="91">
        <v>7</v>
      </c>
      <c r="H119" s="9">
        <v>17.66</v>
      </c>
      <c r="I119" s="87">
        <f>PRODUCT(Table15[[#This Row],[Quantity]],Table15[[#This Row],[Unit_Price]])</f>
        <v>123.62</v>
      </c>
      <c r="J119" s="9">
        <v>6.95</v>
      </c>
      <c r="K119" s="47">
        <v>27.42</v>
      </c>
      <c r="L119" s="8" t="s">
        <v>19</v>
      </c>
      <c r="M119" s="8" t="s">
        <v>20</v>
      </c>
      <c r="N119" s="8" t="s">
        <v>58</v>
      </c>
      <c r="O119" s="91">
        <f>VLOOKUP(E119,Product_Master!$B$2:$F$11,5,FALSE)</f>
        <v>12.75</v>
      </c>
      <c r="P119" s="91">
        <f>PRODUCT(Table15[[#This Row],[Quantity]],Table15[[#This Row],[Unit_Cost]])</f>
        <v>89.25</v>
      </c>
      <c r="Q119" s="72">
        <f>(Table15[[#This Row],[Profit]]/Table15[[#This Row],[Total_Sales]])</f>
        <v>0.22180876880763631</v>
      </c>
      <c r="R119" s="22"/>
      <c r="S119" s="22"/>
      <c r="T119" s="22"/>
      <c r="U119" s="22"/>
    </row>
    <row r="120" spans="1:21" x14ac:dyDescent="0.25">
      <c r="A120" s="7" t="s">
        <v>238</v>
      </c>
      <c r="B120" s="16">
        <v>45608</v>
      </c>
      <c r="C120" s="8" t="s">
        <v>142</v>
      </c>
      <c r="D120" s="8" t="str">
        <f>PROPER(TRIM(Sales_Data!D120))</f>
        <v>Australia</v>
      </c>
      <c r="E120" s="8" t="s">
        <v>17</v>
      </c>
      <c r="F120" s="8" t="s">
        <v>18</v>
      </c>
      <c r="G120" s="91">
        <v>26</v>
      </c>
      <c r="H120" s="9">
        <v>51.5</v>
      </c>
      <c r="I120" s="87">
        <f>PRODUCT(Table15[[#This Row],[Quantity]],Table15[[#This Row],[Unit_Price]])</f>
        <v>1339</v>
      </c>
      <c r="J120" s="9">
        <v>92.09</v>
      </c>
      <c r="K120" s="47">
        <v>336.91</v>
      </c>
      <c r="L120" s="8" t="s">
        <v>26</v>
      </c>
      <c r="M120" s="8" t="s">
        <v>27</v>
      </c>
      <c r="N120" s="8" t="s">
        <v>130</v>
      </c>
      <c r="O120" s="91">
        <f>VLOOKUP(E120,Product_Master!$B$2:$F$11,5,FALSE)</f>
        <v>35</v>
      </c>
      <c r="P120" s="91">
        <f>PRODUCT(Table15[[#This Row],[Quantity]],Table15[[#This Row],[Unit_Cost]])</f>
        <v>910</v>
      </c>
      <c r="Q120" s="72">
        <f>(Table15[[#This Row],[Profit]]/Table15[[#This Row],[Total_Sales]])</f>
        <v>0.25161314413741598</v>
      </c>
      <c r="R120" s="22"/>
      <c r="S120" s="22"/>
      <c r="T120" s="22"/>
      <c r="U120" s="22"/>
    </row>
    <row r="121" spans="1:21" x14ac:dyDescent="0.25">
      <c r="A121" s="7" t="s">
        <v>239</v>
      </c>
      <c r="B121" s="16">
        <v>45759</v>
      </c>
      <c r="C121" s="8" t="s">
        <v>240</v>
      </c>
      <c r="D121" s="8" t="str">
        <f>PROPER(TRIM(Sales_Data!D121))</f>
        <v>Usa</v>
      </c>
      <c r="E121" s="8" t="s">
        <v>60</v>
      </c>
      <c r="F121" s="8" t="s">
        <v>52</v>
      </c>
      <c r="G121" s="91">
        <v>27</v>
      </c>
      <c r="H121" s="9">
        <v>25</v>
      </c>
      <c r="I121" s="87">
        <f>PRODUCT(Table15[[#This Row],[Quantity]],Table15[[#This Row],[Unit_Price]])</f>
        <v>675</v>
      </c>
      <c r="J121" s="9">
        <v>15.49</v>
      </c>
      <c r="K121" s="47">
        <v>241.01</v>
      </c>
      <c r="L121" s="8" t="s">
        <v>26</v>
      </c>
      <c r="M121" s="8" t="s">
        <v>27</v>
      </c>
      <c r="N121" s="8" t="s">
        <v>21</v>
      </c>
      <c r="O121" s="91">
        <f>VLOOKUP(E121,Product_Master!$B$2:$F$11,5,FALSE)</f>
        <v>15.5</v>
      </c>
      <c r="P121" s="91">
        <f>PRODUCT(Table15[[#This Row],[Quantity]],Table15[[#This Row],[Unit_Cost]])</f>
        <v>418.5</v>
      </c>
      <c r="Q121" s="72">
        <f>(Table15[[#This Row],[Profit]]/Table15[[#This Row],[Total_Sales]])</f>
        <v>0.35705185185185184</v>
      </c>
      <c r="R121" s="22"/>
      <c r="S121" s="22"/>
      <c r="T121" s="22"/>
      <c r="U121" s="22"/>
    </row>
    <row r="122" spans="1:21" x14ac:dyDescent="0.25">
      <c r="A122" s="7" t="s">
        <v>241</v>
      </c>
      <c r="B122" s="16">
        <v>45497</v>
      </c>
      <c r="C122" s="8" t="s">
        <v>46</v>
      </c>
      <c r="D122" s="8" t="str">
        <f>PROPER(TRIM(Sales_Data!D122))</f>
        <v>South Africa</v>
      </c>
      <c r="E122" s="8" t="s">
        <v>63</v>
      </c>
      <c r="F122" s="8" t="s">
        <v>37</v>
      </c>
      <c r="G122" s="91">
        <v>4</v>
      </c>
      <c r="H122" s="9">
        <v>19</v>
      </c>
      <c r="I122" s="87">
        <f>PRODUCT(Table15[[#This Row],[Quantity]],Table15[[#This Row],[Unit_Price]])</f>
        <v>76</v>
      </c>
      <c r="J122" s="9">
        <v>3.78</v>
      </c>
      <c r="K122" s="47">
        <v>21.22</v>
      </c>
      <c r="L122" s="8" t="s">
        <v>26</v>
      </c>
      <c r="M122" s="8" t="s">
        <v>32</v>
      </c>
      <c r="N122" s="8" t="s">
        <v>87</v>
      </c>
      <c r="O122" s="91">
        <f>VLOOKUP(E122,Product_Master!$B$2:$F$11,5,FALSE)</f>
        <v>12.75</v>
      </c>
      <c r="P122" s="91">
        <f>PRODUCT(Table15[[#This Row],[Quantity]],Table15[[#This Row],[Unit_Cost]])</f>
        <v>51</v>
      </c>
      <c r="Q122" s="72">
        <f>(Table15[[#This Row],[Profit]]/Table15[[#This Row],[Total_Sales]])</f>
        <v>0.27921052631578946</v>
      </c>
      <c r="R122" s="22"/>
      <c r="S122" s="22"/>
      <c r="T122" s="22"/>
      <c r="U122" s="22"/>
    </row>
    <row r="123" spans="1:21" x14ac:dyDescent="0.25">
      <c r="A123" s="7" t="s">
        <v>242</v>
      </c>
      <c r="B123" s="16">
        <v>45426</v>
      </c>
      <c r="C123" s="8" t="s">
        <v>193</v>
      </c>
      <c r="D123" s="8" t="str">
        <f>PROPER(TRIM(Sales_Data!D123))</f>
        <v>Canada</v>
      </c>
      <c r="E123" s="8" t="s">
        <v>60</v>
      </c>
      <c r="F123" s="8" t="s">
        <v>52</v>
      </c>
      <c r="G123" s="91">
        <v>24</v>
      </c>
      <c r="H123" s="9">
        <v>26.63</v>
      </c>
      <c r="I123" s="87">
        <f>PRODUCT(Table15[[#This Row],[Quantity]],Table15[[#This Row],[Unit_Price]])</f>
        <v>639.12</v>
      </c>
      <c r="J123" s="9">
        <v>31.92</v>
      </c>
      <c r="K123" s="47">
        <v>235.2</v>
      </c>
      <c r="L123" s="8" t="s">
        <v>38</v>
      </c>
      <c r="M123" s="8" t="s">
        <v>32</v>
      </c>
      <c r="N123" s="8" t="s">
        <v>21</v>
      </c>
      <c r="O123" s="91">
        <f>VLOOKUP(E123,Product_Master!$B$2:$F$11,5,FALSE)</f>
        <v>15.5</v>
      </c>
      <c r="P123" s="91">
        <f>PRODUCT(Table15[[#This Row],[Quantity]],Table15[[#This Row],[Unit_Cost]])</f>
        <v>372</v>
      </c>
      <c r="Q123" s="72">
        <f>(Table15[[#This Row],[Profit]]/Table15[[#This Row],[Total_Sales]])</f>
        <v>0.36800600826135937</v>
      </c>
      <c r="R123" s="22"/>
      <c r="S123" s="22"/>
      <c r="T123" s="22"/>
      <c r="U123" s="22"/>
    </row>
    <row r="124" spans="1:21" x14ac:dyDescent="0.25">
      <c r="A124" s="7" t="s">
        <v>243</v>
      </c>
      <c r="B124" s="16">
        <v>45661</v>
      </c>
      <c r="C124" s="8" t="s">
        <v>81</v>
      </c>
      <c r="D124" s="8" t="str">
        <f>PROPER(TRIM(Sales_Data!D124))</f>
        <v>Singapore</v>
      </c>
      <c r="E124" s="8" t="s">
        <v>56</v>
      </c>
      <c r="F124" s="8" t="s">
        <v>57</v>
      </c>
      <c r="G124" s="91">
        <v>26</v>
      </c>
      <c r="H124" s="9">
        <v>43.14</v>
      </c>
      <c r="I124" s="87">
        <f>PRODUCT(Table15[[#This Row],[Quantity]],Table15[[#This Row],[Unit_Price]])</f>
        <v>1121.6400000000001</v>
      </c>
      <c r="J124" s="9">
        <v>48.08</v>
      </c>
      <c r="K124" s="47">
        <v>423.56</v>
      </c>
      <c r="L124" s="8" t="s">
        <v>19</v>
      </c>
      <c r="M124" s="8" t="s">
        <v>27</v>
      </c>
      <c r="N124" s="8" t="s">
        <v>58</v>
      </c>
      <c r="O124" s="91">
        <f>VLOOKUP(E124,Product_Master!$B$2:$F$11,5,FALSE)</f>
        <v>25</v>
      </c>
      <c r="P124" s="91">
        <f>PRODUCT(Table15[[#This Row],[Quantity]],Table15[[#This Row],[Unit_Cost]])</f>
        <v>650</v>
      </c>
      <c r="Q124" s="72">
        <f>(Table15[[#This Row],[Profit]]/Table15[[#This Row],[Total_Sales]])</f>
        <v>0.37762561962840124</v>
      </c>
      <c r="R124" s="22"/>
      <c r="S124" s="22"/>
      <c r="T124" s="22"/>
      <c r="U124" s="22"/>
    </row>
    <row r="125" spans="1:21" x14ac:dyDescent="0.25">
      <c r="A125" s="7" t="s">
        <v>244</v>
      </c>
      <c r="B125" s="16">
        <v>45643</v>
      </c>
      <c r="C125" s="8" t="s">
        <v>199</v>
      </c>
      <c r="D125" s="8" t="str">
        <f>PROPER(TRIM(Sales_Data!D125))</f>
        <v>Canada</v>
      </c>
      <c r="E125" s="8" t="s">
        <v>56</v>
      </c>
      <c r="F125" s="8" t="s">
        <v>57</v>
      </c>
      <c r="G125" s="91">
        <v>39</v>
      </c>
      <c r="H125" s="9">
        <v>30.01</v>
      </c>
      <c r="I125" s="87">
        <f>PRODUCT(Table15[[#This Row],[Quantity]],Table15[[#This Row],[Unit_Price]])</f>
        <v>1170.3900000000001</v>
      </c>
      <c r="J125" s="9">
        <v>60.43</v>
      </c>
      <c r="K125" s="47">
        <v>134.96</v>
      </c>
      <c r="L125" s="8" t="s">
        <v>26</v>
      </c>
      <c r="M125" s="8" t="s">
        <v>20</v>
      </c>
      <c r="N125" s="8" t="s">
        <v>21</v>
      </c>
      <c r="O125" s="91">
        <f>VLOOKUP(E125,Product_Master!$B$2:$F$11,5,FALSE)</f>
        <v>25</v>
      </c>
      <c r="P125" s="91">
        <f>PRODUCT(Table15[[#This Row],[Quantity]],Table15[[#This Row],[Unit_Cost]])</f>
        <v>975</v>
      </c>
      <c r="Q125" s="72">
        <f>(Table15[[#This Row],[Profit]]/Table15[[#This Row],[Total_Sales]])</f>
        <v>0.11531199002042054</v>
      </c>
      <c r="R125" s="22"/>
      <c r="S125" s="22"/>
      <c r="T125" s="22"/>
      <c r="U125" s="22"/>
    </row>
    <row r="126" spans="1:21" x14ac:dyDescent="0.25">
      <c r="A126" s="7" t="s">
        <v>245</v>
      </c>
      <c r="B126" s="16">
        <v>45655</v>
      </c>
      <c r="C126" s="8" t="s">
        <v>246</v>
      </c>
      <c r="D126" s="8" t="str">
        <f>PROPER(TRIM(Sales_Data!D126))</f>
        <v>Germany</v>
      </c>
      <c r="E126" s="8" t="s">
        <v>51</v>
      </c>
      <c r="F126" s="8" t="s">
        <v>52</v>
      </c>
      <c r="G126" s="91">
        <v>5</v>
      </c>
      <c r="H126" s="9">
        <v>31.31</v>
      </c>
      <c r="I126" s="87">
        <f>PRODUCT(Table15[[#This Row],[Quantity]],Table15[[#This Row],[Unit_Price]])</f>
        <v>156.54999999999998</v>
      </c>
      <c r="J126" s="9">
        <v>4.04</v>
      </c>
      <c r="K126" s="47">
        <v>40.01</v>
      </c>
      <c r="L126" s="8" t="s">
        <v>38</v>
      </c>
      <c r="M126" s="8" t="s">
        <v>32</v>
      </c>
      <c r="N126" s="8" t="s">
        <v>28</v>
      </c>
      <c r="O126" s="91">
        <f>VLOOKUP(E126,Product_Master!$B$2:$F$11,5,FALSE)</f>
        <v>22.5</v>
      </c>
      <c r="P126" s="91">
        <f>PRODUCT(Table15[[#This Row],[Quantity]],Table15[[#This Row],[Unit_Cost]])</f>
        <v>112.5</v>
      </c>
      <c r="Q126" s="72">
        <f>(Table15[[#This Row],[Profit]]/Table15[[#This Row],[Total_Sales]])</f>
        <v>0.25557329926541045</v>
      </c>
      <c r="R126" s="22"/>
      <c r="S126" s="22"/>
      <c r="T126" s="22"/>
      <c r="U126" s="22"/>
    </row>
    <row r="127" spans="1:21" x14ac:dyDescent="0.25">
      <c r="A127" s="7" t="s">
        <v>247</v>
      </c>
      <c r="B127" s="16">
        <v>45535</v>
      </c>
      <c r="C127" s="8" t="s">
        <v>183</v>
      </c>
      <c r="D127" s="8" t="str">
        <f>PROPER(TRIM(Sales_Data!D127))</f>
        <v>Usa</v>
      </c>
      <c r="E127" s="8" t="s">
        <v>83</v>
      </c>
      <c r="F127" s="8" t="s">
        <v>52</v>
      </c>
      <c r="G127" s="91">
        <v>42</v>
      </c>
      <c r="H127" s="9">
        <v>36.950000000000003</v>
      </c>
      <c r="I127" s="87">
        <f>PRODUCT(Table15[[#This Row],[Quantity]],Table15[[#This Row],[Unit_Price]])</f>
        <v>1551.9</v>
      </c>
      <c r="J127" s="9">
        <v>74.260000000000005</v>
      </c>
      <c r="K127" s="47">
        <v>301.64</v>
      </c>
      <c r="L127" s="8" t="s">
        <v>26</v>
      </c>
      <c r="M127" s="8" t="s">
        <v>27</v>
      </c>
      <c r="N127" s="8" t="s">
        <v>21</v>
      </c>
      <c r="O127" s="91">
        <f>VLOOKUP(E127,Product_Master!$B$2:$F$11,5,FALSE)</f>
        <v>28</v>
      </c>
      <c r="P127" s="91">
        <f>PRODUCT(Table15[[#This Row],[Quantity]],Table15[[#This Row],[Unit_Cost]])</f>
        <v>1176</v>
      </c>
      <c r="Q127" s="72">
        <f>(Table15[[#This Row],[Profit]]/Table15[[#This Row],[Total_Sales]])</f>
        <v>0.19436819382692183</v>
      </c>
      <c r="R127" s="22"/>
      <c r="S127" s="22"/>
      <c r="T127" s="22"/>
      <c r="U127" s="22"/>
    </row>
    <row r="128" spans="1:21" x14ac:dyDescent="0.25">
      <c r="A128" s="7" t="s">
        <v>248</v>
      </c>
      <c r="B128" s="16">
        <v>45682</v>
      </c>
      <c r="C128" s="8" t="s">
        <v>249</v>
      </c>
      <c r="D128" s="8" t="str">
        <f>PROPER(TRIM(Sales_Data!D128))</f>
        <v>Singapore</v>
      </c>
      <c r="E128" s="8" t="s">
        <v>43</v>
      </c>
      <c r="F128" s="8" t="s">
        <v>44</v>
      </c>
      <c r="G128" s="91">
        <v>36</v>
      </c>
      <c r="H128" s="9">
        <v>57.37</v>
      </c>
      <c r="I128" s="87">
        <f>PRODUCT(Table15[[#This Row],[Quantity]],Table15[[#This Row],[Unit_Price]])</f>
        <v>2065.3199999999997</v>
      </c>
      <c r="J128" s="9">
        <v>94.34</v>
      </c>
      <c r="K128" s="47">
        <v>530.98</v>
      </c>
      <c r="L128" s="8" t="s">
        <v>38</v>
      </c>
      <c r="M128" s="8" t="s">
        <v>20</v>
      </c>
      <c r="N128" s="8" t="s">
        <v>58</v>
      </c>
      <c r="O128" s="91">
        <f>VLOOKUP(E128,Product_Master!$B$2:$F$11,5,FALSE)</f>
        <v>40</v>
      </c>
      <c r="P128" s="91">
        <f>PRODUCT(Table15[[#This Row],[Quantity]],Table15[[#This Row],[Unit_Cost]])</f>
        <v>1440</v>
      </c>
      <c r="Q128" s="72">
        <f>(Table15[[#This Row],[Profit]]/Table15[[#This Row],[Total_Sales]])</f>
        <v>0.25709333178393667</v>
      </c>
      <c r="R128" s="22"/>
      <c r="S128" s="22"/>
      <c r="T128" s="22"/>
      <c r="U128" s="22"/>
    </row>
    <row r="129" spans="1:21" x14ac:dyDescent="0.25">
      <c r="A129" s="7" t="s">
        <v>250</v>
      </c>
      <c r="B129" s="16">
        <v>45625</v>
      </c>
      <c r="C129" s="8" t="s">
        <v>34</v>
      </c>
      <c r="D129" s="8" t="str">
        <f>PROPER(TRIM(Sales_Data!D129))</f>
        <v>Uae</v>
      </c>
      <c r="E129" s="8" t="s">
        <v>83</v>
      </c>
      <c r="F129" s="8" t="s">
        <v>52</v>
      </c>
      <c r="G129" s="91">
        <v>13</v>
      </c>
      <c r="H129" s="9">
        <v>40.18</v>
      </c>
      <c r="I129" s="87">
        <f>PRODUCT(Table15[[#This Row],[Quantity]],Table15[[#This Row],[Unit_Price]])</f>
        <v>522.34</v>
      </c>
      <c r="J129" s="9">
        <v>37.369999999999997</v>
      </c>
      <c r="K129" s="47">
        <v>120.97</v>
      </c>
      <c r="L129" s="8" t="s">
        <v>26</v>
      </c>
      <c r="M129" s="8" t="s">
        <v>32</v>
      </c>
      <c r="N129" s="8" t="s">
        <v>58</v>
      </c>
      <c r="O129" s="91">
        <f>VLOOKUP(E129,Product_Master!$B$2:$F$11,5,FALSE)</f>
        <v>28</v>
      </c>
      <c r="P129" s="91">
        <f>PRODUCT(Table15[[#This Row],[Quantity]],Table15[[#This Row],[Unit_Cost]])</f>
        <v>364</v>
      </c>
      <c r="Q129" s="72">
        <f>(Table15[[#This Row],[Profit]]/Table15[[#This Row],[Total_Sales]])</f>
        <v>0.23159244936248419</v>
      </c>
      <c r="R129" s="22"/>
      <c r="S129" s="22"/>
      <c r="T129" s="22"/>
      <c r="U129" s="22"/>
    </row>
    <row r="130" spans="1:21" x14ac:dyDescent="0.25">
      <c r="A130" s="7" t="s">
        <v>251</v>
      </c>
      <c r="B130" s="16">
        <v>45758</v>
      </c>
      <c r="C130" s="8" t="s">
        <v>207</v>
      </c>
      <c r="D130" s="8" t="str">
        <f>PROPER(TRIM(Sales_Data!D130))</f>
        <v>Japan</v>
      </c>
      <c r="E130" s="8" t="s">
        <v>36</v>
      </c>
      <c r="F130" s="8" t="s">
        <v>37</v>
      </c>
      <c r="G130" s="91">
        <v>37</v>
      </c>
      <c r="H130" s="9">
        <v>39.299999999999997</v>
      </c>
      <c r="I130" s="87">
        <f>PRODUCT(Table15[[#This Row],[Quantity]],Table15[[#This Row],[Unit_Price]])</f>
        <v>1454.1</v>
      </c>
      <c r="J130" s="9">
        <v>67.08</v>
      </c>
      <c r="K130" s="47">
        <v>203.02</v>
      </c>
      <c r="L130" s="8" t="s">
        <v>38</v>
      </c>
      <c r="M130" s="8" t="s">
        <v>20</v>
      </c>
      <c r="N130" s="8" t="s">
        <v>58</v>
      </c>
      <c r="O130" s="91">
        <f>VLOOKUP(E130,Product_Master!$B$2:$F$11,5,FALSE)</f>
        <v>32</v>
      </c>
      <c r="P130" s="91">
        <f>PRODUCT(Table15[[#This Row],[Quantity]],Table15[[#This Row],[Unit_Cost]])</f>
        <v>1184</v>
      </c>
      <c r="Q130" s="72">
        <f>(Table15[[#This Row],[Profit]]/Table15[[#This Row],[Total_Sales]])</f>
        <v>0.13961900832129842</v>
      </c>
      <c r="R130" s="22"/>
      <c r="S130" s="22"/>
      <c r="T130" s="22"/>
      <c r="U130" s="22"/>
    </row>
    <row r="131" spans="1:21" x14ac:dyDescent="0.25">
      <c r="A131" s="7" t="s">
        <v>252</v>
      </c>
      <c r="B131" s="16">
        <v>45760</v>
      </c>
      <c r="C131" s="8" t="s">
        <v>193</v>
      </c>
      <c r="D131" s="8" t="str">
        <f>PROPER(TRIM(Sales_Data!D131))</f>
        <v>Canada</v>
      </c>
      <c r="E131" s="8" t="s">
        <v>36</v>
      </c>
      <c r="F131" s="8" t="s">
        <v>37</v>
      </c>
      <c r="G131" s="91">
        <v>17</v>
      </c>
      <c r="H131" s="9">
        <v>43.28</v>
      </c>
      <c r="I131" s="87">
        <f>PRODUCT(Table15[[#This Row],[Quantity]],Table15[[#This Row],[Unit_Price]])</f>
        <v>735.76</v>
      </c>
      <c r="J131" s="9">
        <v>50.96</v>
      </c>
      <c r="K131" s="47">
        <v>140.80000000000001</v>
      </c>
      <c r="L131" s="8" t="s">
        <v>26</v>
      </c>
      <c r="M131" s="8" t="s">
        <v>27</v>
      </c>
      <c r="N131" s="8" t="s">
        <v>21</v>
      </c>
      <c r="O131" s="91">
        <f>VLOOKUP(E131,Product_Master!$B$2:$F$11,5,FALSE)</f>
        <v>32</v>
      </c>
      <c r="P131" s="91">
        <f>PRODUCT(Table15[[#This Row],[Quantity]],Table15[[#This Row],[Unit_Cost]])</f>
        <v>544</v>
      </c>
      <c r="Q131" s="72">
        <f>(Table15[[#This Row],[Profit]]/Table15[[#This Row],[Total_Sales]])</f>
        <v>0.19136675002718279</v>
      </c>
      <c r="R131" s="22"/>
      <c r="S131" s="22"/>
      <c r="T131" s="22"/>
      <c r="U131" s="22"/>
    </row>
    <row r="132" spans="1:21" x14ac:dyDescent="0.25">
      <c r="A132" s="7" t="s">
        <v>253</v>
      </c>
      <c r="B132" s="16">
        <v>45570</v>
      </c>
      <c r="C132" s="8" t="s">
        <v>15</v>
      </c>
      <c r="D132" s="8" t="str">
        <f>PROPER(TRIM(Sales_Data!D132))</f>
        <v>Uae</v>
      </c>
      <c r="E132" s="8" t="s">
        <v>17</v>
      </c>
      <c r="F132" s="8" t="s">
        <v>18</v>
      </c>
      <c r="G132" s="91">
        <v>22</v>
      </c>
      <c r="H132" s="9">
        <v>62.79</v>
      </c>
      <c r="I132" s="87">
        <f>PRODUCT(Table15[[#This Row],[Quantity]],Table15[[#This Row],[Unit_Price]])</f>
        <v>1381.3799999999999</v>
      </c>
      <c r="J132" s="9">
        <v>75.84</v>
      </c>
      <c r="K132" s="47">
        <v>535.54</v>
      </c>
      <c r="L132" s="8" t="s">
        <v>38</v>
      </c>
      <c r="M132" s="8" t="s">
        <v>32</v>
      </c>
      <c r="N132" s="8" t="s">
        <v>58</v>
      </c>
      <c r="O132" s="91">
        <f>VLOOKUP(E132,Product_Master!$B$2:$F$11,5,FALSE)</f>
        <v>35</v>
      </c>
      <c r="P132" s="91">
        <f>PRODUCT(Table15[[#This Row],[Quantity]],Table15[[#This Row],[Unit_Cost]])</f>
        <v>770</v>
      </c>
      <c r="Q132" s="72">
        <f>(Table15[[#This Row],[Profit]]/Table15[[#This Row],[Total_Sales]])</f>
        <v>0.38768477898912684</v>
      </c>
      <c r="R132" s="22"/>
      <c r="S132" s="22"/>
      <c r="T132" s="22"/>
      <c r="U132" s="22"/>
    </row>
    <row r="133" spans="1:21" x14ac:dyDescent="0.25">
      <c r="A133" s="7" t="s">
        <v>254</v>
      </c>
      <c r="B133" s="16">
        <v>45763</v>
      </c>
      <c r="C133" s="8" t="s">
        <v>156</v>
      </c>
      <c r="D133" s="8" t="str">
        <f>PROPER(TRIM(Sales_Data!D133))</f>
        <v>Germany</v>
      </c>
      <c r="E133" s="8" t="s">
        <v>43</v>
      </c>
      <c r="F133" s="8" t="s">
        <v>44</v>
      </c>
      <c r="G133" s="91">
        <v>23</v>
      </c>
      <c r="H133" s="9">
        <v>56.76</v>
      </c>
      <c r="I133" s="87">
        <f>PRODUCT(Table15[[#This Row],[Quantity]],Table15[[#This Row],[Unit_Price]])</f>
        <v>1305.48</v>
      </c>
      <c r="J133" s="9">
        <v>62.93</v>
      </c>
      <c r="K133" s="47">
        <v>322.55</v>
      </c>
      <c r="L133" s="8" t="s">
        <v>38</v>
      </c>
      <c r="M133" s="8" t="s">
        <v>32</v>
      </c>
      <c r="N133" s="8" t="s">
        <v>28</v>
      </c>
      <c r="O133" s="91">
        <f>VLOOKUP(E133,Product_Master!$B$2:$F$11,5,FALSE)</f>
        <v>40</v>
      </c>
      <c r="P133" s="91">
        <f>PRODUCT(Table15[[#This Row],[Quantity]],Table15[[#This Row],[Unit_Cost]])</f>
        <v>920</v>
      </c>
      <c r="Q133" s="72">
        <f>(Table15[[#This Row],[Profit]]/Table15[[#This Row],[Total_Sales]])</f>
        <v>0.24707387321138585</v>
      </c>
      <c r="R133" s="22"/>
      <c r="S133" s="22"/>
      <c r="T133" s="22"/>
      <c r="U133" s="22"/>
    </row>
    <row r="134" spans="1:21" x14ac:dyDescent="0.25">
      <c r="A134" s="7" t="s">
        <v>255</v>
      </c>
      <c r="B134" s="16">
        <v>45484</v>
      </c>
      <c r="C134" s="8" t="s">
        <v>30</v>
      </c>
      <c r="D134" s="8" t="str">
        <f>PROPER(TRIM(Sales_Data!D134))</f>
        <v>Uk</v>
      </c>
      <c r="E134" s="8" t="s">
        <v>43</v>
      </c>
      <c r="F134" s="8" t="s">
        <v>44</v>
      </c>
      <c r="G134" s="91">
        <v>22</v>
      </c>
      <c r="H134" s="9">
        <v>60.13</v>
      </c>
      <c r="I134" s="87">
        <f>PRODUCT(Table15[[#This Row],[Quantity]],Table15[[#This Row],[Unit_Price]])</f>
        <v>1322.8600000000001</v>
      </c>
      <c r="J134" s="9">
        <v>54.06</v>
      </c>
      <c r="K134" s="47">
        <v>388.8</v>
      </c>
      <c r="L134" s="8" t="s">
        <v>38</v>
      </c>
      <c r="M134" s="8" t="s">
        <v>27</v>
      </c>
      <c r="N134" s="8" t="s">
        <v>28</v>
      </c>
      <c r="O134" s="91">
        <f>VLOOKUP(E134,Product_Master!$B$2:$F$11,5,FALSE)</f>
        <v>40</v>
      </c>
      <c r="P134" s="91">
        <f>PRODUCT(Table15[[#This Row],[Quantity]],Table15[[#This Row],[Unit_Cost]])</f>
        <v>880</v>
      </c>
      <c r="Q134" s="72">
        <f>(Table15[[#This Row],[Profit]]/Table15[[#This Row],[Total_Sales]])</f>
        <v>0.29390865246511344</v>
      </c>
      <c r="R134" s="22"/>
      <c r="S134" s="22"/>
      <c r="T134" s="22"/>
      <c r="U134" s="22"/>
    </row>
    <row r="135" spans="1:21" x14ac:dyDescent="0.25">
      <c r="A135" s="7" t="s">
        <v>256</v>
      </c>
      <c r="B135" s="16">
        <v>45661</v>
      </c>
      <c r="C135" s="8" t="s">
        <v>257</v>
      </c>
      <c r="D135" s="8" t="str">
        <f>PROPER(TRIM(Sales_Data!D135))</f>
        <v>Singapore</v>
      </c>
      <c r="E135" s="8" t="s">
        <v>56</v>
      </c>
      <c r="F135" s="8" t="s">
        <v>57</v>
      </c>
      <c r="G135" s="91">
        <v>21</v>
      </c>
      <c r="H135" s="9">
        <v>40.98</v>
      </c>
      <c r="I135" s="87">
        <f>PRODUCT(Table15[[#This Row],[Quantity]],Table15[[#This Row],[Unit_Price]])</f>
        <v>860.57999999999993</v>
      </c>
      <c r="J135" s="9">
        <v>37.01</v>
      </c>
      <c r="K135" s="47">
        <v>298.57</v>
      </c>
      <c r="L135" s="8" t="s">
        <v>19</v>
      </c>
      <c r="M135" s="8" t="s">
        <v>32</v>
      </c>
      <c r="N135" s="8" t="s">
        <v>58</v>
      </c>
      <c r="O135" s="91">
        <f>VLOOKUP(E135,Product_Master!$B$2:$F$11,5,FALSE)</f>
        <v>25</v>
      </c>
      <c r="P135" s="91">
        <f>PRODUCT(Table15[[#This Row],[Quantity]],Table15[[#This Row],[Unit_Cost]])</f>
        <v>525</v>
      </c>
      <c r="Q135" s="72">
        <f>(Table15[[#This Row],[Profit]]/Table15[[#This Row],[Total_Sales]])</f>
        <v>0.34694043552023057</v>
      </c>
      <c r="R135" s="22"/>
      <c r="S135" s="22"/>
      <c r="T135" s="22"/>
      <c r="U135" s="22"/>
    </row>
    <row r="136" spans="1:21" x14ac:dyDescent="0.25">
      <c r="A136" s="7" t="s">
        <v>258</v>
      </c>
      <c r="B136" s="16">
        <v>45651</v>
      </c>
      <c r="C136" s="8" t="s">
        <v>117</v>
      </c>
      <c r="D136" s="8" t="str">
        <f>PROPER(TRIM(Sales_Data!D136))</f>
        <v>Brazil</v>
      </c>
      <c r="E136" s="8" t="s">
        <v>43</v>
      </c>
      <c r="F136" s="8" t="s">
        <v>44</v>
      </c>
      <c r="G136" s="91">
        <v>36</v>
      </c>
      <c r="H136" s="9">
        <v>54.6</v>
      </c>
      <c r="I136" s="87">
        <f>PRODUCT(Table15[[#This Row],[Quantity]],Table15[[#This Row],[Unit_Price]])</f>
        <v>1965.6000000000001</v>
      </c>
      <c r="J136" s="9">
        <v>150.34</v>
      </c>
      <c r="K136" s="47">
        <v>375.26</v>
      </c>
      <c r="L136" s="8" t="s">
        <v>26</v>
      </c>
      <c r="M136" s="8" t="s">
        <v>20</v>
      </c>
      <c r="N136" s="8" t="s">
        <v>39</v>
      </c>
      <c r="O136" s="91">
        <f>VLOOKUP(E136,Product_Master!$B$2:$F$11,5,FALSE)</f>
        <v>40</v>
      </c>
      <c r="P136" s="91">
        <f>PRODUCT(Table15[[#This Row],[Quantity]],Table15[[#This Row],[Unit_Cost]])</f>
        <v>1440</v>
      </c>
      <c r="Q136" s="72">
        <f>(Table15[[#This Row],[Profit]]/Table15[[#This Row],[Total_Sales]])</f>
        <v>0.19091371591371589</v>
      </c>
      <c r="R136" s="22"/>
      <c r="S136" s="22"/>
      <c r="T136" s="22"/>
      <c r="U136" s="22"/>
    </row>
    <row r="137" spans="1:21" x14ac:dyDescent="0.25">
      <c r="A137" s="7" t="s">
        <v>259</v>
      </c>
      <c r="B137" s="16">
        <v>45500</v>
      </c>
      <c r="C137" s="8" t="s">
        <v>226</v>
      </c>
      <c r="D137" s="8" t="str">
        <f>PROPER(TRIM(Sales_Data!D137))</f>
        <v>Italy</v>
      </c>
      <c r="E137" s="8" t="s">
        <v>60</v>
      </c>
      <c r="F137" s="8" t="s">
        <v>52</v>
      </c>
      <c r="G137" s="91">
        <v>1</v>
      </c>
      <c r="H137" s="9">
        <v>27.49</v>
      </c>
      <c r="I137" s="87">
        <f>PRODUCT(Table15[[#This Row],[Quantity]],Table15[[#This Row],[Unit_Price]])</f>
        <v>27.49</v>
      </c>
      <c r="J137" s="9">
        <v>0.63</v>
      </c>
      <c r="K137" s="47">
        <v>11.36</v>
      </c>
      <c r="L137" s="8" t="s">
        <v>26</v>
      </c>
      <c r="M137" s="8" t="s">
        <v>32</v>
      </c>
      <c r="N137" s="8" t="s">
        <v>28</v>
      </c>
      <c r="O137" s="91">
        <f>VLOOKUP(E137,Product_Master!$B$2:$F$11,5,FALSE)</f>
        <v>15.5</v>
      </c>
      <c r="P137" s="91">
        <f>PRODUCT(Table15[[#This Row],[Quantity]],Table15[[#This Row],[Unit_Cost]])</f>
        <v>15.5</v>
      </c>
      <c r="Q137" s="72">
        <f>(Table15[[#This Row],[Profit]]/Table15[[#This Row],[Total_Sales]])</f>
        <v>0.41324117861040377</v>
      </c>
      <c r="R137" s="22"/>
      <c r="S137" s="22"/>
      <c r="T137" s="22"/>
      <c r="U137" s="22"/>
    </row>
    <row r="138" spans="1:21" x14ac:dyDescent="0.25">
      <c r="A138" s="7" t="s">
        <v>260</v>
      </c>
      <c r="B138" s="16">
        <v>45301</v>
      </c>
      <c r="C138" s="8" t="s">
        <v>261</v>
      </c>
      <c r="D138" s="8" t="str">
        <f>PROPER(TRIM(Sales_Data!D138))</f>
        <v>Singapore</v>
      </c>
      <c r="E138" s="8" t="s">
        <v>36</v>
      </c>
      <c r="F138" s="8" t="s">
        <v>37</v>
      </c>
      <c r="G138" s="91">
        <v>50</v>
      </c>
      <c r="H138" s="9">
        <v>41.11</v>
      </c>
      <c r="I138" s="87">
        <f>PRODUCT(Table15[[#This Row],[Quantity]],Table15[[#This Row],[Unit_Price]])</f>
        <v>2055.5</v>
      </c>
      <c r="J138" s="9">
        <v>95.61</v>
      </c>
      <c r="K138" s="47">
        <v>359.89</v>
      </c>
      <c r="L138" s="8" t="s">
        <v>38</v>
      </c>
      <c r="M138" s="8" t="s">
        <v>27</v>
      </c>
      <c r="N138" s="8" t="s">
        <v>58</v>
      </c>
      <c r="O138" s="91">
        <f>VLOOKUP(E138,Product_Master!$B$2:$F$11,5,FALSE)</f>
        <v>32</v>
      </c>
      <c r="P138" s="91">
        <f>PRODUCT(Table15[[#This Row],[Quantity]],Table15[[#This Row],[Unit_Cost]])</f>
        <v>1600</v>
      </c>
      <c r="Q138" s="72">
        <f>(Table15[[#This Row],[Profit]]/Table15[[#This Row],[Total_Sales]])</f>
        <v>0.17508635368523473</v>
      </c>
      <c r="R138" s="22"/>
      <c r="S138" s="22"/>
      <c r="T138" s="22"/>
      <c r="U138" s="22"/>
    </row>
    <row r="139" spans="1:21" x14ac:dyDescent="0.25">
      <c r="A139" s="7" t="s">
        <v>262</v>
      </c>
      <c r="B139" s="16">
        <v>45653</v>
      </c>
      <c r="C139" s="8" t="s">
        <v>119</v>
      </c>
      <c r="D139" s="8" t="str">
        <f>PROPER(TRIM(Sales_Data!D139))</f>
        <v>China</v>
      </c>
      <c r="E139" s="8" t="s">
        <v>60</v>
      </c>
      <c r="F139" s="8" t="s">
        <v>52</v>
      </c>
      <c r="G139" s="91">
        <v>18</v>
      </c>
      <c r="H139" s="9">
        <v>25.54</v>
      </c>
      <c r="I139" s="87">
        <f>PRODUCT(Table15[[#This Row],[Quantity]],Table15[[#This Row],[Unit_Price]])</f>
        <v>459.71999999999997</v>
      </c>
      <c r="J139" s="9">
        <v>27.02</v>
      </c>
      <c r="K139" s="47">
        <v>153.69999999999999</v>
      </c>
      <c r="L139" s="8" t="s">
        <v>26</v>
      </c>
      <c r="M139" s="8" t="s">
        <v>20</v>
      </c>
      <c r="N139" s="8" t="s">
        <v>58</v>
      </c>
      <c r="O139" s="91">
        <f>VLOOKUP(E139,Product_Master!$B$2:$F$11,5,FALSE)</f>
        <v>15.5</v>
      </c>
      <c r="P139" s="91">
        <f>PRODUCT(Table15[[#This Row],[Quantity]],Table15[[#This Row],[Unit_Cost]])</f>
        <v>279</v>
      </c>
      <c r="Q139" s="72">
        <f>(Table15[[#This Row],[Profit]]/Table15[[#This Row],[Total_Sales]])</f>
        <v>0.33433394239972158</v>
      </c>
      <c r="R139" s="22"/>
      <c r="S139" s="22"/>
      <c r="T139" s="22"/>
      <c r="U139" s="22"/>
    </row>
    <row r="140" spans="1:21" x14ac:dyDescent="0.25">
      <c r="A140" s="7" t="s">
        <v>263</v>
      </c>
      <c r="B140" s="16">
        <v>45671</v>
      </c>
      <c r="C140" s="8" t="s">
        <v>231</v>
      </c>
      <c r="D140" s="8" t="str">
        <f>PROPER(TRIM(Sales_Data!D140))</f>
        <v>Japan</v>
      </c>
      <c r="E140" s="8" t="s">
        <v>83</v>
      </c>
      <c r="F140" s="8" t="s">
        <v>52</v>
      </c>
      <c r="G140" s="91">
        <v>4</v>
      </c>
      <c r="H140" s="9">
        <v>47.52</v>
      </c>
      <c r="I140" s="87">
        <f>PRODUCT(Table15[[#This Row],[Quantity]],Table15[[#This Row],[Unit_Price]])</f>
        <v>190.08</v>
      </c>
      <c r="J140" s="9">
        <v>10.23</v>
      </c>
      <c r="K140" s="47">
        <v>67.849999999999994</v>
      </c>
      <c r="L140" s="8" t="s">
        <v>19</v>
      </c>
      <c r="M140" s="8" t="s">
        <v>20</v>
      </c>
      <c r="N140" s="8" t="s">
        <v>58</v>
      </c>
      <c r="O140" s="91">
        <f>VLOOKUP(E140,Product_Master!$B$2:$F$11,5,FALSE)</f>
        <v>28</v>
      </c>
      <c r="P140" s="91">
        <f>PRODUCT(Table15[[#This Row],[Quantity]],Table15[[#This Row],[Unit_Cost]])</f>
        <v>112</v>
      </c>
      <c r="Q140" s="72">
        <f>(Table15[[#This Row],[Profit]]/Table15[[#This Row],[Total_Sales]])</f>
        <v>0.35695496632996626</v>
      </c>
      <c r="R140" s="22"/>
      <c r="S140" s="22"/>
      <c r="T140" s="22"/>
      <c r="U140" s="22"/>
    </row>
    <row r="141" spans="1:21" x14ac:dyDescent="0.25">
      <c r="A141" s="7" t="s">
        <v>264</v>
      </c>
      <c r="B141" s="16">
        <v>45526</v>
      </c>
      <c r="C141" s="8" t="s">
        <v>170</v>
      </c>
      <c r="D141" s="8" t="str">
        <f>PROPER(TRIM(Sales_Data!D141))</f>
        <v>Italy</v>
      </c>
      <c r="E141" s="8" t="s">
        <v>56</v>
      </c>
      <c r="F141" s="8" t="s">
        <v>57</v>
      </c>
      <c r="G141" s="91">
        <v>29</v>
      </c>
      <c r="H141" s="9">
        <v>30.48</v>
      </c>
      <c r="I141" s="87">
        <f>PRODUCT(Table15[[#This Row],[Quantity]],Table15[[#This Row],[Unit_Price]])</f>
        <v>883.92</v>
      </c>
      <c r="J141" s="9">
        <v>33.15</v>
      </c>
      <c r="K141" s="47">
        <v>125.77</v>
      </c>
      <c r="L141" s="8" t="s">
        <v>38</v>
      </c>
      <c r="M141" s="8" t="s">
        <v>20</v>
      </c>
      <c r="N141" s="8" t="s">
        <v>28</v>
      </c>
      <c r="O141" s="91">
        <f>VLOOKUP(E141,Product_Master!$B$2:$F$11,5,FALSE)</f>
        <v>25</v>
      </c>
      <c r="P141" s="91">
        <f>PRODUCT(Table15[[#This Row],[Quantity]],Table15[[#This Row],[Unit_Cost]])</f>
        <v>725</v>
      </c>
      <c r="Q141" s="72">
        <f>(Table15[[#This Row],[Profit]]/Table15[[#This Row],[Total_Sales]])</f>
        <v>0.14228663227441399</v>
      </c>
      <c r="R141" s="22"/>
      <c r="S141" s="22"/>
      <c r="T141" s="22"/>
      <c r="U141" s="22"/>
    </row>
    <row r="142" spans="1:21" x14ac:dyDescent="0.25">
      <c r="A142" s="7" t="s">
        <v>265</v>
      </c>
      <c r="B142" s="16">
        <v>45369</v>
      </c>
      <c r="C142" s="8" t="s">
        <v>168</v>
      </c>
      <c r="D142" s="8" t="str">
        <f>PROPER(TRIM(Sales_Data!D142))</f>
        <v>South Africa</v>
      </c>
      <c r="E142" s="8" t="s">
        <v>43</v>
      </c>
      <c r="F142" s="8" t="s">
        <v>44</v>
      </c>
      <c r="G142" s="91">
        <v>27</v>
      </c>
      <c r="H142" s="9">
        <v>50.39</v>
      </c>
      <c r="I142" s="87">
        <f>PRODUCT(Table15[[#This Row],[Quantity]],Table15[[#This Row],[Unit_Price]])</f>
        <v>1360.53</v>
      </c>
      <c r="J142" s="9">
        <v>106.4</v>
      </c>
      <c r="K142" s="47">
        <v>174.13</v>
      </c>
      <c r="L142" s="8" t="s">
        <v>26</v>
      </c>
      <c r="M142" s="8" t="s">
        <v>27</v>
      </c>
      <c r="N142" s="8" t="s">
        <v>87</v>
      </c>
      <c r="O142" s="91">
        <f>VLOOKUP(E142,Product_Master!$B$2:$F$11,5,FALSE)</f>
        <v>40</v>
      </c>
      <c r="P142" s="91">
        <f>PRODUCT(Table15[[#This Row],[Quantity]],Table15[[#This Row],[Unit_Cost]])</f>
        <v>1080</v>
      </c>
      <c r="Q142" s="72">
        <f>(Table15[[#This Row],[Profit]]/Table15[[#This Row],[Total_Sales]])</f>
        <v>0.12798688746297399</v>
      </c>
      <c r="R142" s="22"/>
      <c r="S142" s="22"/>
      <c r="T142" s="22"/>
      <c r="U142" s="22"/>
    </row>
    <row r="143" spans="1:21" x14ac:dyDescent="0.25">
      <c r="A143" s="7" t="s">
        <v>266</v>
      </c>
      <c r="B143" s="16">
        <v>45670</v>
      </c>
      <c r="C143" s="8" t="s">
        <v>145</v>
      </c>
      <c r="D143" s="8" t="str">
        <f>PROPER(TRIM(Sales_Data!D143))</f>
        <v>Germany</v>
      </c>
      <c r="E143" s="8" t="s">
        <v>56</v>
      </c>
      <c r="F143" s="8" t="s">
        <v>57</v>
      </c>
      <c r="G143" s="91">
        <v>34</v>
      </c>
      <c r="H143" s="9">
        <v>37.68</v>
      </c>
      <c r="I143" s="87">
        <f>PRODUCT(Table15[[#This Row],[Quantity]],Table15[[#This Row],[Unit_Price]])</f>
        <v>1281.1199999999999</v>
      </c>
      <c r="J143" s="9">
        <v>54.86</v>
      </c>
      <c r="K143" s="47">
        <v>376.26</v>
      </c>
      <c r="L143" s="8" t="s">
        <v>38</v>
      </c>
      <c r="M143" s="8" t="s">
        <v>20</v>
      </c>
      <c r="N143" s="8" t="s">
        <v>28</v>
      </c>
      <c r="O143" s="91">
        <f>VLOOKUP(E143,Product_Master!$B$2:$F$11,5,FALSE)</f>
        <v>25</v>
      </c>
      <c r="P143" s="91">
        <f>PRODUCT(Table15[[#This Row],[Quantity]],Table15[[#This Row],[Unit_Cost]])</f>
        <v>850</v>
      </c>
      <c r="Q143" s="72">
        <f>(Table15[[#This Row],[Profit]]/Table15[[#This Row],[Total_Sales]])</f>
        <v>0.2936961408767329</v>
      </c>
      <c r="R143" s="22"/>
      <c r="S143" s="22"/>
      <c r="T143" s="22"/>
      <c r="U143" s="22"/>
    </row>
    <row r="144" spans="1:21" x14ac:dyDescent="0.25">
      <c r="A144" s="7" t="s">
        <v>267</v>
      </c>
      <c r="B144" s="16">
        <v>45754</v>
      </c>
      <c r="C144" s="8" t="s">
        <v>268</v>
      </c>
      <c r="D144" s="8" t="str">
        <f>PROPER(TRIM(Sales_Data!D144))</f>
        <v>Japan</v>
      </c>
      <c r="E144" s="8" t="s">
        <v>56</v>
      </c>
      <c r="F144" s="8" t="s">
        <v>57</v>
      </c>
      <c r="G144" s="91">
        <v>3</v>
      </c>
      <c r="H144" s="9">
        <v>39.32</v>
      </c>
      <c r="I144" s="87">
        <f>PRODUCT(Table15[[#This Row],[Quantity]],Table15[[#This Row],[Unit_Price]])</f>
        <v>117.96000000000001</v>
      </c>
      <c r="J144" s="9">
        <v>6.97</v>
      </c>
      <c r="K144" s="47">
        <v>35.99</v>
      </c>
      <c r="L144" s="8" t="s">
        <v>26</v>
      </c>
      <c r="M144" s="8" t="s">
        <v>27</v>
      </c>
      <c r="N144" s="8" t="s">
        <v>58</v>
      </c>
      <c r="O144" s="91">
        <f>VLOOKUP(E144,Product_Master!$B$2:$F$11,5,FALSE)</f>
        <v>25</v>
      </c>
      <c r="P144" s="91">
        <f>PRODUCT(Table15[[#This Row],[Quantity]],Table15[[#This Row],[Unit_Cost]])</f>
        <v>75</v>
      </c>
      <c r="Q144" s="72">
        <f>(Table15[[#This Row],[Profit]]/Table15[[#This Row],[Total_Sales]])</f>
        <v>0.30510342488979314</v>
      </c>
      <c r="R144" s="22"/>
      <c r="S144" s="22"/>
      <c r="T144" s="22"/>
      <c r="U144" s="22"/>
    </row>
    <row r="145" spans="1:21" x14ac:dyDescent="0.25">
      <c r="A145" s="7" t="s">
        <v>269</v>
      </c>
      <c r="B145" s="16">
        <v>45655</v>
      </c>
      <c r="C145" s="8" t="s">
        <v>233</v>
      </c>
      <c r="D145" s="8" t="str">
        <f>PROPER(TRIM(Sales_Data!D145))</f>
        <v>Canada</v>
      </c>
      <c r="E145" s="8" t="s">
        <v>63</v>
      </c>
      <c r="F145" s="8" t="s">
        <v>37</v>
      </c>
      <c r="G145" s="91">
        <v>24</v>
      </c>
      <c r="H145" s="9">
        <v>18</v>
      </c>
      <c r="I145" s="87">
        <f>PRODUCT(Table15[[#This Row],[Quantity]],Table15[[#This Row],[Unit_Price]])</f>
        <v>432</v>
      </c>
      <c r="J145" s="9">
        <v>22.68</v>
      </c>
      <c r="K145" s="47">
        <v>103.32</v>
      </c>
      <c r="L145" s="8" t="s">
        <v>19</v>
      </c>
      <c r="M145" s="8" t="s">
        <v>32</v>
      </c>
      <c r="N145" s="8" t="s">
        <v>21</v>
      </c>
      <c r="O145" s="91">
        <f>VLOOKUP(E145,Product_Master!$B$2:$F$11,5,FALSE)</f>
        <v>12.75</v>
      </c>
      <c r="P145" s="91">
        <f>PRODUCT(Table15[[#This Row],[Quantity]],Table15[[#This Row],[Unit_Cost]])</f>
        <v>306</v>
      </c>
      <c r="Q145" s="72">
        <f>(Table15[[#This Row],[Profit]]/Table15[[#This Row],[Total_Sales]])</f>
        <v>0.23916666666666664</v>
      </c>
      <c r="R145" s="22"/>
      <c r="S145" s="22"/>
      <c r="T145" s="22"/>
      <c r="U145" s="22"/>
    </row>
    <row r="146" spans="1:21" x14ac:dyDescent="0.25">
      <c r="A146" s="7" t="s">
        <v>270</v>
      </c>
      <c r="B146" s="16">
        <v>45636</v>
      </c>
      <c r="C146" s="8" t="s">
        <v>100</v>
      </c>
      <c r="D146" s="8" t="str">
        <f>PROPER(TRIM(Sales_Data!D146))</f>
        <v>Uk</v>
      </c>
      <c r="E146" s="8" t="s">
        <v>51</v>
      </c>
      <c r="F146" s="8" t="s">
        <v>52</v>
      </c>
      <c r="G146" s="91">
        <v>5</v>
      </c>
      <c r="H146" s="9">
        <v>36.43</v>
      </c>
      <c r="I146" s="87">
        <f>PRODUCT(Table15[[#This Row],[Quantity]],Table15[[#This Row],[Unit_Price]])</f>
        <v>182.15</v>
      </c>
      <c r="J146" s="9">
        <v>7.82</v>
      </c>
      <c r="K146" s="47">
        <v>61.83</v>
      </c>
      <c r="L146" s="8" t="s">
        <v>19</v>
      </c>
      <c r="M146" s="8" t="s">
        <v>32</v>
      </c>
      <c r="N146" s="8" t="s">
        <v>28</v>
      </c>
      <c r="O146" s="91">
        <f>VLOOKUP(E146,Product_Master!$B$2:$F$11,5,FALSE)</f>
        <v>22.5</v>
      </c>
      <c r="P146" s="91">
        <f>PRODUCT(Table15[[#This Row],[Quantity]],Table15[[#This Row],[Unit_Cost]])</f>
        <v>112.5</v>
      </c>
      <c r="Q146" s="72">
        <f>(Table15[[#This Row],[Profit]]/Table15[[#This Row],[Total_Sales]])</f>
        <v>0.33944551194070821</v>
      </c>
      <c r="R146" s="22"/>
      <c r="S146" s="22"/>
      <c r="T146" s="22"/>
      <c r="U146" s="22"/>
    </row>
    <row r="147" spans="1:21" x14ac:dyDescent="0.25">
      <c r="A147" s="7" t="s">
        <v>271</v>
      </c>
      <c r="B147" s="16">
        <v>45492</v>
      </c>
      <c r="C147" s="8" t="s">
        <v>105</v>
      </c>
      <c r="D147" s="8" t="str">
        <f>PROPER(TRIM(Sales_Data!D147))</f>
        <v>China</v>
      </c>
      <c r="E147" s="8" t="s">
        <v>51</v>
      </c>
      <c r="F147" s="8" t="s">
        <v>52</v>
      </c>
      <c r="G147" s="91">
        <v>27</v>
      </c>
      <c r="H147" s="9">
        <v>38.39</v>
      </c>
      <c r="I147" s="87">
        <f>PRODUCT(Table15[[#This Row],[Quantity]],Table15[[#This Row],[Unit_Price]])</f>
        <v>1036.53</v>
      </c>
      <c r="J147" s="9">
        <v>28.6</v>
      </c>
      <c r="K147" s="47">
        <v>400.43</v>
      </c>
      <c r="L147" s="8" t="s">
        <v>26</v>
      </c>
      <c r="M147" s="8" t="s">
        <v>20</v>
      </c>
      <c r="N147" s="8" t="s">
        <v>58</v>
      </c>
      <c r="O147" s="91">
        <f>VLOOKUP(E147,Product_Master!$B$2:$F$11,5,FALSE)</f>
        <v>22.5</v>
      </c>
      <c r="P147" s="91">
        <f>PRODUCT(Table15[[#This Row],[Quantity]],Table15[[#This Row],[Unit_Cost]])</f>
        <v>607.5</v>
      </c>
      <c r="Q147" s="72">
        <f>(Table15[[#This Row],[Profit]]/Table15[[#This Row],[Total_Sales]])</f>
        <v>0.38631781038657831</v>
      </c>
      <c r="R147" s="22"/>
      <c r="S147" s="22"/>
      <c r="T147" s="22"/>
      <c r="U147" s="22"/>
    </row>
    <row r="148" spans="1:21" x14ac:dyDescent="0.25">
      <c r="A148" s="7" t="s">
        <v>272</v>
      </c>
      <c r="B148" s="16">
        <v>45435</v>
      </c>
      <c r="C148" s="8" t="s">
        <v>137</v>
      </c>
      <c r="D148" s="8" t="str">
        <f>PROPER(TRIM(Sales_Data!D148))</f>
        <v>Brazil</v>
      </c>
      <c r="E148" s="8" t="s">
        <v>83</v>
      </c>
      <c r="F148" s="8" t="s">
        <v>52</v>
      </c>
      <c r="G148" s="91">
        <v>10</v>
      </c>
      <c r="H148" s="9">
        <v>47.5</v>
      </c>
      <c r="I148" s="87">
        <f>PRODUCT(Table15[[#This Row],[Quantity]],Table15[[#This Row],[Unit_Price]])</f>
        <v>475</v>
      </c>
      <c r="J148" s="9">
        <v>15.95</v>
      </c>
      <c r="K148" s="47">
        <v>179.05</v>
      </c>
      <c r="L148" s="8" t="s">
        <v>19</v>
      </c>
      <c r="M148" s="8" t="s">
        <v>20</v>
      </c>
      <c r="N148" s="8" t="s">
        <v>39</v>
      </c>
      <c r="O148" s="91">
        <f>VLOOKUP(E148,Product_Master!$B$2:$F$11,5,FALSE)</f>
        <v>28</v>
      </c>
      <c r="P148" s="91">
        <f>PRODUCT(Table15[[#This Row],[Quantity]],Table15[[#This Row],[Unit_Cost]])</f>
        <v>280</v>
      </c>
      <c r="Q148" s="72">
        <f>(Table15[[#This Row],[Profit]]/Table15[[#This Row],[Total_Sales]])</f>
        <v>0.37694736842105264</v>
      </c>
      <c r="R148" s="22"/>
      <c r="S148" s="22"/>
      <c r="T148" s="22"/>
      <c r="U148" s="22"/>
    </row>
    <row r="149" spans="1:21" x14ac:dyDescent="0.25">
      <c r="A149" s="7" t="s">
        <v>273</v>
      </c>
      <c r="B149" s="16">
        <v>45458</v>
      </c>
      <c r="C149" s="8" t="s">
        <v>274</v>
      </c>
      <c r="D149" s="8" t="str">
        <f>PROPER(TRIM(Sales_Data!D149))</f>
        <v>Uae</v>
      </c>
      <c r="E149" s="8" t="s">
        <v>36</v>
      </c>
      <c r="F149" s="8" t="s">
        <v>37</v>
      </c>
      <c r="G149" s="91">
        <v>47</v>
      </c>
      <c r="H149" s="9">
        <v>50.13</v>
      </c>
      <c r="I149" s="87">
        <f>PRODUCT(Table15[[#This Row],[Quantity]],Table15[[#This Row],[Unit_Price]])</f>
        <v>2356.11</v>
      </c>
      <c r="J149" s="9">
        <v>166.22</v>
      </c>
      <c r="K149" s="47">
        <v>685.89</v>
      </c>
      <c r="L149" s="8" t="s">
        <v>19</v>
      </c>
      <c r="M149" s="8" t="s">
        <v>20</v>
      </c>
      <c r="N149" s="8" t="s">
        <v>58</v>
      </c>
      <c r="O149" s="91">
        <f>VLOOKUP(E149,Product_Master!$B$2:$F$11,5,FALSE)</f>
        <v>32</v>
      </c>
      <c r="P149" s="91">
        <f>PRODUCT(Table15[[#This Row],[Quantity]],Table15[[#This Row],[Unit_Cost]])</f>
        <v>1504</v>
      </c>
      <c r="Q149" s="72">
        <f>(Table15[[#This Row],[Profit]]/Table15[[#This Row],[Total_Sales]])</f>
        <v>0.29111119599679131</v>
      </c>
      <c r="R149" s="22"/>
      <c r="S149" s="22"/>
      <c r="T149" s="22"/>
      <c r="U149" s="22"/>
    </row>
    <row r="150" spans="1:21" x14ac:dyDescent="0.25">
      <c r="A150" s="7" t="s">
        <v>275</v>
      </c>
      <c r="B150" s="16">
        <v>45573</v>
      </c>
      <c r="C150" s="8" t="s">
        <v>276</v>
      </c>
      <c r="D150" s="8" t="str">
        <f>PROPER(TRIM(Sales_Data!D150))</f>
        <v>Mexico</v>
      </c>
      <c r="E150" s="8" t="s">
        <v>83</v>
      </c>
      <c r="F150" s="8" t="s">
        <v>52</v>
      </c>
      <c r="G150" s="91">
        <v>47</v>
      </c>
      <c r="H150" s="9">
        <v>42.25</v>
      </c>
      <c r="I150" s="87">
        <f>PRODUCT(Table15[[#This Row],[Quantity]],Table15[[#This Row],[Unit_Price]])</f>
        <v>1985.75</v>
      </c>
      <c r="J150" s="9">
        <v>116.75</v>
      </c>
      <c r="K150" s="47">
        <v>553</v>
      </c>
      <c r="L150" s="8" t="s">
        <v>26</v>
      </c>
      <c r="M150" s="8" t="s">
        <v>20</v>
      </c>
      <c r="N150" s="8" t="s">
        <v>21</v>
      </c>
      <c r="O150" s="91">
        <f>VLOOKUP(E150,Product_Master!$B$2:$F$11,5,FALSE)</f>
        <v>28</v>
      </c>
      <c r="P150" s="91">
        <f>PRODUCT(Table15[[#This Row],[Quantity]],Table15[[#This Row],[Unit_Cost]])</f>
        <v>1316</v>
      </c>
      <c r="Q150" s="72">
        <f>(Table15[[#This Row],[Profit]]/Table15[[#This Row],[Total_Sales]])</f>
        <v>0.27848419992446177</v>
      </c>
      <c r="R150" s="22"/>
      <c r="S150" s="22"/>
      <c r="T150" s="22"/>
      <c r="U150" s="22"/>
    </row>
    <row r="151" spans="1:21" x14ac:dyDescent="0.25">
      <c r="A151" s="7" t="s">
        <v>277</v>
      </c>
      <c r="B151" s="16">
        <v>45378</v>
      </c>
      <c r="C151" s="8" t="s">
        <v>278</v>
      </c>
      <c r="D151" s="8" t="str">
        <f>PROPER(TRIM(Sales_Data!D151))</f>
        <v>China</v>
      </c>
      <c r="E151" s="8" t="s">
        <v>56</v>
      </c>
      <c r="F151" s="8" t="s">
        <v>57</v>
      </c>
      <c r="G151" s="91">
        <v>18</v>
      </c>
      <c r="H151" s="9">
        <v>38.26</v>
      </c>
      <c r="I151" s="87">
        <f>PRODUCT(Table15[[#This Row],[Quantity]],Table15[[#This Row],[Unit_Price]])</f>
        <v>688.68</v>
      </c>
      <c r="J151" s="9">
        <v>18.78</v>
      </c>
      <c r="K151" s="47">
        <v>219.9</v>
      </c>
      <c r="L151" s="8" t="s">
        <v>26</v>
      </c>
      <c r="M151" s="8" t="s">
        <v>20</v>
      </c>
      <c r="N151" s="8" t="s">
        <v>58</v>
      </c>
      <c r="O151" s="91">
        <f>VLOOKUP(E151,Product_Master!$B$2:$F$11,5,FALSE)</f>
        <v>25</v>
      </c>
      <c r="P151" s="91">
        <f>PRODUCT(Table15[[#This Row],[Quantity]],Table15[[#This Row],[Unit_Cost]])</f>
        <v>450</v>
      </c>
      <c r="Q151" s="72">
        <f>(Table15[[#This Row],[Profit]]/Table15[[#This Row],[Total_Sales]])</f>
        <v>0.31930649939013767</v>
      </c>
      <c r="R151" s="22"/>
      <c r="S151" s="22"/>
      <c r="T151" s="22"/>
      <c r="U151" s="22"/>
    </row>
    <row r="152" spans="1:21" x14ac:dyDescent="0.25">
      <c r="A152" s="7" t="s">
        <v>279</v>
      </c>
      <c r="B152" s="16">
        <v>45351</v>
      </c>
      <c r="C152" s="8" t="s">
        <v>85</v>
      </c>
      <c r="D152" s="8" t="str">
        <f>PROPER(TRIM(Sales_Data!D152))</f>
        <v>Singapore</v>
      </c>
      <c r="E152" s="8" t="s">
        <v>83</v>
      </c>
      <c r="F152" s="8" t="s">
        <v>52</v>
      </c>
      <c r="G152" s="91">
        <v>31</v>
      </c>
      <c r="H152" s="9">
        <v>46.66</v>
      </c>
      <c r="I152" s="87">
        <f>PRODUCT(Table15[[#This Row],[Quantity]],Table15[[#This Row],[Unit_Price]])</f>
        <v>1446.4599999999998</v>
      </c>
      <c r="J152" s="9">
        <v>109.24</v>
      </c>
      <c r="K152" s="47">
        <v>469.22</v>
      </c>
      <c r="L152" s="8" t="s">
        <v>19</v>
      </c>
      <c r="M152" s="8" t="s">
        <v>32</v>
      </c>
      <c r="N152" s="8" t="s">
        <v>58</v>
      </c>
      <c r="O152" s="91">
        <f>VLOOKUP(E152,Product_Master!$B$2:$F$11,5,FALSE)</f>
        <v>28</v>
      </c>
      <c r="P152" s="91">
        <f>PRODUCT(Table15[[#This Row],[Quantity]],Table15[[#This Row],[Unit_Cost]])</f>
        <v>868</v>
      </c>
      <c r="Q152" s="72">
        <f>(Table15[[#This Row],[Profit]]/Table15[[#This Row],[Total_Sales]])</f>
        <v>0.32439196382893415</v>
      </c>
      <c r="R152" s="22"/>
      <c r="S152" s="22"/>
      <c r="T152" s="22"/>
      <c r="U152" s="22"/>
    </row>
    <row r="153" spans="1:21" x14ac:dyDescent="0.25">
      <c r="A153" s="7" t="s">
        <v>280</v>
      </c>
      <c r="B153" s="16">
        <v>45354</v>
      </c>
      <c r="C153" s="8" t="s">
        <v>281</v>
      </c>
      <c r="D153" s="8" t="str">
        <f>PROPER(TRIM(Sales_Data!D153))</f>
        <v>South Africa</v>
      </c>
      <c r="E153" s="8" t="s">
        <v>36</v>
      </c>
      <c r="F153" s="8" t="s">
        <v>37</v>
      </c>
      <c r="G153" s="91">
        <v>41</v>
      </c>
      <c r="H153" s="9">
        <v>52.65</v>
      </c>
      <c r="I153" s="87">
        <f>PRODUCT(Table15[[#This Row],[Quantity]],Table15[[#This Row],[Unit_Price]])</f>
        <v>2158.65</v>
      </c>
      <c r="J153" s="9">
        <v>110.1</v>
      </c>
      <c r="K153" s="47">
        <v>736.55</v>
      </c>
      <c r="L153" s="8" t="s">
        <v>26</v>
      </c>
      <c r="M153" s="8" t="s">
        <v>32</v>
      </c>
      <c r="N153" s="8" t="s">
        <v>87</v>
      </c>
      <c r="O153" s="91">
        <f>VLOOKUP(E153,Product_Master!$B$2:$F$11,5,FALSE)</f>
        <v>32</v>
      </c>
      <c r="P153" s="91">
        <f>PRODUCT(Table15[[#This Row],[Quantity]],Table15[[#This Row],[Unit_Cost]])</f>
        <v>1312</v>
      </c>
      <c r="Q153" s="72">
        <f>(Table15[[#This Row],[Profit]]/Table15[[#This Row],[Total_Sales]])</f>
        <v>0.34120862576147126</v>
      </c>
      <c r="R153" s="22"/>
      <c r="S153" s="22"/>
      <c r="T153" s="22"/>
      <c r="U153" s="22"/>
    </row>
    <row r="154" spans="1:21" x14ac:dyDescent="0.25">
      <c r="A154" s="7" t="s">
        <v>282</v>
      </c>
      <c r="B154" s="16">
        <v>45377</v>
      </c>
      <c r="C154" s="8" t="s">
        <v>115</v>
      </c>
      <c r="D154" s="8" t="str">
        <f>PROPER(TRIM(Sales_Data!D154))</f>
        <v>Japan</v>
      </c>
      <c r="E154" s="8" t="s">
        <v>25</v>
      </c>
      <c r="F154" s="8" t="s">
        <v>18</v>
      </c>
      <c r="G154" s="91">
        <v>28</v>
      </c>
      <c r="H154" s="9">
        <v>22.66</v>
      </c>
      <c r="I154" s="87">
        <f>PRODUCT(Table15[[#This Row],[Quantity]],Table15[[#This Row],[Unit_Price]])</f>
        <v>634.48</v>
      </c>
      <c r="J154" s="9">
        <v>15.55</v>
      </c>
      <c r="K154" s="47">
        <v>114.93</v>
      </c>
      <c r="L154" s="8" t="s">
        <v>38</v>
      </c>
      <c r="M154" s="8" t="s">
        <v>20</v>
      </c>
      <c r="N154" s="8" t="s">
        <v>58</v>
      </c>
      <c r="O154" s="91">
        <f>VLOOKUP(E154,Product_Master!$B$2:$F$11,5,FALSE)</f>
        <v>18</v>
      </c>
      <c r="P154" s="91">
        <f>PRODUCT(Table15[[#This Row],[Quantity]],Table15[[#This Row],[Unit_Cost]])</f>
        <v>504</v>
      </c>
      <c r="Q154" s="72">
        <f>(Table15[[#This Row],[Profit]]/Table15[[#This Row],[Total_Sales]])</f>
        <v>0.1811404614802673</v>
      </c>
      <c r="R154" s="22"/>
      <c r="S154" s="22"/>
      <c r="T154" s="22"/>
      <c r="U154" s="22"/>
    </row>
    <row r="155" spans="1:21" x14ac:dyDescent="0.25">
      <c r="A155" s="7" t="s">
        <v>283</v>
      </c>
      <c r="B155" s="16">
        <v>45697</v>
      </c>
      <c r="C155" s="8" t="s">
        <v>268</v>
      </c>
      <c r="D155" s="8" t="str">
        <f>PROPER(TRIM(Sales_Data!D155))</f>
        <v>Mexico</v>
      </c>
      <c r="E155" s="8" t="s">
        <v>60</v>
      </c>
      <c r="F155" s="8" t="s">
        <v>52</v>
      </c>
      <c r="G155" s="91">
        <v>48</v>
      </c>
      <c r="H155" s="9">
        <v>25.07</v>
      </c>
      <c r="I155" s="87">
        <f>PRODUCT(Table15[[#This Row],[Quantity]],Table15[[#This Row],[Unit_Price]])</f>
        <v>1203.3600000000001</v>
      </c>
      <c r="J155" s="9">
        <v>29.93</v>
      </c>
      <c r="K155" s="47">
        <v>429.43</v>
      </c>
      <c r="L155" s="8" t="s">
        <v>26</v>
      </c>
      <c r="M155" s="8" t="s">
        <v>27</v>
      </c>
      <c r="N155" s="8" t="s">
        <v>21</v>
      </c>
      <c r="O155" s="91">
        <f>VLOOKUP(E155,Product_Master!$B$2:$F$11,5,FALSE)</f>
        <v>15.5</v>
      </c>
      <c r="P155" s="91">
        <f>PRODUCT(Table15[[#This Row],[Quantity]],Table15[[#This Row],[Unit_Cost]])</f>
        <v>744</v>
      </c>
      <c r="Q155" s="72">
        <f>(Table15[[#This Row],[Profit]]/Table15[[#This Row],[Total_Sales]])</f>
        <v>0.35685912777556172</v>
      </c>
      <c r="R155" s="22"/>
      <c r="S155" s="22"/>
      <c r="T155" s="22"/>
      <c r="U155" s="22"/>
    </row>
    <row r="156" spans="1:21" x14ac:dyDescent="0.25">
      <c r="A156" s="7" t="s">
        <v>284</v>
      </c>
      <c r="B156" s="16">
        <v>45418</v>
      </c>
      <c r="C156" s="8" t="s">
        <v>34</v>
      </c>
      <c r="D156" s="8" t="str">
        <f>PROPER(TRIM(Sales_Data!D156))</f>
        <v>Brazil</v>
      </c>
      <c r="E156" s="8" t="s">
        <v>25</v>
      </c>
      <c r="F156" s="8" t="s">
        <v>18</v>
      </c>
      <c r="G156" s="91">
        <v>31</v>
      </c>
      <c r="H156" s="9">
        <v>30.53</v>
      </c>
      <c r="I156" s="87">
        <f>PRODUCT(Table15[[#This Row],[Quantity]],Table15[[#This Row],[Unit_Price]])</f>
        <v>946.43000000000006</v>
      </c>
      <c r="J156" s="9">
        <v>72.150000000000006</v>
      </c>
      <c r="K156" s="47">
        <v>316.27999999999997</v>
      </c>
      <c r="L156" s="8" t="s">
        <v>38</v>
      </c>
      <c r="M156" s="8" t="s">
        <v>27</v>
      </c>
      <c r="N156" s="8" t="s">
        <v>39</v>
      </c>
      <c r="O156" s="91">
        <f>VLOOKUP(E156,Product_Master!$B$2:$F$11,5,FALSE)</f>
        <v>18</v>
      </c>
      <c r="P156" s="91">
        <f>PRODUCT(Table15[[#This Row],[Quantity]],Table15[[#This Row],[Unit_Cost]])</f>
        <v>558</v>
      </c>
      <c r="Q156" s="72">
        <f>(Table15[[#This Row],[Profit]]/Table15[[#This Row],[Total_Sales]])</f>
        <v>0.33418213708356659</v>
      </c>
      <c r="R156" s="22"/>
      <c r="S156" s="22"/>
      <c r="T156" s="22"/>
      <c r="U156" s="22"/>
    </row>
    <row r="157" spans="1:21" x14ac:dyDescent="0.25">
      <c r="A157" s="7" t="s">
        <v>285</v>
      </c>
      <c r="B157" s="16">
        <v>45629</v>
      </c>
      <c r="C157" s="8" t="s">
        <v>286</v>
      </c>
      <c r="D157" s="8" t="str">
        <f>PROPER(TRIM(Sales_Data!D157))</f>
        <v>South Africa</v>
      </c>
      <c r="E157" s="8" t="s">
        <v>51</v>
      </c>
      <c r="F157" s="8" t="s">
        <v>52</v>
      </c>
      <c r="G157" s="91">
        <v>33</v>
      </c>
      <c r="H157" s="9">
        <v>31</v>
      </c>
      <c r="I157" s="87">
        <f>PRODUCT(Table15[[#This Row],[Quantity]],Table15[[#This Row],[Unit_Price]])</f>
        <v>1023</v>
      </c>
      <c r="J157" s="9">
        <v>63.94</v>
      </c>
      <c r="K157" s="47">
        <v>216.56</v>
      </c>
      <c r="L157" s="8" t="s">
        <v>26</v>
      </c>
      <c r="M157" s="8" t="s">
        <v>20</v>
      </c>
      <c r="N157" s="8" t="s">
        <v>87</v>
      </c>
      <c r="O157" s="91">
        <f>VLOOKUP(E157,Product_Master!$B$2:$F$11,5,FALSE)</f>
        <v>22.5</v>
      </c>
      <c r="P157" s="91">
        <f>PRODUCT(Table15[[#This Row],[Quantity]],Table15[[#This Row],[Unit_Cost]])</f>
        <v>742.5</v>
      </c>
      <c r="Q157" s="72">
        <f>(Table15[[#This Row],[Profit]]/Table15[[#This Row],[Total_Sales]])</f>
        <v>0.21169110459433041</v>
      </c>
      <c r="R157" s="22"/>
      <c r="S157" s="22"/>
      <c r="T157" s="22"/>
      <c r="U157" s="22"/>
    </row>
    <row r="158" spans="1:21" x14ac:dyDescent="0.25">
      <c r="A158" s="7" t="s">
        <v>287</v>
      </c>
      <c r="B158" s="16">
        <v>45582</v>
      </c>
      <c r="C158" s="8" t="s">
        <v>119</v>
      </c>
      <c r="D158" s="8" t="str">
        <f>PROPER(TRIM(Sales_Data!D158))</f>
        <v>Uk</v>
      </c>
      <c r="E158" s="8" t="s">
        <v>60</v>
      </c>
      <c r="F158" s="8" t="s">
        <v>52</v>
      </c>
      <c r="G158" s="91">
        <v>32</v>
      </c>
      <c r="H158" s="9">
        <v>20.86</v>
      </c>
      <c r="I158" s="87">
        <f>PRODUCT(Table15[[#This Row],[Quantity]],Table15[[#This Row],[Unit_Price]])</f>
        <v>667.52</v>
      </c>
      <c r="J158" s="9">
        <v>21.62</v>
      </c>
      <c r="K158" s="47">
        <v>149.9</v>
      </c>
      <c r="L158" s="8" t="s">
        <v>38</v>
      </c>
      <c r="M158" s="8" t="s">
        <v>32</v>
      </c>
      <c r="N158" s="8" t="s">
        <v>28</v>
      </c>
      <c r="O158" s="91">
        <f>VLOOKUP(E158,Product_Master!$B$2:$F$11,5,FALSE)</f>
        <v>15.5</v>
      </c>
      <c r="P158" s="91">
        <f>PRODUCT(Table15[[#This Row],[Quantity]],Table15[[#This Row],[Unit_Cost]])</f>
        <v>496</v>
      </c>
      <c r="Q158" s="72">
        <f>(Table15[[#This Row],[Profit]]/Table15[[#This Row],[Total_Sales]])</f>
        <v>0.22456255992329818</v>
      </c>
      <c r="R158" s="22"/>
      <c r="S158" s="22"/>
      <c r="T158" s="22"/>
      <c r="U158" s="22"/>
    </row>
    <row r="159" spans="1:21" x14ac:dyDescent="0.25">
      <c r="A159" s="7" t="s">
        <v>288</v>
      </c>
      <c r="B159" s="16">
        <v>45549</v>
      </c>
      <c r="C159" s="8" t="s">
        <v>139</v>
      </c>
      <c r="D159" s="8" t="str">
        <f>PROPER(TRIM(Sales_Data!D159))</f>
        <v>Germany</v>
      </c>
      <c r="E159" s="8" t="s">
        <v>48</v>
      </c>
      <c r="F159" s="8" t="s">
        <v>37</v>
      </c>
      <c r="G159" s="91">
        <v>18</v>
      </c>
      <c r="H159" s="9">
        <v>24.61</v>
      </c>
      <c r="I159" s="87">
        <f>PRODUCT(Table15[[#This Row],[Quantity]],Table15[[#This Row],[Unit_Price]])</f>
        <v>442.98</v>
      </c>
      <c r="J159" s="9">
        <v>26.99</v>
      </c>
      <c r="K159" s="47">
        <v>55.99</v>
      </c>
      <c r="L159" s="8" t="s">
        <v>38</v>
      </c>
      <c r="M159" s="8" t="s">
        <v>20</v>
      </c>
      <c r="N159" s="8" t="s">
        <v>28</v>
      </c>
      <c r="O159" s="91">
        <f>VLOOKUP(E159,Product_Master!$B$2:$F$11,5,FALSE)</f>
        <v>20</v>
      </c>
      <c r="P159" s="91">
        <f>PRODUCT(Table15[[#This Row],[Quantity]],Table15[[#This Row],[Unit_Cost]])</f>
        <v>360</v>
      </c>
      <c r="Q159" s="72">
        <f>(Table15[[#This Row],[Profit]]/Table15[[#This Row],[Total_Sales]])</f>
        <v>0.12639396812497178</v>
      </c>
      <c r="R159" s="22"/>
      <c r="S159" s="22"/>
      <c r="T159" s="22"/>
      <c r="U159" s="22"/>
    </row>
    <row r="160" spans="1:21" x14ac:dyDescent="0.25">
      <c r="A160" s="7" t="s">
        <v>289</v>
      </c>
      <c r="B160" s="16">
        <v>45580</v>
      </c>
      <c r="C160" s="8" t="s">
        <v>95</v>
      </c>
      <c r="D160" s="8" t="str">
        <f>PROPER(TRIM(Sales_Data!D160))</f>
        <v>Singapore</v>
      </c>
      <c r="E160" s="8" t="s">
        <v>43</v>
      </c>
      <c r="F160" s="8" t="s">
        <v>44</v>
      </c>
      <c r="G160" s="91">
        <v>18</v>
      </c>
      <c r="H160" s="9">
        <v>64.83</v>
      </c>
      <c r="I160" s="87">
        <f>PRODUCT(Table15[[#This Row],[Quantity]],Table15[[#This Row],[Unit_Price]])</f>
        <v>1166.94</v>
      </c>
      <c r="J160" s="9">
        <v>34.28</v>
      </c>
      <c r="K160" s="47">
        <v>412.66</v>
      </c>
      <c r="L160" s="8" t="s">
        <v>38</v>
      </c>
      <c r="M160" s="8" t="s">
        <v>20</v>
      </c>
      <c r="N160" s="8" t="s">
        <v>58</v>
      </c>
      <c r="O160" s="91">
        <f>VLOOKUP(E160,Product_Master!$B$2:$F$11,5,FALSE)</f>
        <v>40</v>
      </c>
      <c r="P160" s="91">
        <f>PRODUCT(Table15[[#This Row],[Quantity]],Table15[[#This Row],[Unit_Cost]])</f>
        <v>720</v>
      </c>
      <c r="Q160" s="72">
        <f>(Table15[[#This Row],[Profit]]/Table15[[#This Row],[Total_Sales]])</f>
        <v>0.35362572197370901</v>
      </c>
      <c r="R160" s="22"/>
      <c r="S160" s="22"/>
      <c r="T160" s="22"/>
      <c r="U160" s="22"/>
    </row>
    <row r="161" spans="1:21" x14ac:dyDescent="0.25">
      <c r="A161" s="7" t="s">
        <v>290</v>
      </c>
      <c r="B161" s="16">
        <v>45476</v>
      </c>
      <c r="C161" s="8" t="s">
        <v>291</v>
      </c>
      <c r="D161" s="8" t="str">
        <f>PROPER(TRIM(Sales_Data!D161))</f>
        <v>Mexico</v>
      </c>
      <c r="E161" s="8" t="s">
        <v>48</v>
      </c>
      <c r="F161" s="8" t="s">
        <v>37</v>
      </c>
      <c r="G161" s="91">
        <v>49</v>
      </c>
      <c r="H161" s="9">
        <v>29.52</v>
      </c>
      <c r="I161" s="87">
        <f>PRODUCT(Table15[[#This Row],[Quantity]],Table15[[#This Row],[Unit_Price]])</f>
        <v>1446.48</v>
      </c>
      <c r="J161" s="9">
        <v>104.7</v>
      </c>
      <c r="K161" s="47">
        <v>361.78</v>
      </c>
      <c r="L161" s="8" t="s">
        <v>38</v>
      </c>
      <c r="M161" s="8" t="s">
        <v>32</v>
      </c>
      <c r="N161" s="8" t="s">
        <v>21</v>
      </c>
      <c r="O161" s="91">
        <f>VLOOKUP(E161,Product_Master!$B$2:$F$11,5,FALSE)</f>
        <v>20</v>
      </c>
      <c r="P161" s="91">
        <f>PRODUCT(Table15[[#This Row],[Quantity]],Table15[[#This Row],[Unit_Cost]])</f>
        <v>980</v>
      </c>
      <c r="Q161" s="72">
        <f>(Table15[[#This Row],[Profit]]/Table15[[#This Row],[Total_Sales]])</f>
        <v>0.25011061335103146</v>
      </c>
      <c r="R161" s="22"/>
      <c r="S161" s="22"/>
      <c r="T161" s="22"/>
      <c r="U161" s="22"/>
    </row>
    <row r="162" spans="1:21" x14ac:dyDescent="0.25">
      <c r="A162" s="7" t="s">
        <v>292</v>
      </c>
      <c r="B162" s="16">
        <v>45474</v>
      </c>
      <c r="C162" s="8" t="s">
        <v>293</v>
      </c>
      <c r="D162" s="8" t="str">
        <f>PROPER(TRIM(Sales_Data!D162))</f>
        <v>South Africa</v>
      </c>
      <c r="E162" s="8" t="s">
        <v>48</v>
      </c>
      <c r="F162" s="8" t="s">
        <v>37</v>
      </c>
      <c r="G162" s="91">
        <v>10</v>
      </c>
      <c r="H162" s="9">
        <v>26.73</v>
      </c>
      <c r="I162" s="87">
        <f>PRODUCT(Table15[[#This Row],[Quantity]],Table15[[#This Row],[Unit_Price]])</f>
        <v>267.3</v>
      </c>
      <c r="J162" s="9">
        <v>10.210000000000001</v>
      </c>
      <c r="K162" s="47">
        <v>57.09</v>
      </c>
      <c r="L162" s="8" t="s">
        <v>38</v>
      </c>
      <c r="M162" s="8" t="s">
        <v>32</v>
      </c>
      <c r="N162" s="8" t="s">
        <v>87</v>
      </c>
      <c r="O162" s="91">
        <f>VLOOKUP(E162,Product_Master!$B$2:$F$11,5,FALSE)</f>
        <v>20</v>
      </c>
      <c r="P162" s="91">
        <f>PRODUCT(Table15[[#This Row],[Quantity]],Table15[[#This Row],[Unit_Cost]])</f>
        <v>200</v>
      </c>
      <c r="Q162" s="72">
        <f>(Table15[[#This Row],[Profit]]/Table15[[#This Row],[Total_Sales]])</f>
        <v>0.21358024691358024</v>
      </c>
      <c r="R162" s="22"/>
      <c r="S162" s="22"/>
      <c r="T162" s="22"/>
      <c r="U162" s="22"/>
    </row>
    <row r="163" spans="1:21" x14ac:dyDescent="0.25">
      <c r="A163" s="7" t="s">
        <v>294</v>
      </c>
      <c r="B163" s="16">
        <v>45323</v>
      </c>
      <c r="C163" s="8" t="s">
        <v>62</v>
      </c>
      <c r="D163" s="8" t="str">
        <f>PROPER(TRIM(Sales_Data!D163))</f>
        <v>Uk</v>
      </c>
      <c r="E163" s="8" t="s">
        <v>36</v>
      </c>
      <c r="F163" s="8" t="s">
        <v>37</v>
      </c>
      <c r="G163" s="91">
        <v>10</v>
      </c>
      <c r="H163" s="9">
        <v>54.45</v>
      </c>
      <c r="I163" s="87">
        <f>PRODUCT(Table15[[#This Row],[Quantity]],Table15[[#This Row],[Unit_Price]])</f>
        <v>544.5</v>
      </c>
      <c r="J163" s="9">
        <v>16.59</v>
      </c>
      <c r="K163" s="47">
        <v>207.91</v>
      </c>
      <c r="L163" s="8" t="s">
        <v>19</v>
      </c>
      <c r="M163" s="8" t="s">
        <v>20</v>
      </c>
      <c r="N163" s="8" t="s">
        <v>28</v>
      </c>
      <c r="O163" s="91">
        <f>VLOOKUP(E163,Product_Master!$B$2:$F$11,5,FALSE)</f>
        <v>32</v>
      </c>
      <c r="P163" s="91">
        <f>PRODUCT(Table15[[#This Row],[Quantity]],Table15[[#This Row],[Unit_Cost]])</f>
        <v>320</v>
      </c>
      <c r="Q163" s="72">
        <f>(Table15[[#This Row],[Profit]]/Table15[[#This Row],[Total_Sales]])</f>
        <v>0.38183654729109273</v>
      </c>
      <c r="R163" s="22"/>
      <c r="S163" s="22"/>
      <c r="T163" s="22"/>
      <c r="U163" s="22"/>
    </row>
    <row r="164" spans="1:21" x14ac:dyDescent="0.25">
      <c r="A164" s="7" t="s">
        <v>295</v>
      </c>
      <c r="B164" s="16">
        <v>45466</v>
      </c>
      <c r="C164" s="8" t="s">
        <v>62</v>
      </c>
      <c r="D164" s="8" t="str">
        <f>PROPER(TRIM(Sales_Data!D164))</f>
        <v>India</v>
      </c>
      <c r="E164" s="8" t="s">
        <v>25</v>
      </c>
      <c r="F164" s="8" t="s">
        <v>18</v>
      </c>
      <c r="G164" s="91">
        <v>46</v>
      </c>
      <c r="H164" s="9">
        <v>30.06</v>
      </c>
      <c r="I164" s="87">
        <f>PRODUCT(Table15[[#This Row],[Quantity]],Table15[[#This Row],[Unit_Price]])</f>
        <v>1382.76</v>
      </c>
      <c r="J164" s="9">
        <v>77.17</v>
      </c>
      <c r="K164" s="47">
        <v>477.59</v>
      </c>
      <c r="L164" s="8" t="s">
        <v>26</v>
      </c>
      <c r="M164" s="8" t="s">
        <v>27</v>
      </c>
      <c r="N164" s="8" t="s">
        <v>58</v>
      </c>
      <c r="O164" s="91">
        <f>VLOOKUP(E164,Product_Master!$B$2:$F$11,5,FALSE)</f>
        <v>18</v>
      </c>
      <c r="P164" s="91">
        <f>PRODUCT(Table15[[#This Row],[Quantity]],Table15[[#This Row],[Unit_Cost]])</f>
        <v>828</v>
      </c>
      <c r="Q164" s="72">
        <f>(Table15[[#This Row],[Profit]]/Table15[[#This Row],[Total_Sales]])</f>
        <v>0.34538893228036677</v>
      </c>
      <c r="R164" s="22"/>
      <c r="S164" s="22"/>
      <c r="T164" s="22"/>
      <c r="U164" s="22"/>
    </row>
    <row r="165" spans="1:21" x14ac:dyDescent="0.25">
      <c r="A165" s="7" t="s">
        <v>296</v>
      </c>
      <c r="B165" s="16">
        <v>45350</v>
      </c>
      <c r="C165" s="8" t="s">
        <v>297</v>
      </c>
      <c r="D165" s="8" t="str">
        <f>PROPER(TRIM(Sales_Data!D165))</f>
        <v>Mexico</v>
      </c>
      <c r="E165" s="8" t="s">
        <v>60</v>
      </c>
      <c r="F165" s="8" t="s">
        <v>52</v>
      </c>
      <c r="G165" s="91">
        <v>25</v>
      </c>
      <c r="H165" s="9">
        <v>21.52</v>
      </c>
      <c r="I165" s="87">
        <f>PRODUCT(Table15[[#This Row],[Quantity]],Table15[[#This Row],[Unit_Price]])</f>
        <v>538</v>
      </c>
      <c r="J165" s="9">
        <v>26.73</v>
      </c>
      <c r="K165" s="47">
        <v>123.77</v>
      </c>
      <c r="L165" s="8" t="s">
        <v>26</v>
      </c>
      <c r="M165" s="8" t="s">
        <v>20</v>
      </c>
      <c r="N165" s="8" t="s">
        <v>21</v>
      </c>
      <c r="O165" s="91">
        <f>VLOOKUP(E165,Product_Master!$B$2:$F$11,5,FALSE)</f>
        <v>15.5</v>
      </c>
      <c r="P165" s="91">
        <f>PRODUCT(Table15[[#This Row],[Quantity]],Table15[[#This Row],[Unit_Cost]])</f>
        <v>387.5</v>
      </c>
      <c r="Q165" s="72">
        <f>(Table15[[#This Row],[Profit]]/Table15[[#This Row],[Total_Sales]])</f>
        <v>0.23005576208178438</v>
      </c>
      <c r="R165" s="22"/>
      <c r="S165" s="22"/>
      <c r="T165" s="22"/>
      <c r="U165" s="22"/>
    </row>
    <row r="166" spans="1:21" x14ac:dyDescent="0.25">
      <c r="A166" s="7" t="s">
        <v>298</v>
      </c>
      <c r="B166" s="16">
        <v>45334</v>
      </c>
      <c r="C166" s="8" t="s">
        <v>211</v>
      </c>
      <c r="D166" s="8" t="str">
        <f>PROPER(TRIM(Sales_Data!D166))</f>
        <v>India</v>
      </c>
      <c r="E166" s="8" t="s">
        <v>25</v>
      </c>
      <c r="F166" s="8" t="s">
        <v>18</v>
      </c>
      <c r="G166" s="91">
        <v>5</v>
      </c>
      <c r="H166" s="9">
        <v>26.25</v>
      </c>
      <c r="I166" s="87">
        <f>PRODUCT(Table15[[#This Row],[Quantity]],Table15[[#This Row],[Unit_Price]])</f>
        <v>131.25</v>
      </c>
      <c r="J166" s="9">
        <v>3.35</v>
      </c>
      <c r="K166" s="47">
        <v>37.9</v>
      </c>
      <c r="L166" s="8" t="s">
        <v>26</v>
      </c>
      <c r="M166" s="8" t="s">
        <v>27</v>
      </c>
      <c r="N166" s="8" t="s">
        <v>58</v>
      </c>
      <c r="O166" s="91">
        <f>VLOOKUP(E166,Product_Master!$B$2:$F$11,5,FALSE)</f>
        <v>18</v>
      </c>
      <c r="P166" s="91">
        <f>PRODUCT(Table15[[#This Row],[Quantity]],Table15[[#This Row],[Unit_Cost]])</f>
        <v>90</v>
      </c>
      <c r="Q166" s="72">
        <f>(Table15[[#This Row],[Profit]]/Table15[[#This Row],[Total_Sales]])</f>
        <v>0.28876190476190478</v>
      </c>
      <c r="R166" s="22"/>
      <c r="S166" s="22"/>
      <c r="T166" s="22"/>
      <c r="U166" s="22"/>
    </row>
    <row r="167" spans="1:21" x14ac:dyDescent="0.25">
      <c r="A167" s="7" t="s">
        <v>299</v>
      </c>
      <c r="B167" s="16">
        <v>45450</v>
      </c>
      <c r="C167" s="8" t="s">
        <v>300</v>
      </c>
      <c r="D167" s="8" t="str">
        <f>PROPER(TRIM(Sales_Data!D167))</f>
        <v>Uk</v>
      </c>
      <c r="E167" s="8" t="s">
        <v>56</v>
      </c>
      <c r="F167" s="8" t="s">
        <v>57</v>
      </c>
      <c r="G167" s="91">
        <v>10</v>
      </c>
      <c r="H167" s="9">
        <v>31.48</v>
      </c>
      <c r="I167" s="87">
        <f>PRODUCT(Table15[[#This Row],[Quantity]],Table15[[#This Row],[Unit_Price]])</f>
        <v>314.8</v>
      </c>
      <c r="J167" s="9">
        <v>10.23</v>
      </c>
      <c r="K167" s="47">
        <v>54.57</v>
      </c>
      <c r="L167" s="8" t="s">
        <v>38</v>
      </c>
      <c r="M167" s="8" t="s">
        <v>32</v>
      </c>
      <c r="N167" s="8" t="s">
        <v>28</v>
      </c>
      <c r="O167" s="91">
        <f>VLOOKUP(E167,Product_Master!$B$2:$F$11,5,FALSE)</f>
        <v>25</v>
      </c>
      <c r="P167" s="91">
        <f>PRODUCT(Table15[[#This Row],[Quantity]],Table15[[#This Row],[Unit_Cost]])</f>
        <v>250</v>
      </c>
      <c r="Q167" s="72">
        <f>(Table15[[#This Row],[Profit]]/Table15[[#This Row],[Total_Sales]])</f>
        <v>0.17334815756035576</v>
      </c>
      <c r="R167" s="22"/>
      <c r="S167" s="22"/>
      <c r="T167" s="22"/>
      <c r="U167" s="22"/>
    </row>
    <row r="168" spans="1:21" x14ac:dyDescent="0.25">
      <c r="A168" s="7" t="s">
        <v>301</v>
      </c>
      <c r="B168" s="16">
        <v>45525</v>
      </c>
      <c r="C168" s="8" t="s">
        <v>110</v>
      </c>
      <c r="D168" s="8" t="str">
        <f>PROPER(TRIM(Sales_Data!D168))</f>
        <v>Brazil</v>
      </c>
      <c r="E168" s="8" t="s">
        <v>48</v>
      </c>
      <c r="F168" s="8" t="s">
        <v>37</v>
      </c>
      <c r="G168" s="91">
        <v>21</v>
      </c>
      <c r="H168" s="9">
        <v>30.91</v>
      </c>
      <c r="I168" s="87">
        <f>PRODUCT(Table15[[#This Row],[Quantity]],Table15[[#This Row],[Unit_Price]])</f>
        <v>649.11</v>
      </c>
      <c r="J168" s="9">
        <v>38.42</v>
      </c>
      <c r="K168" s="47">
        <v>190.69</v>
      </c>
      <c r="L168" s="8" t="s">
        <v>26</v>
      </c>
      <c r="M168" s="8" t="s">
        <v>32</v>
      </c>
      <c r="N168" s="8" t="s">
        <v>39</v>
      </c>
      <c r="O168" s="91">
        <f>VLOOKUP(E168,Product_Master!$B$2:$F$11,5,FALSE)</f>
        <v>20</v>
      </c>
      <c r="P168" s="91">
        <f>PRODUCT(Table15[[#This Row],[Quantity]],Table15[[#This Row],[Unit_Cost]])</f>
        <v>420</v>
      </c>
      <c r="Q168" s="72">
        <f>(Table15[[#This Row],[Profit]]/Table15[[#This Row],[Total_Sales]])</f>
        <v>0.29377147170741474</v>
      </c>
      <c r="R168" s="22"/>
      <c r="S168" s="22"/>
      <c r="T168" s="22"/>
      <c r="U168" s="22"/>
    </row>
    <row r="169" spans="1:21" x14ac:dyDescent="0.25">
      <c r="A169" s="7" t="s">
        <v>302</v>
      </c>
      <c r="B169" s="16">
        <v>45788</v>
      </c>
      <c r="C169" s="8" t="s">
        <v>303</v>
      </c>
      <c r="D169" s="8" t="str">
        <f>PROPER(TRIM(Sales_Data!D169))</f>
        <v>Singapore</v>
      </c>
      <c r="E169" s="8" t="s">
        <v>63</v>
      </c>
      <c r="F169" s="8" t="s">
        <v>37</v>
      </c>
      <c r="G169" s="91">
        <v>29</v>
      </c>
      <c r="H169" s="9">
        <v>18.47</v>
      </c>
      <c r="I169" s="87">
        <f>PRODUCT(Table15[[#This Row],[Quantity]],Table15[[#This Row],[Unit_Price]])</f>
        <v>535.63</v>
      </c>
      <c r="J169" s="9">
        <v>13.21</v>
      </c>
      <c r="K169" s="47">
        <v>152.66999999999999</v>
      </c>
      <c r="L169" s="8" t="s">
        <v>19</v>
      </c>
      <c r="M169" s="8" t="s">
        <v>20</v>
      </c>
      <c r="N169" s="8" t="s">
        <v>58</v>
      </c>
      <c r="O169" s="91">
        <f>VLOOKUP(E169,Product_Master!$B$2:$F$11,5,FALSE)</f>
        <v>12.75</v>
      </c>
      <c r="P169" s="91">
        <f>PRODUCT(Table15[[#This Row],[Quantity]],Table15[[#This Row],[Unit_Cost]])</f>
        <v>369.75</v>
      </c>
      <c r="Q169" s="72">
        <f>(Table15[[#This Row],[Profit]]/Table15[[#This Row],[Total_Sales]])</f>
        <v>0.28502884453820732</v>
      </c>
      <c r="R169" s="22"/>
      <c r="S169" s="22"/>
      <c r="T169" s="22"/>
      <c r="U169" s="22"/>
    </row>
    <row r="170" spans="1:21" x14ac:dyDescent="0.25">
      <c r="A170" s="7" t="s">
        <v>304</v>
      </c>
      <c r="B170" s="16">
        <v>45616</v>
      </c>
      <c r="C170" s="8" t="s">
        <v>115</v>
      </c>
      <c r="D170" s="8" t="str">
        <f>PROPER(TRIM(Sales_Data!D170))</f>
        <v>Mexico</v>
      </c>
      <c r="E170" s="8" t="s">
        <v>17</v>
      </c>
      <c r="F170" s="8" t="s">
        <v>18</v>
      </c>
      <c r="G170" s="91">
        <v>36</v>
      </c>
      <c r="H170" s="9">
        <v>44.79</v>
      </c>
      <c r="I170" s="87">
        <f>PRODUCT(Table15[[#This Row],[Quantity]],Table15[[#This Row],[Unit_Price]])</f>
        <v>1612.44</v>
      </c>
      <c r="J170" s="9">
        <v>68.599999999999994</v>
      </c>
      <c r="K170" s="47">
        <v>283.83999999999997</v>
      </c>
      <c r="L170" s="8" t="s">
        <v>38</v>
      </c>
      <c r="M170" s="8" t="s">
        <v>27</v>
      </c>
      <c r="N170" s="8" t="s">
        <v>21</v>
      </c>
      <c r="O170" s="91">
        <f>VLOOKUP(E170,Product_Master!$B$2:$F$11,5,FALSE)</f>
        <v>35</v>
      </c>
      <c r="P170" s="91">
        <f>PRODUCT(Table15[[#This Row],[Quantity]],Table15[[#This Row],[Unit_Cost]])</f>
        <v>1260</v>
      </c>
      <c r="Q170" s="72">
        <f>(Table15[[#This Row],[Profit]]/Table15[[#This Row],[Total_Sales]])</f>
        <v>0.1760313562055022</v>
      </c>
      <c r="R170" s="22"/>
      <c r="S170" s="22"/>
      <c r="T170" s="22"/>
      <c r="U170" s="22"/>
    </row>
    <row r="171" spans="1:21" x14ac:dyDescent="0.25">
      <c r="A171" s="7" t="s">
        <v>305</v>
      </c>
      <c r="B171" s="16">
        <v>45405</v>
      </c>
      <c r="C171" s="8" t="s">
        <v>306</v>
      </c>
      <c r="D171" s="8" t="str">
        <f>PROPER(TRIM(Sales_Data!D171))</f>
        <v>Brazil</v>
      </c>
      <c r="E171" s="8" t="s">
        <v>60</v>
      </c>
      <c r="F171" s="8" t="s">
        <v>52</v>
      </c>
      <c r="G171" s="91">
        <v>3</v>
      </c>
      <c r="H171" s="9">
        <v>18.86</v>
      </c>
      <c r="I171" s="87">
        <f>PRODUCT(Table15[[#This Row],[Quantity]],Table15[[#This Row],[Unit_Price]])</f>
        <v>56.58</v>
      </c>
      <c r="J171" s="9">
        <v>2.61</v>
      </c>
      <c r="K171" s="47">
        <v>7.47</v>
      </c>
      <c r="L171" s="8" t="s">
        <v>26</v>
      </c>
      <c r="M171" s="8" t="s">
        <v>32</v>
      </c>
      <c r="N171" s="8" t="s">
        <v>39</v>
      </c>
      <c r="O171" s="91">
        <f>VLOOKUP(E171,Product_Master!$B$2:$F$11,5,FALSE)</f>
        <v>15.5</v>
      </c>
      <c r="P171" s="91">
        <f>PRODUCT(Table15[[#This Row],[Quantity]],Table15[[#This Row],[Unit_Cost]])</f>
        <v>46.5</v>
      </c>
      <c r="Q171" s="72">
        <f>(Table15[[#This Row],[Profit]]/Table15[[#This Row],[Total_Sales]])</f>
        <v>0.1320254506892895</v>
      </c>
      <c r="R171" s="22"/>
      <c r="S171" s="22"/>
      <c r="T171" s="22"/>
      <c r="U171" s="22"/>
    </row>
    <row r="172" spans="1:21" x14ac:dyDescent="0.25">
      <c r="A172" s="7" t="s">
        <v>307</v>
      </c>
      <c r="B172" s="16">
        <v>45597</v>
      </c>
      <c r="C172" s="8" t="s">
        <v>50</v>
      </c>
      <c r="D172" s="8" t="str">
        <f>PROPER(TRIM(Sales_Data!D172))</f>
        <v>China</v>
      </c>
      <c r="E172" s="8" t="s">
        <v>83</v>
      </c>
      <c r="F172" s="8" t="s">
        <v>52</v>
      </c>
      <c r="G172" s="91">
        <v>10</v>
      </c>
      <c r="H172" s="9">
        <v>45.86</v>
      </c>
      <c r="I172" s="87">
        <f>PRODUCT(Table15[[#This Row],[Quantity]],Table15[[#This Row],[Unit_Price]])</f>
        <v>458.6</v>
      </c>
      <c r="J172" s="9">
        <v>14.4</v>
      </c>
      <c r="K172" s="47">
        <v>164.2</v>
      </c>
      <c r="L172" s="8" t="s">
        <v>38</v>
      </c>
      <c r="M172" s="8" t="s">
        <v>20</v>
      </c>
      <c r="N172" s="8" t="s">
        <v>58</v>
      </c>
      <c r="O172" s="91">
        <f>VLOOKUP(E172,Product_Master!$B$2:$F$11,5,FALSE)</f>
        <v>28</v>
      </c>
      <c r="P172" s="91">
        <f>PRODUCT(Table15[[#This Row],[Quantity]],Table15[[#This Row],[Unit_Cost]])</f>
        <v>280</v>
      </c>
      <c r="Q172" s="72">
        <f>(Table15[[#This Row],[Profit]]/Table15[[#This Row],[Total_Sales]])</f>
        <v>0.35804622764936761</v>
      </c>
      <c r="R172" s="22"/>
      <c r="S172" s="22"/>
      <c r="T172" s="22"/>
      <c r="U172" s="22"/>
    </row>
    <row r="173" spans="1:21" x14ac:dyDescent="0.25">
      <c r="A173" s="7" t="s">
        <v>308</v>
      </c>
      <c r="B173" s="16">
        <v>45335</v>
      </c>
      <c r="C173" s="8" t="s">
        <v>306</v>
      </c>
      <c r="D173" s="8" t="str">
        <f>PROPER(TRIM(Sales_Data!D173))</f>
        <v>Italy</v>
      </c>
      <c r="E173" s="8" t="s">
        <v>25</v>
      </c>
      <c r="F173" s="8" t="s">
        <v>18</v>
      </c>
      <c r="G173" s="91">
        <v>1</v>
      </c>
      <c r="H173" s="9">
        <v>24.64</v>
      </c>
      <c r="I173" s="87">
        <f>PRODUCT(Table15[[#This Row],[Quantity]],Table15[[#This Row],[Unit_Price]])</f>
        <v>24.64</v>
      </c>
      <c r="J173" s="9">
        <v>0.65</v>
      </c>
      <c r="K173" s="47">
        <v>5.99</v>
      </c>
      <c r="L173" s="8" t="s">
        <v>38</v>
      </c>
      <c r="M173" s="8" t="s">
        <v>27</v>
      </c>
      <c r="N173" s="8" t="s">
        <v>28</v>
      </c>
      <c r="O173" s="91">
        <f>VLOOKUP(E173,Product_Master!$B$2:$F$11,5,FALSE)</f>
        <v>18</v>
      </c>
      <c r="P173" s="91">
        <f>PRODUCT(Table15[[#This Row],[Quantity]],Table15[[#This Row],[Unit_Cost]])</f>
        <v>18</v>
      </c>
      <c r="Q173" s="72">
        <f>(Table15[[#This Row],[Profit]]/Table15[[#This Row],[Total_Sales]])</f>
        <v>0.24310064935064934</v>
      </c>
      <c r="R173" s="22"/>
      <c r="S173" s="22"/>
      <c r="T173" s="22"/>
      <c r="U173" s="22"/>
    </row>
    <row r="174" spans="1:21" x14ac:dyDescent="0.25">
      <c r="A174" s="7" t="s">
        <v>309</v>
      </c>
      <c r="B174" s="16">
        <v>45503</v>
      </c>
      <c r="C174" s="8" t="s">
        <v>154</v>
      </c>
      <c r="D174" s="8" t="str">
        <f>PROPER(TRIM(Sales_Data!D174))</f>
        <v>Italy</v>
      </c>
      <c r="E174" s="8" t="s">
        <v>60</v>
      </c>
      <c r="F174" s="8" t="s">
        <v>52</v>
      </c>
      <c r="G174" s="91">
        <v>49</v>
      </c>
      <c r="H174" s="9">
        <v>22.8</v>
      </c>
      <c r="I174" s="87">
        <f>PRODUCT(Table15[[#This Row],[Quantity]],Table15[[#This Row],[Unit_Price]])</f>
        <v>1117.2</v>
      </c>
      <c r="J174" s="9">
        <v>51.06</v>
      </c>
      <c r="K174" s="47">
        <v>306.64</v>
      </c>
      <c r="L174" s="8" t="s">
        <v>19</v>
      </c>
      <c r="M174" s="8" t="s">
        <v>27</v>
      </c>
      <c r="N174" s="8" t="s">
        <v>28</v>
      </c>
      <c r="O174" s="91">
        <f>VLOOKUP(E174,Product_Master!$B$2:$F$11,5,FALSE)</f>
        <v>15.5</v>
      </c>
      <c r="P174" s="91">
        <f>PRODUCT(Table15[[#This Row],[Quantity]],Table15[[#This Row],[Unit_Cost]])</f>
        <v>759.5</v>
      </c>
      <c r="Q174" s="72">
        <f>(Table15[[#This Row],[Profit]]/Table15[[#This Row],[Total_Sales]])</f>
        <v>0.27447189402076616</v>
      </c>
      <c r="R174" s="22"/>
      <c r="S174" s="22"/>
      <c r="T174" s="22"/>
      <c r="U174" s="22"/>
    </row>
    <row r="175" spans="1:21" x14ac:dyDescent="0.25">
      <c r="A175" s="7" t="s">
        <v>310</v>
      </c>
      <c r="B175" s="16">
        <v>45596</v>
      </c>
      <c r="C175" s="8" t="s">
        <v>193</v>
      </c>
      <c r="D175" s="8" t="str">
        <f>PROPER(TRIM(Sales_Data!D175))</f>
        <v>Mexico</v>
      </c>
      <c r="E175" s="8" t="s">
        <v>17</v>
      </c>
      <c r="F175" s="8" t="s">
        <v>18</v>
      </c>
      <c r="G175" s="91">
        <v>32</v>
      </c>
      <c r="H175" s="9">
        <v>44.5</v>
      </c>
      <c r="I175" s="87">
        <f>PRODUCT(Table15[[#This Row],[Quantity]],Table15[[#This Row],[Unit_Price]])</f>
        <v>1424</v>
      </c>
      <c r="J175" s="9">
        <v>43.92</v>
      </c>
      <c r="K175" s="47">
        <v>260.08</v>
      </c>
      <c r="L175" s="8" t="s">
        <v>38</v>
      </c>
      <c r="M175" s="8" t="s">
        <v>27</v>
      </c>
      <c r="N175" s="8" t="s">
        <v>21</v>
      </c>
      <c r="O175" s="91">
        <f>VLOOKUP(E175,Product_Master!$B$2:$F$11,5,FALSE)</f>
        <v>35</v>
      </c>
      <c r="P175" s="91">
        <f>PRODUCT(Table15[[#This Row],[Quantity]],Table15[[#This Row],[Unit_Cost]])</f>
        <v>1120</v>
      </c>
      <c r="Q175" s="72">
        <f>(Table15[[#This Row],[Profit]]/Table15[[#This Row],[Total_Sales]])</f>
        <v>0.18264044943820223</v>
      </c>
      <c r="R175" s="22"/>
      <c r="S175" s="22"/>
      <c r="T175" s="22"/>
      <c r="U175" s="22"/>
    </row>
    <row r="176" spans="1:21" x14ac:dyDescent="0.25">
      <c r="A176" s="7" t="s">
        <v>311</v>
      </c>
      <c r="B176" s="16">
        <v>45530</v>
      </c>
      <c r="C176" s="8" t="s">
        <v>209</v>
      </c>
      <c r="D176" s="8" t="str">
        <f>PROPER(TRIM(Sales_Data!D176))</f>
        <v>Brazil</v>
      </c>
      <c r="E176" s="8" t="s">
        <v>17</v>
      </c>
      <c r="F176" s="8" t="s">
        <v>18</v>
      </c>
      <c r="G176" s="91">
        <v>43</v>
      </c>
      <c r="H176" s="9">
        <v>55.74</v>
      </c>
      <c r="I176" s="87">
        <f>PRODUCT(Table15[[#This Row],[Quantity]],Table15[[#This Row],[Unit_Price]])</f>
        <v>2396.8200000000002</v>
      </c>
      <c r="J176" s="9">
        <v>63.85</v>
      </c>
      <c r="K176" s="47">
        <v>827.97</v>
      </c>
      <c r="L176" s="8" t="s">
        <v>26</v>
      </c>
      <c r="M176" s="8" t="s">
        <v>32</v>
      </c>
      <c r="N176" s="8" t="s">
        <v>39</v>
      </c>
      <c r="O176" s="91">
        <f>VLOOKUP(E176,Product_Master!$B$2:$F$11,5,FALSE)</f>
        <v>35</v>
      </c>
      <c r="P176" s="91">
        <f>PRODUCT(Table15[[#This Row],[Quantity]],Table15[[#This Row],[Unit_Cost]])</f>
        <v>1505</v>
      </c>
      <c r="Q176" s="72">
        <f>(Table15[[#This Row],[Profit]]/Table15[[#This Row],[Total_Sales]])</f>
        <v>0.34544521490975544</v>
      </c>
      <c r="R176" s="22"/>
      <c r="S176" s="22"/>
      <c r="T176" s="22"/>
      <c r="U176" s="22"/>
    </row>
    <row r="177" spans="1:21" x14ac:dyDescent="0.25">
      <c r="A177" s="7" t="s">
        <v>312</v>
      </c>
      <c r="B177" s="16">
        <v>45592</v>
      </c>
      <c r="C177" s="8" t="s">
        <v>105</v>
      </c>
      <c r="D177" s="8" t="str">
        <f>PROPER(TRIM(Sales_Data!D177))</f>
        <v>Singapore</v>
      </c>
      <c r="E177" s="8" t="s">
        <v>60</v>
      </c>
      <c r="F177" s="8" t="s">
        <v>52</v>
      </c>
      <c r="G177" s="91">
        <v>19</v>
      </c>
      <c r="H177" s="9">
        <v>25.78</v>
      </c>
      <c r="I177" s="87">
        <f>PRODUCT(Table15[[#This Row],[Quantity]],Table15[[#This Row],[Unit_Price]])</f>
        <v>489.82000000000005</v>
      </c>
      <c r="J177" s="9">
        <v>28.4</v>
      </c>
      <c r="K177" s="47">
        <v>166.92</v>
      </c>
      <c r="L177" s="8" t="s">
        <v>38</v>
      </c>
      <c r="M177" s="8" t="s">
        <v>27</v>
      </c>
      <c r="N177" s="8" t="s">
        <v>58</v>
      </c>
      <c r="O177" s="91">
        <f>VLOOKUP(E177,Product_Master!$B$2:$F$11,5,FALSE)</f>
        <v>15.5</v>
      </c>
      <c r="P177" s="91">
        <f>PRODUCT(Table15[[#This Row],[Quantity]],Table15[[#This Row],[Unit_Cost]])</f>
        <v>294.5</v>
      </c>
      <c r="Q177" s="72">
        <f>(Table15[[#This Row],[Profit]]/Table15[[#This Row],[Total_Sales]])</f>
        <v>0.34077824506961735</v>
      </c>
      <c r="R177" s="22"/>
      <c r="S177" s="22"/>
      <c r="T177" s="22"/>
      <c r="U177" s="22"/>
    </row>
    <row r="178" spans="1:21" x14ac:dyDescent="0.25">
      <c r="A178" s="7" t="s">
        <v>313</v>
      </c>
      <c r="B178" s="16">
        <v>45348</v>
      </c>
      <c r="C178" s="8" t="s">
        <v>246</v>
      </c>
      <c r="D178" s="8" t="str">
        <f>PROPER(TRIM(Sales_Data!D178))</f>
        <v>Mexico</v>
      </c>
      <c r="E178" s="8" t="s">
        <v>25</v>
      </c>
      <c r="F178" s="8" t="s">
        <v>18</v>
      </c>
      <c r="G178" s="91">
        <v>43</v>
      </c>
      <c r="H178" s="9">
        <v>30.43</v>
      </c>
      <c r="I178" s="87">
        <f>PRODUCT(Table15[[#This Row],[Quantity]],Table15[[#This Row],[Unit_Price]])</f>
        <v>1308.49</v>
      </c>
      <c r="J178" s="9">
        <v>35.340000000000003</v>
      </c>
      <c r="K178" s="47">
        <v>499.15</v>
      </c>
      <c r="L178" s="8" t="s">
        <v>26</v>
      </c>
      <c r="M178" s="8" t="s">
        <v>27</v>
      </c>
      <c r="N178" s="8" t="s">
        <v>21</v>
      </c>
      <c r="O178" s="91">
        <f>VLOOKUP(E178,Product_Master!$B$2:$F$11,5,FALSE)</f>
        <v>18</v>
      </c>
      <c r="P178" s="91">
        <f>PRODUCT(Table15[[#This Row],[Quantity]],Table15[[#This Row],[Unit_Cost]])</f>
        <v>774</v>
      </c>
      <c r="Q178" s="72">
        <f>(Table15[[#This Row],[Profit]]/Table15[[#This Row],[Total_Sales]])</f>
        <v>0.38147024432743082</v>
      </c>
      <c r="R178" s="22"/>
      <c r="S178" s="22"/>
      <c r="T178" s="22"/>
      <c r="U178" s="22"/>
    </row>
    <row r="179" spans="1:21" x14ac:dyDescent="0.25">
      <c r="A179" s="7" t="s">
        <v>314</v>
      </c>
      <c r="B179" s="16">
        <v>45629</v>
      </c>
      <c r="C179" s="8" t="s">
        <v>315</v>
      </c>
      <c r="D179" s="8" t="str">
        <f>PROPER(TRIM(Sales_Data!D179))</f>
        <v>France</v>
      </c>
      <c r="E179" s="8" t="s">
        <v>60</v>
      </c>
      <c r="F179" s="8" t="s">
        <v>52</v>
      </c>
      <c r="G179" s="91">
        <v>17</v>
      </c>
      <c r="H179" s="9">
        <v>18.71</v>
      </c>
      <c r="I179" s="87">
        <f>PRODUCT(Table15[[#This Row],[Quantity]],Table15[[#This Row],[Unit_Price]])</f>
        <v>318.07</v>
      </c>
      <c r="J179" s="9">
        <v>22.03</v>
      </c>
      <c r="K179" s="47">
        <v>32.54</v>
      </c>
      <c r="L179" s="8" t="s">
        <v>38</v>
      </c>
      <c r="M179" s="8" t="s">
        <v>20</v>
      </c>
      <c r="N179" s="8" t="s">
        <v>28</v>
      </c>
      <c r="O179" s="91">
        <f>VLOOKUP(E179,Product_Master!$B$2:$F$11,5,FALSE)</f>
        <v>15.5</v>
      </c>
      <c r="P179" s="91">
        <f>PRODUCT(Table15[[#This Row],[Quantity]],Table15[[#This Row],[Unit_Cost]])</f>
        <v>263.5</v>
      </c>
      <c r="Q179" s="72">
        <f>(Table15[[#This Row],[Profit]]/Table15[[#This Row],[Total_Sales]])</f>
        <v>0.10230452416134814</v>
      </c>
      <c r="R179" s="22"/>
      <c r="S179" s="22"/>
      <c r="T179" s="22"/>
      <c r="U179" s="22"/>
    </row>
    <row r="180" spans="1:21" x14ac:dyDescent="0.25">
      <c r="A180" s="7" t="s">
        <v>316</v>
      </c>
      <c r="B180" s="16">
        <v>45362</v>
      </c>
      <c r="C180" s="8" t="s">
        <v>41</v>
      </c>
      <c r="D180" s="8" t="str">
        <f>PROPER(TRIM(Sales_Data!D180))</f>
        <v>China</v>
      </c>
      <c r="E180" s="8" t="s">
        <v>60</v>
      </c>
      <c r="F180" s="8" t="s">
        <v>52</v>
      </c>
      <c r="G180" s="91">
        <v>44</v>
      </c>
      <c r="H180" s="9">
        <v>23.87</v>
      </c>
      <c r="I180" s="87">
        <f>PRODUCT(Table15[[#This Row],[Quantity]],Table15[[#This Row],[Unit_Price]])</f>
        <v>1050.28</v>
      </c>
      <c r="J180" s="9">
        <v>33.51</v>
      </c>
      <c r="K180" s="47">
        <v>334.77</v>
      </c>
      <c r="L180" s="8" t="s">
        <v>19</v>
      </c>
      <c r="M180" s="8" t="s">
        <v>27</v>
      </c>
      <c r="N180" s="8" t="s">
        <v>58</v>
      </c>
      <c r="O180" s="91">
        <f>VLOOKUP(E180,Product_Master!$B$2:$F$11,5,FALSE)</f>
        <v>15.5</v>
      </c>
      <c r="P180" s="91">
        <f>PRODUCT(Table15[[#This Row],[Quantity]],Table15[[#This Row],[Unit_Cost]])</f>
        <v>682</v>
      </c>
      <c r="Q180" s="72">
        <f>(Table15[[#This Row],[Profit]]/Table15[[#This Row],[Total_Sales]])</f>
        <v>0.31874357314240009</v>
      </c>
      <c r="R180" s="22"/>
      <c r="S180" s="22"/>
      <c r="T180" s="22"/>
      <c r="U180" s="22"/>
    </row>
    <row r="181" spans="1:21" x14ac:dyDescent="0.25">
      <c r="A181" s="7" t="s">
        <v>317</v>
      </c>
      <c r="B181" s="16">
        <v>45542</v>
      </c>
      <c r="C181" s="8" t="s">
        <v>121</v>
      </c>
      <c r="D181" s="8" t="str">
        <f>PROPER(TRIM(Sales_Data!D181))</f>
        <v>Australia</v>
      </c>
      <c r="E181" s="8" t="s">
        <v>36</v>
      </c>
      <c r="F181" s="8" t="s">
        <v>37</v>
      </c>
      <c r="G181" s="91">
        <v>12</v>
      </c>
      <c r="H181" s="9">
        <v>42.91</v>
      </c>
      <c r="I181" s="87">
        <f>PRODUCT(Table15[[#This Row],[Quantity]],Table15[[#This Row],[Unit_Price]])</f>
        <v>514.91999999999996</v>
      </c>
      <c r="J181" s="9">
        <v>15.18</v>
      </c>
      <c r="K181" s="47">
        <v>115.74</v>
      </c>
      <c r="L181" s="8" t="s">
        <v>38</v>
      </c>
      <c r="M181" s="8" t="s">
        <v>32</v>
      </c>
      <c r="N181" s="8" t="s">
        <v>130</v>
      </c>
      <c r="O181" s="91">
        <f>VLOOKUP(E181,Product_Master!$B$2:$F$11,5,FALSE)</f>
        <v>32</v>
      </c>
      <c r="P181" s="91">
        <f>PRODUCT(Table15[[#This Row],[Quantity]],Table15[[#This Row],[Unit_Cost]])</f>
        <v>384</v>
      </c>
      <c r="Q181" s="72">
        <f>(Table15[[#This Row],[Profit]]/Table15[[#This Row],[Total_Sales]])</f>
        <v>0.22477278023770683</v>
      </c>
      <c r="R181" s="22"/>
      <c r="S181" s="22"/>
      <c r="T181" s="22"/>
      <c r="U181" s="22"/>
    </row>
    <row r="182" spans="1:21" x14ac:dyDescent="0.25">
      <c r="A182" s="7" t="s">
        <v>318</v>
      </c>
      <c r="B182" s="16">
        <v>45617</v>
      </c>
      <c r="C182" s="8" t="s">
        <v>319</v>
      </c>
      <c r="D182" s="8" t="str">
        <f>PROPER(TRIM(Sales_Data!D182))</f>
        <v>India</v>
      </c>
      <c r="E182" s="8" t="s">
        <v>43</v>
      </c>
      <c r="F182" s="8" t="s">
        <v>44</v>
      </c>
      <c r="G182" s="91">
        <v>21</v>
      </c>
      <c r="H182" s="9">
        <v>50.49</v>
      </c>
      <c r="I182" s="87">
        <f>PRODUCT(Table15[[#This Row],[Quantity]],Table15[[#This Row],[Unit_Price]])</f>
        <v>1060.29</v>
      </c>
      <c r="J182" s="9">
        <v>32.340000000000003</v>
      </c>
      <c r="K182" s="47">
        <v>187.95</v>
      </c>
      <c r="L182" s="8" t="s">
        <v>38</v>
      </c>
      <c r="M182" s="8" t="s">
        <v>20</v>
      </c>
      <c r="N182" s="8" t="s">
        <v>58</v>
      </c>
      <c r="O182" s="91">
        <f>VLOOKUP(E182,Product_Master!$B$2:$F$11,5,FALSE)</f>
        <v>40</v>
      </c>
      <c r="P182" s="91">
        <f>PRODUCT(Table15[[#This Row],[Quantity]],Table15[[#This Row],[Unit_Cost]])</f>
        <v>840</v>
      </c>
      <c r="Q182" s="72">
        <f>(Table15[[#This Row],[Profit]]/Table15[[#This Row],[Total_Sales]])</f>
        <v>0.17726282432164783</v>
      </c>
      <c r="R182" s="22"/>
      <c r="S182" s="22"/>
      <c r="T182" s="22"/>
      <c r="U182" s="22"/>
    </row>
    <row r="183" spans="1:21" x14ac:dyDescent="0.25">
      <c r="A183" s="7" t="s">
        <v>320</v>
      </c>
      <c r="B183" s="16">
        <v>45629</v>
      </c>
      <c r="C183" s="8" t="s">
        <v>193</v>
      </c>
      <c r="D183" s="8" t="str">
        <f>PROPER(TRIM(Sales_Data!D183))</f>
        <v>Italy</v>
      </c>
      <c r="E183" s="8" t="s">
        <v>17</v>
      </c>
      <c r="F183" s="8" t="s">
        <v>18</v>
      </c>
      <c r="G183" s="91">
        <v>41</v>
      </c>
      <c r="H183" s="9">
        <v>43.18</v>
      </c>
      <c r="I183" s="87">
        <f>PRODUCT(Table15[[#This Row],[Quantity]],Table15[[#This Row],[Unit_Price]])</f>
        <v>1770.3799999999999</v>
      </c>
      <c r="J183" s="9">
        <v>128.4</v>
      </c>
      <c r="K183" s="47">
        <v>206.98</v>
      </c>
      <c r="L183" s="8" t="s">
        <v>26</v>
      </c>
      <c r="M183" s="8" t="s">
        <v>32</v>
      </c>
      <c r="N183" s="8" t="s">
        <v>28</v>
      </c>
      <c r="O183" s="91">
        <f>VLOOKUP(E183,Product_Master!$B$2:$F$11,5,FALSE)</f>
        <v>35</v>
      </c>
      <c r="P183" s="91">
        <f>PRODUCT(Table15[[#This Row],[Quantity]],Table15[[#This Row],[Unit_Cost]])</f>
        <v>1435</v>
      </c>
      <c r="Q183" s="72">
        <f>(Table15[[#This Row],[Profit]]/Table15[[#This Row],[Total_Sales]])</f>
        <v>0.11691275319422949</v>
      </c>
      <c r="R183" s="22"/>
      <c r="S183" s="22"/>
      <c r="T183" s="22"/>
      <c r="U183" s="22"/>
    </row>
    <row r="184" spans="1:21" x14ac:dyDescent="0.25">
      <c r="A184" s="7" t="s">
        <v>321</v>
      </c>
      <c r="B184" s="16">
        <v>45367</v>
      </c>
      <c r="C184" s="8" t="s">
        <v>100</v>
      </c>
      <c r="D184" s="8" t="str">
        <f>PROPER(TRIM(Sales_Data!D184))</f>
        <v>Australia</v>
      </c>
      <c r="E184" s="8" t="s">
        <v>63</v>
      </c>
      <c r="F184" s="8" t="s">
        <v>37</v>
      </c>
      <c r="G184" s="91">
        <v>37</v>
      </c>
      <c r="H184" s="9">
        <v>19.8</v>
      </c>
      <c r="I184" s="87">
        <f>PRODUCT(Table15[[#This Row],[Quantity]],Table15[[#This Row],[Unit_Price]])</f>
        <v>732.6</v>
      </c>
      <c r="J184" s="9">
        <v>54.68</v>
      </c>
      <c r="K184" s="47">
        <v>206.17</v>
      </c>
      <c r="L184" s="8" t="s">
        <v>19</v>
      </c>
      <c r="M184" s="8" t="s">
        <v>27</v>
      </c>
      <c r="N184" s="8" t="s">
        <v>130</v>
      </c>
      <c r="O184" s="91">
        <f>VLOOKUP(E184,Product_Master!$B$2:$F$11,5,FALSE)</f>
        <v>12.75</v>
      </c>
      <c r="P184" s="91">
        <f>PRODUCT(Table15[[#This Row],[Quantity]],Table15[[#This Row],[Unit_Cost]])</f>
        <v>471.75</v>
      </c>
      <c r="Q184" s="72">
        <f>(Table15[[#This Row],[Profit]]/Table15[[#This Row],[Total_Sales]])</f>
        <v>0.28142233142233142</v>
      </c>
      <c r="R184" s="22"/>
      <c r="S184" s="22"/>
      <c r="T184" s="22"/>
      <c r="U184" s="22"/>
    </row>
    <row r="185" spans="1:21" x14ac:dyDescent="0.25">
      <c r="A185" s="7" t="s">
        <v>322</v>
      </c>
      <c r="B185" s="16">
        <v>45372</v>
      </c>
      <c r="C185" s="8" t="s">
        <v>323</v>
      </c>
      <c r="D185" s="8" t="str">
        <f>PROPER(TRIM(Sales_Data!D185))</f>
        <v>Mexico</v>
      </c>
      <c r="E185" s="8" t="s">
        <v>63</v>
      </c>
      <c r="F185" s="8" t="s">
        <v>37</v>
      </c>
      <c r="G185" s="91">
        <v>4</v>
      </c>
      <c r="H185" s="9">
        <v>18.059999999999999</v>
      </c>
      <c r="I185" s="87">
        <f>PRODUCT(Table15[[#This Row],[Quantity]],Table15[[#This Row],[Unit_Price]])</f>
        <v>72.239999999999995</v>
      </c>
      <c r="J185" s="9">
        <v>4.66</v>
      </c>
      <c r="K185" s="47">
        <v>16.579999999999998</v>
      </c>
      <c r="L185" s="8" t="s">
        <v>19</v>
      </c>
      <c r="M185" s="8" t="s">
        <v>20</v>
      </c>
      <c r="N185" s="8" t="s">
        <v>21</v>
      </c>
      <c r="O185" s="91">
        <f>VLOOKUP(E185,Product_Master!$B$2:$F$11,5,FALSE)</f>
        <v>12.75</v>
      </c>
      <c r="P185" s="91">
        <f>PRODUCT(Table15[[#This Row],[Quantity]],Table15[[#This Row],[Unit_Cost]])</f>
        <v>51</v>
      </c>
      <c r="Q185" s="72">
        <f>(Table15[[#This Row],[Profit]]/Table15[[#This Row],[Total_Sales]])</f>
        <v>0.22951273532668881</v>
      </c>
      <c r="R185" s="22"/>
      <c r="S185" s="22"/>
      <c r="T185" s="22"/>
      <c r="U185" s="22"/>
    </row>
    <row r="186" spans="1:21" x14ac:dyDescent="0.25">
      <c r="A186" s="7" t="s">
        <v>324</v>
      </c>
      <c r="B186" s="16">
        <v>45651</v>
      </c>
      <c r="C186" s="8" t="s">
        <v>246</v>
      </c>
      <c r="D186" s="8" t="str">
        <f>PROPER(TRIM(Sales_Data!D186))</f>
        <v>Usa</v>
      </c>
      <c r="E186" s="8" t="s">
        <v>17</v>
      </c>
      <c r="F186" s="8" t="s">
        <v>18</v>
      </c>
      <c r="G186" s="91">
        <v>40</v>
      </c>
      <c r="H186" s="9">
        <v>55.59</v>
      </c>
      <c r="I186" s="87">
        <f>PRODUCT(Table15[[#This Row],[Quantity]],Table15[[#This Row],[Unit_Price]])</f>
        <v>2223.6000000000004</v>
      </c>
      <c r="J186" s="9">
        <v>74.569999999999993</v>
      </c>
      <c r="K186" s="47">
        <v>749.03</v>
      </c>
      <c r="L186" s="8" t="s">
        <v>19</v>
      </c>
      <c r="M186" s="8" t="s">
        <v>20</v>
      </c>
      <c r="N186" s="8" t="s">
        <v>21</v>
      </c>
      <c r="O186" s="91">
        <f>VLOOKUP(E186,Product_Master!$B$2:$F$11,5,FALSE)</f>
        <v>35</v>
      </c>
      <c r="P186" s="91">
        <f>PRODUCT(Table15[[#This Row],[Quantity]],Table15[[#This Row],[Unit_Cost]])</f>
        <v>1400</v>
      </c>
      <c r="Q186" s="72">
        <f>(Table15[[#This Row],[Profit]]/Table15[[#This Row],[Total_Sales]])</f>
        <v>0.33685465011692745</v>
      </c>
      <c r="R186" s="22"/>
      <c r="S186" s="22"/>
      <c r="T186" s="22"/>
      <c r="U186" s="22"/>
    </row>
    <row r="187" spans="1:21" x14ac:dyDescent="0.25">
      <c r="A187" s="7" t="s">
        <v>325</v>
      </c>
      <c r="B187" s="16">
        <v>45755</v>
      </c>
      <c r="C187" s="8" t="s">
        <v>15</v>
      </c>
      <c r="D187" s="8" t="str">
        <f>PROPER(TRIM(Sales_Data!D187))</f>
        <v>Japan</v>
      </c>
      <c r="E187" s="8" t="s">
        <v>56</v>
      </c>
      <c r="F187" s="8" t="s">
        <v>57</v>
      </c>
      <c r="G187" s="91">
        <v>5</v>
      </c>
      <c r="H187" s="9">
        <v>31.58</v>
      </c>
      <c r="I187" s="87">
        <f>PRODUCT(Table15[[#This Row],[Quantity]],Table15[[#This Row],[Unit_Price]])</f>
        <v>157.89999999999998</v>
      </c>
      <c r="J187" s="9">
        <v>3.73</v>
      </c>
      <c r="K187" s="47">
        <v>29.17</v>
      </c>
      <c r="L187" s="8" t="s">
        <v>19</v>
      </c>
      <c r="M187" s="8" t="s">
        <v>27</v>
      </c>
      <c r="N187" s="8" t="s">
        <v>58</v>
      </c>
      <c r="O187" s="91">
        <f>VLOOKUP(E187,Product_Master!$B$2:$F$11,5,FALSE)</f>
        <v>25</v>
      </c>
      <c r="P187" s="91">
        <f>PRODUCT(Table15[[#This Row],[Quantity]],Table15[[#This Row],[Unit_Cost]])</f>
        <v>125</v>
      </c>
      <c r="Q187" s="72">
        <f>(Table15[[#This Row],[Profit]]/Table15[[#This Row],[Total_Sales]])</f>
        <v>0.1847371754274858</v>
      </c>
      <c r="R187" s="22"/>
      <c r="S187" s="22"/>
      <c r="T187" s="22"/>
      <c r="U187" s="22"/>
    </row>
    <row r="188" spans="1:21" x14ac:dyDescent="0.25">
      <c r="A188" s="7" t="s">
        <v>326</v>
      </c>
      <c r="B188" s="16">
        <v>45396</v>
      </c>
      <c r="C188" s="8" t="s">
        <v>117</v>
      </c>
      <c r="D188" s="8" t="str">
        <f>PROPER(TRIM(Sales_Data!D188))</f>
        <v>Canada</v>
      </c>
      <c r="E188" s="8" t="s">
        <v>25</v>
      </c>
      <c r="F188" s="8" t="s">
        <v>18</v>
      </c>
      <c r="G188" s="91">
        <v>50</v>
      </c>
      <c r="H188" s="9">
        <v>26.67</v>
      </c>
      <c r="I188" s="87">
        <f>PRODUCT(Table15[[#This Row],[Quantity]],Table15[[#This Row],[Unit_Price]])</f>
        <v>1333.5</v>
      </c>
      <c r="J188" s="9">
        <v>80.150000000000006</v>
      </c>
      <c r="K188" s="47">
        <v>353.35</v>
      </c>
      <c r="L188" s="8" t="s">
        <v>38</v>
      </c>
      <c r="M188" s="8" t="s">
        <v>20</v>
      </c>
      <c r="N188" s="8" t="s">
        <v>21</v>
      </c>
      <c r="O188" s="91">
        <f>VLOOKUP(E188,Product_Master!$B$2:$F$11,5,FALSE)</f>
        <v>18</v>
      </c>
      <c r="P188" s="91">
        <f>PRODUCT(Table15[[#This Row],[Quantity]],Table15[[#This Row],[Unit_Cost]])</f>
        <v>900</v>
      </c>
      <c r="Q188" s="72">
        <f>(Table15[[#This Row],[Profit]]/Table15[[#This Row],[Total_Sales]])</f>
        <v>0.26497937757780277</v>
      </c>
      <c r="R188" s="22"/>
      <c r="S188" s="22"/>
      <c r="T188" s="22"/>
      <c r="U188" s="22"/>
    </row>
    <row r="189" spans="1:21" x14ac:dyDescent="0.25">
      <c r="A189" s="7" t="s">
        <v>327</v>
      </c>
      <c r="B189" s="16">
        <v>45381</v>
      </c>
      <c r="C189" s="8" t="s">
        <v>221</v>
      </c>
      <c r="D189" s="8" t="str">
        <f>PROPER(TRIM(Sales_Data!D189))</f>
        <v>Singapore</v>
      </c>
      <c r="E189" s="8" t="s">
        <v>60</v>
      </c>
      <c r="F189" s="8" t="s">
        <v>52</v>
      </c>
      <c r="G189" s="91">
        <v>17</v>
      </c>
      <c r="H189" s="9">
        <v>20.68</v>
      </c>
      <c r="I189" s="87">
        <f>PRODUCT(Table15[[#This Row],[Quantity]],Table15[[#This Row],[Unit_Price]])</f>
        <v>351.56</v>
      </c>
      <c r="J189" s="9">
        <v>18.47</v>
      </c>
      <c r="K189" s="47">
        <v>69.59</v>
      </c>
      <c r="L189" s="8" t="s">
        <v>38</v>
      </c>
      <c r="M189" s="8" t="s">
        <v>27</v>
      </c>
      <c r="N189" s="8" t="s">
        <v>58</v>
      </c>
      <c r="O189" s="91">
        <f>VLOOKUP(E189,Product_Master!$B$2:$F$11,5,FALSE)</f>
        <v>15.5</v>
      </c>
      <c r="P189" s="91">
        <f>PRODUCT(Table15[[#This Row],[Quantity]],Table15[[#This Row],[Unit_Cost]])</f>
        <v>263.5</v>
      </c>
      <c r="Q189" s="72">
        <f>(Table15[[#This Row],[Profit]]/Table15[[#This Row],[Total_Sales]])</f>
        <v>0.19794629650699738</v>
      </c>
      <c r="R189" s="22"/>
      <c r="S189" s="22"/>
      <c r="T189" s="22"/>
      <c r="U189" s="22"/>
    </row>
    <row r="190" spans="1:21" x14ac:dyDescent="0.25">
      <c r="A190" s="7" t="s">
        <v>328</v>
      </c>
      <c r="B190" s="16">
        <v>45756</v>
      </c>
      <c r="C190" s="8" t="s">
        <v>276</v>
      </c>
      <c r="D190" s="8" t="str">
        <f>PROPER(TRIM(Sales_Data!D190))</f>
        <v>South Africa</v>
      </c>
      <c r="E190" s="8" t="s">
        <v>17</v>
      </c>
      <c r="F190" s="8" t="s">
        <v>18</v>
      </c>
      <c r="G190" s="91">
        <v>29</v>
      </c>
      <c r="H190" s="9">
        <v>55.19</v>
      </c>
      <c r="I190" s="87">
        <f>PRODUCT(Table15[[#This Row],[Quantity]],Table15[[#This Row],[Unit_Price]])</f>
        <v>1600.51</v>
      </c>
      <c r="J190" s="9">
        <v>103.06</v>
      </c>
      <c r="K190" s="47">
        <v>482.45</v>
      </c>
      <c r="L190" s="8" t="s">
        <v>19</v>
      </c>
      <c r="M190" s="8" t="s">
        <v>32</v>
      </c>
      <c r="N190" s="8" t="s">
        <v>87</v>
      </c>
      <c r="O190" s="91">
        <f>VLOOKUP(E190,Product_Master!$B$2:$F$11,5,FALSE)</f>
        <v>35</v>
      </c>
      <c r="P190" s="91">
        <f>PRODUCT(Table15[[#This Row],[Quantity]],Table15[[#This Row],[Unit_Cost]])</f>
        <v>1015</v>
      </c>
      <c r="Q190" s="72">
        <f>(Table15[[#This Row],[Profit]]/Table15[[#This Row],[Total_Sales]])</f>
        <v>0.30143516754034649</v>
      </c>
      <c r="R190" s="22"/>
      <c r="S190" s="22"/>
      <c r="T190" s="22"/>
      <c r="U190" s="22"/>
    </row>
    <row r="191" spans="1:21" x14ac:dyDescent="0.25">
      <c r="A191" s="7" t="s">
        <v>329</v>
      </c>
      <c r="B191" s="16">
        <v>45402</v>
      </c>
      <c r="C191" s="8" t="s">
        <v>330</v>
      </c>
      <c r="D191" s="8" t="str">
        <f>PROPER(TRIM(Sales_Data!D191))</f>
        <v>Singapore</v>
      </c>
      <c r="E191" s="8" t="s">
        <v>17</v>
      </c>
      <c r="F191" s="8" t="s">
        <v>18</v>
      </c>
      <c r="G191" s="91">
        <v>34</v>
      </c>
      <c r="H191" s="9">
        <v>61.62</v>
      </c>
      <c r="I191" s="87">
        <f>PRODUCT(Table15[[#This Row],[Quantity]],Table15[[#This Row],[Unit_Price]])</f>
        <v>2095.08</v>
      </c>
      <c r="J191" s="9">
        <v>80.13</v>
      </c>
      <c r="K191" s="47">
        <v>824.95</v>
      </c>
      <c r="L191" s="8" t="s">
        <v>26</v>
      </c>
      <c r="M191" s="8" t="s">
        <v>20</v>
      </c>
      <c r="N191" s="8" t="s">
        <v>58</v>
      </c>
      <c r="O191" s="91">
        <f>VLOOKUP(E191,Product_Master!$B$2:$F$11,5,FALSE)</f>
        <v>35</v>
      </c>
      <c r="P191" s="91">
        <f>PRODUCT(Table15[[#This Row],[Quantity]],Table15[[#This Row],[Unit_Cost]])</f>
        <v>1190</v>
      </c>
      <c r="Q191" s="72">
        <f>(Table15[[#This Row],[Profit]]/Table15[[#This Row],[Total_Sales]])</f>
        <v>0.39375584703209426</v>
      </c>
      <c r="R191" s="22"/>
      <c r="S191" s="22"/>
      <c r="T191" s="22"/>
      <c r="U191" s="22"/>
    </row>
    <row r="192" spans="1:21" x14ac:dyDescent="0.25">
      <c r="A192" s="7" t="s">
        <v>331</v>
      </c>
      <c r="B192" s="16">
        <v>45614</v>
      </c>
      <c r="C192" s="8" t="s">
        <v>173</v>
      </c>
      <c r="D192" s="8" t="str">
        <f>PROPER(TRIM(Sales_Data!D192))</f>
        <v>Mexico</v>
      </c>
      <c r="E192" s="8" t="s">
        <v>51</v>
      </c>
      <c r="F192" s="8" t="s">
        <v>52</v>
      </c>
      <c r="G192" s="91">
        <v>10</v>
      </c>
      <c r="H192" s="9">
        <v>40.03</v>
      </c>
      <c r="I192" s="87">
        <f>PRODUCT(Table15[[#This Row],[Quantity]],Table15[[#This Row],[Unit_Price]])</f>
        <v>400.3</v>
      </c>
      <c r="J192" s="9">
        <v>25.8</v>
      </c>
      <c r="K192" s="47">
        <v>149.5</v>
      </c>
      <c r="L192" s="8" t="s">
        <v>38</v>
      </c>
      <c r="M192" s="8" t="s">
        <v>20</v>
      </c>
      <c r="N192" s="8" t="s">
        <v>21</v>
      </c>
      <c r="O192" s="91">
        <f>VLOOKUP(E192,Product_Master!$B$2:$F$11,5,FALSE)</f>
        <v>22.5</v>
      </c>
      <c r="P192" s="91">
        <f>PRODUCT(Table15[[#This Row],[Quantity]],Table15[[#This Row],[Unit_Cost]])</f>
        <v>225</v>
      </c>
      <c r="Q192" s="72">
        <f>(Table15[[#This Row],[Profit]]/Table15[[#This Row],[Total_Sales]])</f>
        <v>0.37346989757681737</v>
      </c>
      <c r="R192" s="22"/>
      <c r="S192" s="22"/>
      <c r="T192" s="22"/>
      <c r="U192" s="22"/>
    </row>
    <row r="193" spans="1:21" x14ac:dyDescent="0.25">
      <c r="A193" s="7" t="s">
        <v>332</v>
      </c>
      <c r="B193" s="16">
        <v>45744</v>
      </c>
      <c r="C193" s="8" t="s">
        <v>81</v>
      </c>
      <c r="D193" s="8" t="str">
        <f>PROPER(TRIM(Sales_Data!D193))</f>
        <v>Uae</v>
      </c>
      <c r="E193" s="8" t="s">
        <v>48</v>
      </c>
      <c r="F193" s="8" t="s">
        <v>37</v>
      </c>
      <c r="G193" s="91">
        <v>23</v>
      </c>
      <c r="H193" s="9">
        <v>31.3</v>
      </c>
      <c r="I193" s="87">
        <f>PRODUCT(Table15[[#This Row],[Quantity]],Table15[[#This Row],[Unit_Price]])</f>
        <v>719.9</v>
      </c>
      <c r="J193" s="9">
        <v>47.88</v>
      </c>
      <c r="K193" s="47">
        <v>212.02</v>
      </c>
      <c r="L193" s="8" t="s">
        <v>26</v>
      </c>
      <c r="M193" s="8" t="s">
        <v>27</v>
      </c>
      <c r="N193" s="8" t="s">
        <v>58</v>
      </c>
      <c r="O193" s="91">
        <f>VLOOKUP(E193,Product_Master!$B$2:$F$11,5,FALSE)</f>
        <v>20</v>
      </c>
      <c r="P193" s="91">
        <f>PRODUCT(Table15[[#This Row],[Quantity]],Table15[[#This Row],[Unit_Cost]])</f>
        <v>460</v>
      </c>
      <c r="Q193" s="72">
        <f>(Table15[[#This Row],[Profit]]/Table15[[#This Row],[Total_Sales]])</f>
        <v>0.29451312682316994</v>
      </c>
      <c r="R193" s="22"/>
      <c r="S193" s="22"/>
      <c r="T193" s="22"/>
      <c r="U193" s="22"/>
    </row>
    <row r="194" spans="1:21" x14ac:dyDescent="0.25">
      <c r="A194" s="7" t="s">
        <v>333</v>
      </c>
      <c r="B194" s="16">
        <v>45778</v>
      </c>
      <c r="C194" s="8" t="s">
        <v>91</v>
      </c>
      <c r="D194" s="8" t="str">
        <f>PROPER(TRIM(Sales_Data!D194))</f>
        <v>Mexico</v>
      </c>
      <c r="E194" s="8" t="s">
        <v>17</v>
      </c>
      <c r="F194" s="8" t="s">
        <v>18</v>
      </c>
      <c r="G194" s="91">
        <v>37</v>
      </c>
      <c r="H194" s="9">
        <v>50.39</v>
      </c>
      <c r="I194" s="87">
        <f>PRODUCT(Table15[[#This Row],[Quantity]],Table15[[#This Row],[Unit_Price]])</f>
        <v>1864.43</v>
      </c>
      <c r="J194" s="9">
        <v>60.06</v>
      </c>
      <c r="K194" s="47">
        <v>509.37</v>
      </c>
      <c r="L194" s="8" t="s">
        <v>26</v>
      </c>
      <c r="M194" s="8" t="s">
        <v>27</v>
      </c>
      <c r="N194" s="8" t="s">
        <v>21</v>
      </c>
      <c r="O194" s="91">
        <f>VLOOKUP(E194,Product_Master!$B$2:$F$11,5,FALSE)</f>
        <v>35</v>
      </c>
      <c r="P194" s="91">
        <f>PRODUCT(Table15[[#This Row],[Quantity]],Table15[[#This Row],[Unit_Cost]])</f>
        <v>1295</v>
      </c>
      <c r="Q194" s="72">
        <f>(Table15[[#This Row],[Profit]]/Table15[[#This Row],[Total_Sales]])</f>
        <v>0.27320414282113031</v>
      </c>
      <c r="R194" s="22"/>
      <c r="S194" s="22"/>
      <c r="T194" s="22"/>
      <c r="U194" s="22"/>
    </row>
    <row r="195" spans="1:21" x14ac:dyDescent="0.25">
      <c r="A195" s="7" t="s">
        <v>334</v>
      </c>
      <c r="B195" s="16">
        <v>45644</v>
      </c>
      <c r="C195" s="8" t="s">
        <v>278</v>
      </c>
      <c r="D195" s="8" t="str">
        <f>PROPER(TRIM(Sales_Data!D195))</f>
        <v>Usa</v>
      </c>
      <c r="E195" s="8" t="s">
        <v>63</v>
      </c>
      <c r="F195" s="8" t="s">
        <v>37</v>
      </c>
      <c r="G195" s="91">
        <v>38</v>
      </c>
      <c r="H195" s="9">
        <v>16.97</v>
      </c>
      <c r="I195" s="87">
        <f>PRODUCT(Table15[[#This Row],[Quantity]],Table15[[#This Row],[Unit_Price]])</f>
        <v>644.8599999999999</v>
      </c>
      <c r="J195" s="9">
        <v>40</v>
      </c>
      <c r="K195" s="47">
        <v>120.36</v>
      </c>
      <c r="L195" s="8" t="s">
        <v>38</v>
      </c>
      <c r="M195" s="8" t="s">
        <v>20</v>
      </c>
      <c r="N195" s="8" t="s">
        <v>21</v>
      </c>
      <c r="O195" s="91">
        <f>VLOOKUP(E195,Product_Master!$B$2:$F$11,5,FALSE)</f>
        <v>12.75</v>
      </c>
      <c r="P195" s="91">
        <f>PRODUCT(Table15[[#This Row],[Quantity]],Table15[[#This Row],[Unit_Cost]])</f>
        <v>484.5</v>
      </c>
      <c r="Q195" s="72">
        <f>(Table15[[#This Row],[Profit]]/Table15[[#This Row],[Total_Sales]])</f>
        <v>0.18664516329125705</v>
      </c>
      <c r="R195" s="22"/>
      <c r="S195" s="22"/>
      <c r="T195" s="22"/>
      <c r="U195" s="22"/>
    </row>
    <row r="196" spans="1:21" x14ac:dyDescent="0.25">
      <c r="A196" s="7" t="s">
        <v>335</v>
      </c>
      <c r="B196" s="16">
        <v>45484</v>
      </c>
      <c r="C196" s="8" t="s">
        <v>207</v>
      </c>
      <c r="D196" s="8" t="str">
        <f>PROPER(TRIM(Sales_Data!D196))</f>
        <v>South Africa</v>
      </c>
      <c r="E196" s="8" t="s">
        <v>48</v>
      </c>
      <c r="F196" s="8" t="s">
        <v>37</v>
      </c>
      <c r="G196" s="91">
        <v>2</v>
      </c>
      <c r="H196" s="9">
        <v>35.92</v>
      </c>
      <c r="I196" s="87">
        <f>PRODUCT(Table15[[#This Row],[Quantity]],Table15[[#This Row],[Unit_Price]])</f>
        <v>71.84</v>
      </c>
      <c r="J196" s="9">
        <v>2.34</v>
      </c>
      <c r="K196" s="47">
        <v>29.5</v>
      </c>
      <c r="L196" s="8" t="s">
        <v>38</v>
      </c>
      <c r="M196" s="8" t="s">
        <v>27</v>
      </c>
      <c r="N196" s="8" t="s">
        <v>87</v>
      </c>
      <c r="O196" s="91">
        <f>VLOOKUP(E196,Product_Master!$B$2:$F$11,5,FALSE)</f>
        <v>20</v>
      </c>
      <c r="P196" s="91">
        <f>PRODUCT(Table15[[#This Row],[Quantity]],Table15[[#This Row],[Unit_Cost]])</f>
        <v>40</v>
      </c>
      <c r="Q196" s="72">
        <f>(Table15[[#This Row],[Profit]]/Table15[[#This Row],[Total_Sales]])</f>
        <v>0.41063474387527837</v>
      </c>
      <c r="R196" s="22"/>
      <c r="S196" s="22"/>
      <c r="T196" s="22"/>
      <c r="U196" s="22"/>
    </row>
    <row r="197" spans="1:21" x14ac:dyDescent="0.25">
      <c r="A197" s="7" t="s">
        <v>336</v>
      </c>
      <c r="B197" s="16">
        <v>45436</v>
      </c>
      <c r="C197" s="8" t="s">
        <v>62</v>
      </c>
      <c r="D197" s="8" t="str">
        <f>PROPER(TRIM(Sales_Data!D197))</f>
        <v>Brazil</v>
      </c>
      <c r="E197" s="8" t="s">
        <v>48</v>
      </c>
      <c r="F197" s="8" t="s">
        <v>37</v>
      </c>
      <c r="G197" s="91">
        <v>48</v>
      </c>
      <c r="H197" s="9">
        <v>31.87</v>
      </c>
      <c r="I197" s="87">
        <f>PRODUCT(Table15[[#This Row],[Quantity]],Table15[[#This Row],[Unit_Price]])</f>
        <v>1529.76</v>
      </c>
      <c r="J197" s="9">
        <v>89.85</v>
      </c>
      <c r="K197" s="47">
        <v>479.91</v>
      </c>
      <c r="L197" s="8" t="s">
        <v>38</v>
      </c>
      <c r="M197" s="8" t="s">
        <v>20</v>
      </c>
      <c r="N197" s="8" t="s">
        <v>39</v>
      </c>
      <c r="O197" s="91">
        <f>VLOOKUP(E197,Product_Master!$B$2:$F$11,5,FALSE)</f>
        <v>20</v>
      </c>
      <c r="P197" s="91">
        <f>PRODUCT(Table15[[#This Row],[Quantity]],Table15[[#This Row],[Unit_Cost]])</f>
        <v>960</v>
      </c>
      <c r="Q197" s="72">
        <f>(Table15[[#This Row],[Profit]]/Table15[[#This Row],[Total_Sales]])</f>
        <v>0.31371587700031378</v>
      </c>
      <c r="R197" s="22"/>
      <c r="S197" s="22"/>
      <c r="T197" s="22"/>
      <c r="U197" s="22"/>
    </row>
    <row r="198" spans="1:21" x14ac:dyDescent="0.25">
      <c r="A198" s="7" t="s">
        <v>337</v>
      </c>
      <c r="B198" s="16">
        <v>45635</v>
      </c>
      <c r="C198" s="8" t="s">
        <v>221</v>
      </c>
      <c r="D198" s="8" t="str">
        <f>PROPER(TRIM(Sales_Data!D198))</f>
        <v>Australia</v>
      </c>
      <c r="E198" s="8" t="s">
        <v>43</v>
      </c>
      <c r="F198" s="8" t="s">
        <v>44</v>
      </c>
      <c r="G198" s="91">
        <v>46</v>
      </c>
      <c r="H198" s="9">
        <v>70</v>
      </c>
      <c r="I198" s="87">
        <f>PRODUCT(Table15[[#This Row],[Quantity]],Table15[[#This Row],[Unit_Price]])</f>
        <v>3220</v>
      </c>
      <c r="J198" s="9">
        <v>160.11000000000001</v>
      </c>
      <c r="K198" s="47">
        <v>1219.8900000000001</v>
      </c>
      <c r="L198" s="8" t="s">
        <v>26</v>
      </c>
      <c r="M198" s="8" t="s">
        <v>27</v>
      </c>
      <c r="N198" s="8" t="s">
        <v>130</v>
      </c>
      <c r="O198" s="91">
        <f>VLOOKUP(E198,Product_Master!$B$2:$F$11,5,FALSE)</f>
        <v>40</v>
      </c>
      <c r="P198" s="91">
        <f>PRODUCT(Table15[[#This Row],[Quantity]],Table15[[#This Row],[Unit_Cost]])</f>
        <v>1840</v>
      </c>
      <c r="Q198" s="72">
        <f>(Table15[[#This Row],[Profit]]/Table15[[#This Row],[Total_Sales]])</f>
        <v>0.37884782608695655</v>
      </c>
      <c r="R198" s="22"/>
      <c r="S198" s="22"/>
      <c r="T198" s="22"/>
      <c r="U198" s="22"/>
    </row>
    <row r="199" spans="1:21" x14ac:dyDescent="0.25">
      <c r="A199" s="7" t="s">
        <v>338</v>
      </c>
      <c r="B199" s="16">
        <v>45776</v>
      </c>
      <c r="C199" s="8" t="s">
        <v>303</v>
      </c>
      <c r="D199" s="8" t="str">
        <f>PROPER(TRIM(Sales_Data!D199))</f>
        <v>Singapore</v>
      </c>
      <c r="E199" s="8" t="s">
        <v>17</v>
      </c>
      <c r="F199" s="8" t="s">
        <v>18</v>
      </c>
      <c r="G199" s="91">
        <v>45</v>
      </c>
      <c r="H199" s="9">
        <v>57.7</v>
      </c>
      <c r="I199" s="87">
        <f>PRODUCT(Table15[[#This Row],[Quantity]],Table15[[#This Row],[Unit_Price]])</f>
        <v>2596.5</v>
      </c>
      <c r="J199" s="9">
        <v>102.52</v>
      </c>
      <c r="K199" s="47">
        <v>918.98</v>
      </c>
      <c r="L199" s="8" t="s">
        <v>26</v>
      </c>
      <c r="M199" s="8" t="s">
        <v>20</v>
      </c>
      <c r="N199" s="8" t="s">
        <v>58</v>
      </c>
      <c r="O199" s="91">
        <f>VLOOKUP(E199,Product_Master!$B$2:$F$11,5,FALSE)</f>
        <v>35</v>
      </c>
      <c r="P199" s="91">
        <f>PRODUCT(Table15[[#This Row],[Quantity]],Table15[[#This Row],[Unit_Cost]])</f>
        <v>1575</v>
      </c>
      <c r="Q199" s="72">
        <f>(Table15[[#This Row],[Profit]]/Table15[[#This Row],[Total_Sales]])</f>
        <v>0.35393029077604471</v>
      </c>
      <c r="R199" s="22"/>
      <c r="S199" s="22"/>
      <c r="T199" s="22"/>
      <c r="U199" s="22"/>
    </row>
    <row r="200" spans="1:21" x14ac:dyDescent="0.25">
      <c r="A200" s="7" t="s">
        <v>339</v>
      </c>
      <c r="B200" s="16">
        <v>45782</v>
      </c>
      <c r="C200" s="8" t="s">
        <v>119</v>
      </c>
      <c r="D200" s="8" t="str">
        <f>PROPER(TRIM(Sales_Data!D200))</f>
        <v>Japan</v>
      </c>
      <c r="E200" s="8" t="s">
        <v>63</v>
      </c>
      <c r="F200" s="8" t="s">
        <v>37</v>
      </c>
      <c r="G200" s="91">
        <v>23</v>
      </c>
      <c r="H200" s="9">
        <v>20.23</v>
      </c>
      <c r="I200" s="87">
        <f>PRODUCT(Table15[[#This Row],[Quantity]],Table15[[#This Row],[Unit_Price]])</f>
        <v>465.29</v>
      </c>
      <c r="J200" s="9">
        <v>17.29</v>
      </c>
      <c r="K200" s="47">
        <v>154.75</v>
      </c>
      <c r="L200" s="8" t="s">
        <v>38</v>
      </c>
      <c r="M200" s="8" t="s">
        <v>20</v>
      </c>
      <c r="N200" s="8" t="s">
        <v>58</v>
      </c>
      <c r="O200" s="91">
        <f>VLOOKUP(E200,Product_Master!$B$2:$F$11,5,FALSE)</f>
        <v>12.75</v>
      </c>
      <c r="P200" s="91">
        <f>PRODUCT(Table15[[#This Row],[Quantity]],Table15[[#This Row],[Unit_Cost]])</f>
        <v>293.25</v>
      </c>
      <c r="Q200" s="72">
        <f>(Table15[[#This Row],[Profit]]/Table15[[#This Row],[Total_Sales]])</f>
        <v>0.33258827827806314</v>
      </c>
      <c r="R200" s="22"/>
      <c r="S200" s="22"/>
      <c r="T200" s="22"/>
      <c r="U200" s="22"/>
    </row>
    <row r="201" spans="1:21" x14ac:dyDescent="0.25">
      <c r="A201" s="7" t="s">
        <v>340</v>
      </c>
      <c r="B201" s="16">
        <v>45767</v>
      </c>
      <c r="C201" s="8" t="s">
        <v>121</v>
      </c>
      <c r="D201" s="8" t="str">
        <f>PROPER(TRIM(Sales_Data!D201))</f>
        <v>Italy</v>
      </c>
      <c r="E201" s="8" t="s">
        <v>25</v>
      </c>
      <c r="F201" s="8" t="s">
        <v>18</v>
      </c>
      <c r="G201" s="91">
        <v>10</v>
      </c>
      <c r="H201" s="9">
        <v>22.96</v>
      </c>
      <c r="I201" s="87">
        <f>PRODUCT(Table15[[#This Row],[Quantity]],Table15[[#This Row],[Unit_Price]])</f>
        <v>229.60000000000002</v>
      </c>
      <c r="J201" s="9">
        <v>18.260000000000002</v>
      </c>
      <c r="K201" s="47">
        <v>31.34</v>
      </c>
      <c r="L201" s="8" t="s">
        <v>19</v>
      </c>
      <c r="M201" s="8" t="s">
        <v>32</v>
      </c>
      <c r="N201" s="8" t="s">
        <v>28</v>
      </c>
      <c r="O201" s="91">
        <f>VLOOKUP(E201,Product_Master!$B$2:$F$11,5,FALSE)</f>
        <v>18</v>
      </c>
      <c r="P201" s="91">
        <f>PRODUCT(Table15[[#This Row],[Quantity]],Table15[[#This Row],[Unit_Cost]])</f>
        <v>180</v>
      </c>
      <c r="Q201" s="72">
        <f>(Table15[[#This Row],[Profit]]/Table15[[#This Row],[Total_Sales]])</f>
        <v>0.13649825783972125</v>
      </c>
      <c r="R201" s="22"/>
      <c r="S201" s="22"/>
      <c r="T201" s="22"/>
      <c r="U201" s="22"/>
    </row>
    <row r="202" spans="1:21" x14ac:dyDescent="0.25">
      <c r="A202" s="7" t="s">
        <v>341</v>
      </c>
      <c r="B202" s="16">
        <v>45530</v>
      </c>
      <c r="C202" s="8" t="s">
        <v>342</v>
      </c>
      <c r="D202" s="8" t="str">
        <f>PROPER(TRIM(Sales_Data!D202))</f>
        <v>Brazil</v>
      </c>
      <c r="E202" s="8" t="s">
        <v>17</v>
      </c>
      <c r="F202" s="8" t="s">
        <v>18</v>
      </c>
      <c r="G202" s="91">
        <v>40</v>
      </c>
      <c r="H202" s="9">
        <v>54.84</v>
      </c>
      <c r="I202" s="87">
        <f>PRODUCT(Table15[[#This Row],[Quantity]],Table15[[#This Row],[Unit_Price]])</f>
        <v>2193.6000000000004</v>
      </c>
      <c r="J202" s="9">
        <v>89.26</v>
      </c>
      <c r="K202" s="47">
        <v>704.34</v>
      </c>
      <c r="L202" s="8" t="s">
        <v>26</v>
      </c>
      <c r="M202" s="8" t="s">
        <v>20</v>
      </c>
      <c r="N202" s="8" t="s">
        <v>39</v>
      </c>
      <c r="O202" s="91">
        <f>VLOOKUP(E202,Product_Master!$B$2:$F$11,5,FALSE)</f>
        <v>35</v>
      </c>
      <c r="P202" s="91">
        <f>PRODUCT(Table15[[#This Row],[Quantity]],Table15[[#This Row],[Unit_Cost]])</f>
        <v>1400</v>
      </c>
      <c r="Q202" s="72">
        <f>(Table15[[#This Row],[Profit]]/Table15[[#This Row],[Total_Sales]])</f>
        <v>0.32108862144420125</v>
      </c>
      <c r="R202" s="22"/>
      <c r="S202" s="22"/>
      <c r="T202" s="22"/>
      <c r="U202" s="22"/>
    </row>
    <row r="203" spans="1:21" x14ac:dyDescent="0.25">
      <c r="A203" s="7" t="s">
        <v>343</v>
      </c>
      <c r="B203" s="16">
        <v>45389</v>
      </c>
      <c r="C203" s="8" t="s">
        <v>166</v>
      </c>
      <c r="D203" s="8" t="str">
        <f>PROPER(TRIM(Sales_Data!D203))</f>
        <v>Singapore</v>
      </c>
      <c r="E203" s="8" t="s">
        <v>56</v>
      </c>
      <c r="F203" s="8" t="s">
        <v>57</v>
      </c>
      <c r="G203" s="91">
        <v>7</v>
      </c>
      <c r="H203" s="9">
        <v>36.43</v>
      </c>
      <c r="I203" s="87">
        <f>PRODUCT(Table15[[#This Row],[Quantity]],Table15[[#This Row],[Unit_Price]])</f>
        <v>255.01</v>
      </c>
      <c r="J203" s="9">
        <v>6.3</v>
      </c>
      <c r="K203" s="47">
        <v>73.709999999999994</v>
      </c>
      <c r="L203" s="8" t="s">
        <v>19</v>
      </c>
      <c r="M203" s="8" t="s">
        <v>27</v>
      </c>
      <c r="N203" s="8" t="s">
        <v>58</v>
      </c>
      <c r="O203" s="91">
        <f>VLOOKUP(E203,Product_Master!$B$2:$F$11,5,FALSE)</f>
        <v>25</v>
      </c>
      <c r="P203" s="91">
        <f>PRODUCT(Table15[[#This Row],[Quantity]],Table15[[#This Row],[Unit_Cost]])</f>
        <v>175</v>
      </c>
      <c r="Q203" s="72">
        <f>(Table15[[#This Row],[Profit]]/Table15[[#This Row],[Total_Sales]])</f>
        <v>0.28904748833379079</v>
      </c>
      <c r="R203" s="22"/>
      <c r="S203" s="22"/>
      <c r="T203" s="22"/>
      <c r="U203" s="22"/>
    </row>
    <row r="204" spans="1:21" x14ac:dyDescent="0.25">
      <c r="A204" s="7" t="s">
        <v>344</v>
      </c>
      <c r="B204" s="16">
        <v>45738</v>
      </c>
      <c r="C204" s="8" t="s">
        <v>207</v>
      </c>
      <c r="D204" s="8" t="str">
        <f>PROPER(TRIM(Sales_Data!D204))</f>
        <v>Mexico</v>
      </c>
      <c r="E204" s="8" t="s">
        <v>63</v>
      </c>
      <c r="F204" s="8" t="s">
        <v>37</v>
      </c>
      <c r="G204" s="91">
        <v>39</v>
      </c>
      <c r="H204" s="9">
        <v>19.48</v>
      </c>
      <c r="I204" s="87">
        <f>PRODUCT(Table15[[#This Row],[Quantity]],Table15[[#This Row],[Unit_Price]])</f>
        <v>759.72</v>
      </c>
      <c r="J204" s="9">
        <v>40.090000000000003</v>
      </c>
      <c r="K204" s="47">
        <v>222.38</v>
      </c>
      <c r="L204" s="8" t="s">
        <v>38</v>
      </c>
      <c r="M204" s="8" t="s">
        <v>27</v>
      </c>
      <c r="N204" s="8" t="s">
        <v>21</v>
      </c>
      <c r="O204" s="91">
        <f>VLOOKUP(E204,Product_Master!$B$2:$F$11,5,FALSE)</f>
        <v>12.75</v>
      </c>
      <c r="P204" s="91">
        <f>PRODUCT(Table15[[#This Row],[Quantity]],Table15[[#This Row],[Unit_Cost]])</f>
        <v>497.25</v>
      </c>
      <c r="Q204" s="72">
        <f>(Table15[[#This Row],[Profit]]/Table15[[#This Row],[Total_Sales]])</f>
        <v>0.29271310482809454</v>
      </c>
      <c r="R204" s="22"/>
      <c r="S204" s="22"/>
      <c r="T204" s="22"/>
      <c r="U204" s="22"/>
    </row>
    <row r="205" spans="1:21" x14ac:dyDescent="0.25">
      <c r="A205" s="7" t="s">
        <v>345</v>
      </c>
      <c r="B205" s="16">
        <v>45351</v>
      </c>
      <c r="C205" s="8" t="s">
        <v>268</v>
      </c>
      <c r="D205" s="8" t="str">
        <f>PROPER(TRIM(Sales_Data!D205))</f>
        <v>South Africa</v>
      </c>
      <c r="E205" s="8" t="s">
        <v>51</v>
      </c>
      <c r="F205" s="8" t="s">
        <v>52</v>
      </c>
      <c r="G205" s="91">
        <v>35</v>
      </c>
      <c r="H205" s="9">
        <v>38.83</v>
      </c>
      <c r="I205" s="87">
        <f>PRODUCT(Table15[[#This Row],[Quantity]],Table15[[#This Row],[Unit_Price]])</f>
        <v>1359.05</v>
      </c>
      <c r="J205" s="9">
        <v>93.92</v>
      </c>
      <c r="K205" s="47">
        <v>477.63</v>
      </c>
      <c r="L205" s="8" t="s">
        <v>38</v>
      </c>
      <c r="M205" s="8" t="s">
        <v>27</v>
      </c>
      <c r="N205" s="8" t="s">
        <v>87</v>
      </c>
      <c r="O205" s="91">
        <f>VLOOKUP(E205,Product_Master!$B$2:$F$11,5,FALSE)</f>
        <v>22.5</v>
      </c>
      <c r="P205" s="91">
        <f>PRODUCT(Table15[[#This Row],[Quantity]],Table15[[#This Row],[Unit_Cost]])</f>
        <v>787.5</v>
      </c>
      <c r="Q205" s="72">
        <f>(Table15[[#This Row],[Profit]]/Table15[[#This Row],[Total_Sales]])</f>
        <v>0.35144402339869762</v>
      </c>
      <c r="R205" s="22"/>
      <c r="S205" s="22"/>
      <c r="T205" s="22"/>
      <c r="U205" s="22"/>
    </row>
    <row r="206" spans="1:21" x14ac:dyDescent="0.25">
      <c r="A206" s="7" t="s">
        <v>346</v>
      </c>
      <c r="B206" s="16">
        <v>45570</v>
      </c>
      <c r="C206" s="8" t="s">
        <v>145</v>
      </c>
      <c r="D206" s="8" t="str">
        <f>PROPER(TRIM(Sales_Data!D206))</f>
        <v>China</v>
      </c>
      <c r="E206" s="8" t="s">
        <v>48</v>
      </c>
      <c r="F206" s="8" t="s">
        <v>37</v>
      </c>
      <c r="G206" s="91">
        <v>39</v>
      </c>
      <c r="H206" s="9">
        <v>32.76</v>
      </c>
      <c r="I206" s="87">
        <f>PRODUCT(Table15[[#This Row],[Quantity]],Table15[[#This Row],[Unit_Price]])</f>
        <v>1277.6399999999999</v>
      </c>
      <c r="J206" s="9">
        <v>35.81</v>
      </c>
      <c r="K206" s="47">
        <v>461.83</v>
      </c>
      <c r="L206" s="8" t="s">
        <v>26</v>
      </c>
      <c r="M206" s="8" t="s">
        <v>32</v>
      </c>
      <c r="N206" s="8" t="s">
        <v>58</v>
      </c>
      <c r="O206" s="91">
        <f>VLOOKUP(E206,Product_Master!$B$2:$F$11,5,FALSE)</f>
        <v>20</v>
      </c>
      <c r="P206" s="91">
        <f>PRODUCT(Table15[[#This Row],[Quantity]],Table15[[#This Row],[Unit_Cost]])</f>
        <v>780</v>
      </c>
      <c r="Q206" s="72">
        <f>(Table15[[#This Row],[Profit]]/Table15[[#This Row],[Total_Sales]])</f>
        <v>0.36147114993268842</v>
      </c>
      <c r="R206" s="22"/>
      <c r="S206" s="22"/>
      <c r="T206" s="22"/>
      <c r="U206" s="22"/>
    </row>
    <row r="207" spans="1:21" x14ac:dyDescent="0.25">
      <c r="A207" s="7" t="s">
        <v>347</v>
      </c>
      <c r="B207" s="16">
        <v>45685</v>
      </c>
      <c r="C207" s="8" t="s">
        <v>189</v>
      </c>
      <c r="D207" s="8" t="str">
        <f>PROPER(TRIM(Sales_Data!D207))</f>
        <v>Usa</v>
      </c>
      <c r="E207" s="8" t="s">
        <v>36</v>
      </c>
      <c r="F207" s="8" t="s">
        <v>37</v>
      </c>
      <c r="G207" s="91">
        <v>8</v>
      </c>
      <c r="H207" s="9">
        <v>39.869999999999997</v>
      </c>
      <c r="I207" s="87">
        <f>PRODUCT(Table15[[#This Row],[Quantity]],Table15[[#This Row],[Unit_Price]])</f>
        <v>318.95999999999998</v>
      </c>
      <c r="J207" s="9">
        <v>15.95</v>
      </c>
      <c r="K207" s="47">
        <v>47.01</v>
      </c>
      <c r="L207" s="8" t="s">
        <v>38</v>
      </c>
      <c r="M207" s="8" t="s">
        <v>32</v>
      </c>
      <c r="N207" s="8" t="s">
        <v>21</v>
      </c>
      <c r="O207" s="91">
        <f>VLOOKUP(E207,Product_Master!$B$2:$F$11,5,FALSE)</f>
        <v>32</v>
      </c>
      <c r="P207" s="91">
        <f>PRODUCT(Table15[[#This Row],[Quantity]],Table15[[#This Row],[Unit_Cost]])</f>
        <v>256</v>
      </c>
      <c r="Q207" s="72">
        <f>(Table15[[#This Row],[Profit]]/Table15[[#This Row],[Total_Sales]])</f>
        <v>0.14738525206922498</v>
      </c>
      <c r="R207" s="22"/>
      <c r="S207" s="22"/>
      <c r="T207" s="22"/>
      <c r="U207" s="22"/>
    </row>
    <row r="208" spans="1:21" x14ac:dyDescent="0.25">
      <c r="A208" s="7" t="s">
        <v>348</v>
      </c>
      <c r="B208" s="16">
        <v>45771</v>
      </c>
      <c r="C208" s="8" t="s">
        <v>261</v>
      </c>
      <c r="D208" s="8" t="str">
        <f>PROPER(TRIM(Sales_Data!D208))</f>
        <v>Uae</v>
      </c>
      <c r="E208" s="8" t="s">
        <v>43</v>
      </c>
      <c r="F208" s="8" t="s">
        <v>44</v>
      </c>
      <c r="G208" s="91">
        <v>10</v>
      </c>
      <c r="H208" s="9">
        <v>63.1</v>
      </c>
      <c r="I208" s="87">
        <f>PRODUCT(Table15[[#This Row],[Quantity]],Table15[[#This Row],[Unit_Price]])</f>
        <v>631</v>
      </c>
      <c r="J208" s="9">
        <v>26.93</v>
      </c>
      <c r="K208" s="47">
        <v>204.07</v>
      </c>
      <c r="L208" s="8" t="s">
        <v>26</v>
      </c>
      <c r="M208" s="8" t="s">
        <v>27</v>
      </c>
      <c r="N208" s="8" t="s">
        <v>58</v>
      </c>
      <c r="O208" s="91">
        <f>VLOOKUP(E208,Product_Master!$B$2:$F$11,5,FALSE)</f>
        <v>40</v>
      </c>
      <c r="P208" s="91">
        <f>PRODUCT(Table15[[#This Row],[Quantity]],Table15[[#This Row],[Unit_Cost]])</f>
        <v>400</v>
      </c>
      <c r="Q208" s="72">
        <f>(Table15[[#This Row],[Profit]]/Table15[[#This Row],[Total_Sales]])</f>
        <v>0.32340729001584784</v>
      </c>
      <c r="R208" s="22"/>
      <c r="S208" s="22"/>
      <c r="T208" s="22"/>
      <c r="U208" s="22"/>
    </row>
    <row r="209" spans="1:21" x14ac:dyDescent="0.25">
      <c r="A209" s="7" t="s">
        <v>349</v>
      </c>
      <c r="B209" s="16">
        <v>45431</v>
      </c>
      <c r="C209" s="8" t="s">
        <v>100</v>
      </c>
      <c r="D209" s="8" t="str">
        <f>PROPER(TRIM(Sales_Data!D209))</f>
        <v>Germany</v>
      </c>
      <c r="E209" s="8" t="s">
        <v>36</v>
      </c>
      <c r="F209" s="8" t="s">
        <v>37</v>
      </c>
      <c r="G209" s="91">
        <v>3</v>
      </c>
      <c r="H209" s="9">
        <v>55.1</v>
      </c>
      <c r="I209" s="87">
        <f>PRODUCT(Table15[[#This Row],[Quantity]],Table15[[#This Row],[Unit_Price]])</f>
        <v>165.3</v>
      </c>
      <c r="J209" s="9">
        <v>9.17</v>
      </c>
      <c r="K209" s="47">
        <v>60.13</v>
      </c>
      <c r="L209" s="8" t="s">
        <v>19</v>
      </c>
      <c r="M209" s="8" t="s">
        <v>20</v>
      </c>
      <c r="N209" s="8" t="s">
        <v>28</v>
      </c>
      <c r="O209" s="91">
        <f>VLOOKUP(E209,Product_Master!$B$2:$F$11,5,FALSE)</f>
        <v>32</v>
      </c>
      <c r="P209" s="91">
        <f>PRODUCT(Table15[[#This Row],[Quantity]],Table15[[#This Row],[Unit_Cost]])</f>
        <v>96</v>
      </c>
      <c r="Q209" s="72">
        <f>(Table15[[#This Row],[Profit]]/Table15[[#This Row],[Total_Sales]])</f>
        <v>0.36376285541439807</v>
      </c>
      <c r="R209" s="22"/>
      <c r="S209" s="22"/>
      <c r="T209" s="22"/>
      <c r="U209" s="22"/>
    </row>
    <row r="210" spans="1:21" x14ac:dyDescent="0.25">
      <c r="A210" s="7" t="s">
        <v>350</v>
      </c>
      <c r="B210" s="16">
        <v>45337</v>
      </c>
      <c r="C210" s="8" t="s">
        <v>71</v>
      </c>
      <c r="D210" s="8" t="str">
        <f>PROPER(TRIM(Sales_Data!D210))</f>
        <v>India</v>
      </c>
      <c r="E210" s="8" t="s">
        <v>60</v>
      </c>
      <c r="F210" s="8" t="s">
        <v>52</v>
      </c>
      <c r="G210" s="91">
        <v>26</v>
      </c>
      <c r="H210" s="9">
        <v>19.809999999999999</v>
      </c>
      <c r="I210" s="87">
        <f>PRODUCT(Table15[[#This Row],[Quantity]],Table15[[#This Row],[Unit_Price]])</f>
        <v>515.05999999999995</v>
      </c>
      <c r="J210" s="9">
        <v>10.3</v>
      </c>
      <c r="K210" s="47">
        <v>101.76</v>
      </c>
      <c r="L210" s="8" t="s">
        <v>38</v>
      </c>
      <c r="M210" s="8" t="s">
        <v>27</v>
      </c>
      <c r="N210" s="8" t="s">
        <v>58</v>
      </c>
      <c r="O210" s="91">
        <f>VLOOKUP(E210,Product_Master!$B$2:$F$11,5,FALSE)</f>
        <v>15.5</v>
      </c>
      <c r="P210" s="91">
        <f>PRODUCT(Table15[[#This Row],[Quantity]],Table15[[#This Row],[Unit_Cost]])</f>
        <v>403</v>
      </c>
      <c r="Q210" s="72">
        <f>(Table15[[#This Row],[Profit]]/Table15[[#This Row],[Total_Sales]])</f>
        <v>0.19756921523705978</v>
      </c>
      <c r="R210" s="22"/>
      <c r="S210" s="22"/>
      <c r="T210" s="22"/>
      <c r="U210" s="22"/>
    </row>
    <row r="211" spans="1:21" x14ac:dyDescent="0.25">
      <c r="A211" s="7" t="s">
        <v>351</v>
      </c>
      <c r="B211" s="16">
        <v>45750</v>
      </c>
      <c r="C211" s="8" t="s">
        <v>108</v>
      </c>
      <c r="D211" s="8" t="str">
        <f>PROPER(TRIM(Sales_Data!D211))</f>
        <v>Uae</v>
      </c>
      <c r="E211" s="8" t="s">
        <v>43</v>
      </c>
      <c r="F211" s="8" t="s">
        <v>44</v>
      </c>
      <c r="G211" s="91">
        <v>17</v>
      </c>
      <c r="H211" s="9">
        <v>53.34</v>
      </c>
      <c r="I211" s="87">
        <f>PRODUCT(Table15[[#This Row],[Quantity]],Table15[[#This Row],[Unit_Price]])</f>
        <v>906.78000000000009</v>
      </c>
      <c r="J211" s="9">
        <v>30.6</v>
      </c>
      <c r="K211" s="47">
        <v>196.18</v>
      </c>
      <c r="L211" s="8" t="s">
        <v>19</v>
      </c>
      <c r="M211" s="8" t="s">
        <v>27</v>
      </c>
      <c r="N211" s="8" t="s">
        <v>58</v>
      </c>
      <c r="O211" s="91">
        <f>VLOOKUP(E211,Product_Master!$B$2:$F$11,5,FALSE)</f>
        <v>40</v>
      </c>
      <c r="P211" s="91">
        <f>PRODUCT(Table15[[#This Row],[Quantity]],Table15[[#This Row],[Unit_Cost]])</f>
        <v>680</v>
      </c>
      <c r="Q211" s="72">
        <f>(Table15[[#This Row],[Profit]]/Table15[[#This Row],[Total_Sales]])</f>
        <v>0.21634795650543681</v>
      </c>
      <c r="R211" s="22"/>
      <c r="S211" s="22"/>
      <c r="T211" s="22"/>
      <c r="U211" s="22"/>
    </row>
    <row r="212" spans="1:21" x14ac:dyDescent="0.25">
      <c r="A212" s="7" t="s">
        <v>352</v>
      </c>
      <c r="B212" s="16">
        <v>45478</v>
      </c>
      <c r="C212" s="8" t="s">
        <v>93</v>
      </c>
      <c r="D212" s="8" t="str">
        <f>PROPER(TRIM(Sales_Data!D212))</f>
        <v>China</v>
      </c>
      <c r="E212" s="8" t="s">
        <v>48</v>
      </c>
      <c r="F212" s="8" t="s">
        <v>37</v>
      </c>
      <c r="G212" s="91">
        <v>17</v>
      </c>
      <c r="H212" s="9">
        <v>28.23</v>
      </c>
      <c r="I212" s="87">
        <f>PRODUCT(Table15[[#This Row],[Quantity]],Table15[[#This Row],[Unit_Price]])</f>
        <v>479.91</v>
      </c>
      <c r="J212" s="9">
        <v>31.88</v>
      </c>
      <c r="K212" s="47">
        <v>108.03</v>
      </c>
      <c r="L212" s="8" t="s">
        <v>26</v>
      </c>
      <c r="M212" s="8" t="s">
        <v>20</v>
      </c>
      <c r="N212" s="8" t="s">
        <v>58</v>
      </c>
      <c r="O212" s="91">
        <f>VLOOKUP(E212,Product_Master!$B$2:$F$11,5,FALSE)</f>
        <v>20</v>
      </c>
      <c r="P212" s="91">
        <f>PRODUCT(Table15[[#This Row],[Quantity]],Table15[[#This Row],[Unit_Cost]])</f>
        <v>340</v>
      </c>
      <c r="Q212" s="72">
        <f>(Table15[[#This Row],[Profit]]/Table15[[#This Row],[Total_Sales]])</f>
        <v>0.22510470713258734</v>
      </c>
      <c r="R212" s="22"/>
      <c r="S212" s="22"/>
      <c r="T212" s="22"/>
      <c r="U212" s="22"/>
    </row>
    <row r="213" spans="1:21" x14ac:dyDescent="0.25">
      <c r="A213" s="7" t="s">
        <v>353</v>
      </c>
      <c r="B213" s="16">
        <v>45357</v>
      </c>
      <c r="C213" s="8" t="s">
        <v>354</v>
      </c>
      <c r="D213" s="8" t="str">
        <f>PROPER(TRIM(Sales_Data!D213))</f>
        <v>Germany</v>
      </c>
      <c r="E213" s="8" t="s">
        <v>25</v>
      </c>
      <c r="F213" s="8" t="s">
        <v>18</v>
      </c>
      <c r="G213" s="91">
        <v>42</v>
      </c>
      <c r="H213" s="9">
        <v>25.26</v>
      </c>
      <c r="I213" s="87">
        <f>PRODUCT(Table15[[#This Row],[Quantity]],Table15[[#This Row],[Unit_Price]])</f>
        <v>1060.92</v>
      </c>
      <c r="J213" s="9">
        <v>77.05</v>
      </c>
      <c r="K213" s="47">
        <v>227.87</v>
      </c>
      <c r="L213" s="8" t="s">
        <v>19</v>
      </c>
      <c r="M213" s="8" t="s">
        <v>32</v>
      </c>
      <c r="N213" s="8" t="s">
        <v>28</v>
      </c>
      <c r="O213" s="91">
        <f>VLOOKUP(E213,Product_Master!$B$2:$F$11,5,FALSE)</f>
        <v>18</v>
      </c>
      <c r="P213" s="91">
        <f>PRODUCT(Table15[[#This Row],[Quantity]],Table15[[#This Row],[Unit_Cost]])</f>
        <v>756</v>
      </c>
      <c r="Q213" s="72">
        <f>(Table15[[#This Row],[Profit]]/Table15[[#This Row],[Total_Sales]])</f>
        <v>0.21478528069976999</v>
      </c>
      <c r="R213" s="22"/>
      <c r="S213" s="22"/>
      <c r="T213" s="22"/>
      <c r="U213" s="22"/>
    </row>
    <row r="214" spans="1:21" x14ac:dyDescent="0.25">
      <c r="A214" s="7" t="s">
        <v>355</v>
      </c>
      <c r="B214" s="16">
        <v>45555</v>
      </c>
      <c r="C214" s="8" t="s">
        <v>149</v>
      </c>
      <c r="D214" s="8" t="str">
        <f>PROPER(TRIM(Sales_Data!D214))</f>
        <v>India</v>
      </c>
      <c r="E214" s="8" t="s">
        <v>25</v>
      </c>
      <c r="F214" s="8" t="s">
        <v>18</v>
      </c>
      <c r="G214" s="91">
        <v>2</v>
      </c>
      <c r="H214" s="9">
        <v>27.27</v>
      </c>
      <c r="I214" s="87">
        <f>PRODUCT(Table15[[#This Row],[Quantity]],Table15[[#This Row],[Unit_Price]])</f>
        <v>54.54</v>
      </c>
      <c r="J214" s="9">
        <v>1.45</v>
      </c>
      <c r="K214" s="47">
        <v>17.09</v>
      </c>
      <c r="L214" s="8" t="s">
        <v>19</v>
      </c>
      <c r="M214" s="8" t="s">
        <v>32</v>
      </c>
      <c r="N214" s="8" t="s">
        <v>58</v>
      </c>
      <c r="O214" s="91">
        <f>VLOOKUP(E214,Product_Master!$B$2:$F$11,5,FALSE)</f>
        <v>18</v>
      </c>
      <c r="P214" s="91">
        <f>PRODUCT(Table15[[#This Row],[Quantity]],Table15[[#This Row],[Unit_Cost]])</f>
        <v>36</v>
      </c>
      <c r="Q214" s="72">
        <f>(Table15[[#This Row],[Profit]]/Table15[[#This Row],[Total_Sales]])</f>
        <v>0.31334800146681335</v>
      </c>
      <c r="R214" s="22"/>
      <c r="S214" s="22"/>
      <c r="T214" s="22"/>
      <c r="U214" s="22"/>
    </row>
    <row r="215" spans="1:21" x14ac:dyDescent="0.25">
      <c r="A215" s="7" t="s">
        <v>356</v>
      </c>
      <c r="B215" s="16">
        <v>45618</v>
      </c>
      <c r="C215" s="8" t="s">
        <v>231</v>
      </c>
      <c r="D215" s="8" t="str">
        <f>PROPER(TRIM(Sales_Data!D215))</f>
        <v>Uae</v>
      </c>
      <c r="E215" s="8" t="s">
        <v>83</v>
      </c>
      <c r="F215" s="8" t="s">
        <v>52</v>
      </c>
      <c r="G215" s="91">
        <v>48</v>
      </c>
      <c r="H215" s="9">
        <v>44.95</v>
      </c>
      <c r="I215" s="87">
        <f>PRODUCT(Table15[[#This Row],[Quantity]],Table15[[#This Row],[Unit_Price]])</f>
        <v>2157.6000000000004</v>
      </c>
      <c r="J215" s="9">
        <v>148.41</v>
      </c>
      <c r="K215" s="47">
        <v>665.19</v>
      </c>
      <c r="L215" s="8" t="s">
        <v>19</v>
      </c>
      <c r="M215" s="8" t="s">
        <v>20</v>
      </c>
      <c r="N215" s="8" t="s">
        <v>58</v>
      </c>
      <c r="O215" s="91">
        <f>VLOOKUP(E215,Product_Master!$B$2:$F$11,5,FALSE)</f>
        <v>28</v>
      </c>
      <c r="P215" s="91">
        <f>PRODUCT(Table15[[#This Row],[Quantity]],Table15[[#This Row],[Unit_Cost]])</f>
        <v>1344</v>
      </c>
      <c r="Q215" s="72">
        <f>(Table15[[#This Row],[Profit]]/Table15[[#This Row],[Total_Sales]])</f>
        <v>0.30830088987764181</v>
      </c>
      <c r="R215" s="22"/>
      <c r="S215" s="22"/>
      <c r="T215" s="22"/>
      <c r="U215" s="22"/>
    </row>
    <row r="216" spans="1:21" x14ac:dyDescent="0.25">
      <c r="A216" s="7" t="s">
        <v>357</v>
      </c>
      <c r="B216" s="16">
        <v>45758</v>
      </c>
      <c r="C216" s="8" t="s">
        <v>354</v>
      </c>
      <c r="D216" s="8" t="str">
        <f>PROPER(TRIM(Sales_Data!D216))</f>
        <v>Singapore</v>
      </c>
      <c r="E216" s="8" t="s">
        <v>48</v>
      </c>
      <c r="F216" s="8" t="s">
        <v>37</v>
      </c>
      <c r="G216" s="91">
        <v>23</v>
      </c>
      <c r="H216" s="9">
        <v>28.6</v>
      </c>
      <c r="I216" s="87">
        <f>PRODUCT(Table15[[#This Row],[Quantity]],Table15[[#This Row],[Unit_Price]])</f>
        <v>657.80000000000007</v>
      </c>
      <c r="J216" s="9">
        <v>13.36</v>
      </c>
      <c r="K216" s="47">
        <v>184.44</v>
      </c>
      <c r="L216" s="8" t="s">
        <v>19</v>
      </c>
      <c r="M216" s="8" t="s">
        <v>32</v>
      </c>
      <c r="N216" s="8" t="s">
        <v>58</v>
      </c>
      <c r="O216" s="91">
        <f>VLOOKUP(E216,Product_Master!$B$2:$F$11,5,FALSE)</f>
        <v>20</v>
      </c>
      <c r="P216" s="91">
        <f>PRODUCT(Table15[[#This Row],[Quantity]],Table15[[#This Row],[Unit_Cost]])</f>
        <v>460</v>
      </c>
      <c r="Q216" s="72">
        <f>(Table15[[#This Row],[Profit]]/Table15[[#This Row],[Total_Sales]])</f>
        <v>0.28038917604134994</v>
      </c>
      <c r="R216" s="22"/>
      <c r="S216" s="22"/>
      <c r="T216" s="22"/>
      <c r="U216" s="22"/>
    </row>
    <row r="217" spans="1:21" x14ac:dyDescent="0.25">
      <c r="A217" s="7" t="s">
        <v>358</v>
      </c>
      <c r="B217" s="16">
        <v>45608</v>
      </c>
      <c r="C217" s="8" t="s">
        <v>108</v>
      </c>
      <c r="D217" s="8" t="str">
        <f>PROPER(TRIM(Sales_Data!D217))</f>
        <v>France</v>
      </c>
      <c r="E217" s="8" t="s">
        <v>60</v>
      </c>
      <c r="F217" s="8" t="s">
        <v>52</v>
      </c>
      <c r="G217" s="91">
        <v>18</v>
      </c>
      <c r="H217" s="9">
        <v>26.1</v>
      </c>
      <c r="I217" s="87">
        <f>PRODUCT(Table15[[#This Row],[Quantity]],Table15[[#This Row],[Unit_Price]])</f>
        <v>469.8</v>
      </c>
      <c r="J217" s="9">
        <v>19.52</v>
      </c>
      <c r="K217" s="47">
        <v>171.28</v>
      </c>
      <c r="L217" s="8" t="s">
        <v>38</v>
      </c>
      <c r="M217" s="8" t="s">
        <v>20</v>
      </c>
      <c r="N217" s="8" t="s">
        <v>28</v>
      </c>
      <c r="O217" s="91">
        <f>VLOOKUP(E217,Product_Master!$B$2:$F$11,5,FALSE)</f>
        <v>15.5</v>
      </c>
      <c r="P217" s="91">
        <f>PRODUCT(Table15[[#This Row],[Quantity]],Table15[[#This Row],[Unit_Cost]])</f>
        <v>279</v>
      </c>
      <c r="Q217" s="72">
        <f>(Table15[[#This Row],[Profit]]/Table15[[#This Row],[Total_Sales]])</f>
        <v>0.36458067262664962</v>
      </c>
      <c r="R217" s="22"/>
      <c r="S217" s="22"/>
      <c r="T217" s="22"/>
      <c r="U217" s="22"/>
    </row>
    <row r="218" spans="1:21" x14ac:dyDescent="0.25">
      <c r="A218" s="7" t="s">
        <v>359</v>
      </c>
      <c r="B218" s="16">
        <v>45567</v>
      </c>
      <c r="C218" s="8" t="s">
        <v>360</v>
      </c>
      <c r="D218" s="8" t="str">
        <f>PROPER(TRIM(Sales_Data!D218))</f>
        <v>Mexico</v>
      </c>
      <c r="E218" s="8" t="s">
        <v>83</v>
      </c>
      <c r="F218" s="8" t="s">
        <v>52</v>
      </c>
      <c r="G218" s="91">
        <v>21</v>
      </c>
      <c r="H218" s="9">
        <v>37.450000000000003</v>
      </c>
      <c r="I218" s="87">
        <f>PRODUCT(Table15[[#This Row],[Quantity]],Table15[[#This Row],[Unit_Price]])</f>
        <v>786.45</v>
      </c>
      <c r="J218" s="9">
        <v>62.4</v>
      </c>
      <c r="K218" s="47">
        <v>136.05000000000001</v>
      </c>
      <c r="L218" s="8" t="s">
        <v>19</v>
      </c>
      <c r="M218" s="8" t="s">
        <v>32</v>
      </c>
      <c r="N218" s="8" t="s">
        <v>21</v>
      </c>
      <c r="O218" s="91">
        <f>VLOOKUP(E218,Product_Master!$B$2:$F$11,5,FALSE)</f>
        <v>28</v>
      </c>
      <c r="P218" s="91">
        <f>PRODUCT(Table15[[#This Row],[Quantity]],Table15[[#This Row],[Unit_Cost]])</f>
        <v>588</v>
      </c>
      <c r="Q218" s="72">
        <f>(Table15[[#This Row],[Profit]]/Table15[[#This Row],[Total_Sales]])</f>
        <v>0.17299256151058554</v>
      </c>
      <c r="R218" s="22"/>
      <c r="S218" s="22"/>
      <c r="T218" s="22"/>
      <c r="U218" s="22"/>
    </row>
    <row r="219" spans="1:21" x14ac:dyDescent="0.25">
      <c r="A219" s="7" t="s">
        <v>361</v>
      </c>
      <c r="B219" s="16">
        <v>45641</v>
      </c>
      <c r="C219" s="8" t="s">
        <v>323</v>
      </c>
      <c r="D219" s="8" t="str">
        <f>PROPER(TRIM(Sales_Data!D219))</f>
        <v>Singapore</v>
      </c>
      <c r="E219" s="8" t="s">
        <v>48</v>
      </c>
      <c r="F219" s="8" t="s">
        <v>37</v>
      </c>
      <c r="G219" s="91">
        <v>25</v>
      </c>
      <c r="H219" s="9">
        <v>28.54</v>
      </c>
      <c r="I219" s="87">
        <f>PRODUCT(Table15[[#This Row],[Quantity]],Table15[[#This Row],[Unit_Price]])</f>
        <v>713.5</v>
      </c>
      <c r="J219" s="9">
        <v>50.38</v>
      </c>
      <c r="K219" s="47">
        <v>163.12</v>
      </c>
      <c r="L219" s="8" t="s">
        <v>19</v>
      </c>
      <c r="M219" s="8" t="s">
        <v>20</v>
      </c>
      <c r="N219" s="8" t="s">
        <v>58</v>
      </c>
      <c r="O219" s="91">
        <f>VLOOKUP(E219,Product_Master!$B$2:$F$11,5,FALSE)</f>
        <v>20</v>
      </c>
      <c r="P219" s="91">
        <f>PRODUCT(Table15[[#This Row],[Quantity]],Table15[[#This Row],[Unit_Cost]])</f>
        <v>500</v>
      </c>
      <c r="Q219" s="72">
        <f>(Table15[[#This Row],[Profit]]/Table15[[#This Row],[Total_Sales]])</f>
        <v>0.22861948142957253</v>
      </c>
      <c r="R219" s="22"/>
      <c r="S219" s="22"/>
      <c r="T219" s="22"/>
      <c r="U219" s="22"/>
    </row>
    <row r="220" spans="1:21" x14ac:dyDescent="0.25">
      <c r="A220" s="7" t="s">
        <v>362</v>
      </c>
      <c r="B220" s="16">
        <v>45716</v>
      </c>
      <c r="C220" s="8" t="s">
        <v>113</v>
      </c>
      <c r="D220" s="8" t="str">
        <f>PROPER(TRIM(Sales_Data!D220))</f>
        <v>Usa</v>
      </c>
      <c r="E220" s="8" t="s">
        <v>56</v>
      </c>
      <c r="F220" s="8" t="s">
        <v>57</v>
      </c>
      <c r="G220" s="91">
        <v>11</v>
      </c>
      <c r="H220" s="9">
        <v>38.07</v>
      </c>
      <c r="I220" s="87">
        <f>PRODUCT(Table15[[#This Row],[Quantity]],Table15[[#This Row],[Unit_Price]])</f>
        <v>418.77</v>
      </c>
      <c r="J220" s="9">
        <v>29.02</v>
      </c>
      <c r="K220" s="47">
        <v>114.75</v>
      </c>
      <c r="L220" s="8" t="s">
        <v>26</v>
      </c>
      <c r="M220" s="8" t="s">
        <v>20</v>
      </c>
      <c r="N220" s="8" t="s">
        <v>21</v>
      </c>
      <c r="O220" s="91">
        <f>VLOOKUP(E220,Product_Master!$B$2:$F$11,5,FALSE)</f>
        <v>25</v>
      </c>
      <c r="P220" s="91">
        <f>PRODUCT(Table15[[#This Row],[Quantity]],Table15[[#This Row],[Unit_Cost]])</f>
        <v>275</v>
      </c>
      <c r="Q220" s="72">
        <f>(Table15[[#This Row],[Profit]]/Table15[[#This Row],[Total_Sales]])</f>
        <v>0.27401676337846553</v>
      </c>
      <c r="R220" s="22"/>
      <c r="S220" s="22"/>
      <c r="T220" s="22"/>
      <c r="U220" s="22"/>
    </row>
    <row r="221" spans="1:21" x14ac:dyDescent="0.25">
      <c r="A221" s="7" t="s">
        <v>363</v>
      </c>
      <c r="B221" s="16">
        <v>45587</v>
      </c>
      <c r="C221" s="8" t="s">
        <v>364</v>
      </c>
      <c r="D221" s="8" t="str">
        <f>PROPER(TRIM(Sales_Data!D221))</f>
        <v>Canada</v>
      </c>
      <c r="E221" s="8" t="s">
        <v>60</v>
      </c>
      <c r="F221" s="8" t="s">
        <v>52</v>
      </c>
      <c r="G221" s="91">
        <v>18</v>
      </c>
      <c r="H221" s="9">
        <v>19.32</v>
      </c>
      <c r="I221" s="87">
        <f>PRODUCT(Table15[[#This Row],[Quantity]],Table15[[#This Row],[Unit_Price]])</f>
        <v>347.76</v>
      </c>
      <c r="J221" s="9">
        <v>21.34</v>
      </c>
      <c r="K221" s="47">
        <v>47.42</v>
      </c>
      <c r="L221" s="8" t="s">
        <v>26</v>
      </c>
      <c r="M221" s="8" t="s">
        <v>20</v>
      </c>
      <c r="N221" s="8" t="s">
        <v>21</v>
      </c>
      <c r="O221" s="91">
        <f>VLOOKUP(E221,Product_Master!$B$2:$F$11,5,FALSE)</f>
        <v>15.5</v>
      </c>
      <c r="P221" s="91">
        <f>PRODUCT(Table15[[#This Row],[Quantity]],Table15[[#This Row],[Unit_Cost]])</f>
        <v>279</v>
      </c>
      <c r="Q221" s="72">
        <f>(Table15[[#This Row],[Profit]]/Table15[[#This Row],[Total_Sales]])</f>
        <v>0.13635840809753855</v>
      </c>
      <c r="R221" s="22"/>
      <c r="S221" s="22"/>
      <c r="T221" s="22"/>
      <c r="U221" s="22"/>
    </row>
    <row r="222" spans="1:21" x14ac:dyDescent="0.25">
      <c r="A222" s="7" t="s">
        <v>365</v>
      </c>
      <c r="B222" s="16">
        <v>45450</v>
      </c>
      <c r="C222" s="8" t="s">
        <v>65</v>
      </c>
      <c r="D222" s="8" t="str">
        <f>PROPER(TRIM(Sales_Data!D222))</f>
        <v>Uk</v>
      </c>
      <c r="E222" s="8" t="s">
        <v>83</v>
      </c>
      <c r="F222" s="8" t="s">
        <v>52</v>
      </c>
      <c r="G222" s="91">
        <v>42</v>
      </c>
      <c r="H222" s="9">
        <v>50.02</v>
      </c>
      <c r="I222" s="87">
        <f>PRODUCT(Table15[[#This Row],[Quantity]],Table15[[#This Row],[Unit_Price]])</f>
        <v>2100.84</v>
      </c>
      <c r="J222" s="9">
        <v>89.65</v>
      </c>
      <c r="K222" s="47">
        <v>835.19</v>
      </c>
      <c r="L222" s="8" t="s">
        <v>26</v>
      </c>
      <c r="M222" s="8" t="s">
        <v>27</v>
      </c>
      <c r="N222" s="8" t="s">
        <v>28</v>
      </c>
      <c r="O222" s="91">
        <f>VLOOKUP(E222,Product_Master!$B$2:$F$11,5,FALSE)</f>
        <v>28</v>
      </c>
      <c r="P222" s="91">
        <f>PRODUCT(Table15[[#This Row],[Quantity]],Table15[[#This Row],[Unit_Cost]])</f>
        <v>1176</v>
      </c>
      <c r="Q222" s="72">
        <f>(Table15[[#This Row],[Profit]]/Table15[[#This Row],[Total_Sales]])</f>
        <v>0.39755050360808059</v>
      </c>
      <c r="R222" s="22"/>
      <c r="S222" s="22"/>
      <c r="T222" s="22"/>
      <c r="U222" s="22"/>
    </row>
    <row r="223" spans="1:21" x14ac:dyDescent="0.25">
      <c r="A223" s="7" t="s">
        <v>366</v>
      </c>
      <c r="B223" s="16">
        <v>45663</v>
      </c>
      <c r="C223" s="8" t="s">
        <v>257</v>
      </c>
      <c r="D223" s="8" t="str">
        <f>PROPER(TRIM(Sales_Data!D223))</f>
        <v>Australia</v>
      </c>
      <c r="E223" s="8" t="s">
        <v>83</v>
      </c>
      <c r="F223" s="8" t="s">
        <v>52</v>
      </c>
      <c r="G223" s="91">
        <v>13</v>
      </c>
      <c r="H223" s="9">
        <v>49.39</v>
      </c>
      <c r="I223" s="87">
        <f>PRODUCT(Table15[[#This Row],[Quantity]],Table15[[#This Row],[Unit_Price]])</f>
        <v>642.07000000000005</v>
      </c>
      <c r="J223" s="9">
        <v>38.32</v>
      </c>
      <c r="K223" s="47">
        <v>239.75</v>
      </c>
      <c r="L223" s="8" t="s">
        <v>26</v>
      </c>
      <c r="M223" s="8" t="s">
        <v>20</v>
      </c>
      <c r="N223" s="8" t="s">
        <v>130</v>
      </c>
      <c r="O223" s="91">
        <f>VLOOKUP(E223,Product_Master!$B$2:$F$11,5,FALSE)</f>
        <v>28</v>
      </c>
      <c r="P223" s="91">
        <f>PRODUCT(Table15[[#This Row],[Quantity]],Table15[[#This Row],[Unit_Cost]])</f>
        <v>364</v>
      </c>
      <c r="Q223" s="72">
        <f>(Table15[[#This Row],[Profit]]/Table15[[#This Row],[Total_Sales]])</f>
        <v>0.37340165402526199</v>
      </c>
      <c r="R223" s="22"/>
      <c r="S223" s="22"/>
      <c r="T223" s="22"/>
      <c r="U223" s="22"/>
    </row>
    <row r="224" spans="1:21" x14ac:dyDescent="0.25">
      <c r="A224" s="7" t="s">
        <v>367</v>
      </c>
      <c r="B224" s="16">
        <v>45784</v>
      </c>
      <c r="C224" s="8" t="s">
        <v>117</v>
      </c>
      <c r="D224" s="8" t="str">
        <f>PROPER(TRIM(Sales_Data!D224))</f>
        <v>Uk</v>
      </c>
      <c r="E224" s="8" t="s">
        <v>25</v>
      </c>
      <c r="F224" s="8" t="s">
        <v>18</v>
      </c>
      <c r="G224" s="91">
        <v>15</v>
      </c>
      <c r="H224" s="9">
        <v>22.86</v>
      </c>
      <c r="I224" s="87">
        <f>PRODUCT(Table15[[#This Row],[Quantity]],Table15[[#This Row],[Unit_Price]])</f>
        <v>342.9</v>
      </c>
      <c r="J224" s="9">
        <v>27.16</v>
      </c>
      <c r="K224" s="47">
        <v>45.74</v>
      </c>
      <c r="L224" s="8" t="s">
        <v>38</v>
      </c>
      <c r="M224" s="8" t="s">
        <v>32</v>
      </c>
      <c r="N224" s="8" t="s">
        <v>28</v>
      </c>
      <c r="O224" s="91">
        <f>VLOOKUP(E224,Product_Master!$B$2:$F$11,5,FALSE)</f>
        <v>18</v>
      </c>
      <c r="P224" s="91">
        <f>PRODUCT(Table15[[#This Row],[Quantity]],Table15[[#This Row],[Unit_Cost]])</f>
        <v>270</v>
      </c>
      <c r="Q224" s="72">
        <f>(Table15[[#This Row],[Profit]]/Table15[[#This Row],[Total_Sales]])</f>
        <v>0.13339165937591135</v>
      </c>
      <c r="R224" s="22"/>
      <c r="S224" s="22"/>
      <c r="T224" s="22"/>
      <c r="U224" s="22"/>
    </row>
    <row r="225" spans="1:21" x14ac:dyDescent="0.25">
      <c r="A225" s="7" t="s">
        <v>368</v>
      </c>
      <c r="B225" s="16">
        <v>45554</v>
      </c>
      <c r="C225" s="8" t="s">
        <v>360</v>
      </c>
      <c r="D225" s="8" t="str">
        <f>PROPER(TRIM(Sales_Data!D225))</f>
        <v>India</v>
      </c>
      <c r="E225" s="8" t="s">
        <v>56</v>
      </c>
      <c r="F225" s="8" t="s">
        <v>57</v>
      </c>
      <c r="G225" s="91">
        <v>37</v>
      </c>
      <c r="H225" s="9">
        <v>37.270000000000003</v>
      </c>
      <c r="I225" s="87">
        <f>PRODUCT(Table15[[#This Row],[Quantity]],Table15[[#This Row],[Unit_Price]])</f>
        <v>1378.99</v>
      </c>
      <c r="J225" s="9">
        <v>92.92</v>
      </c>
      <c r="K225" s="47">
        <v>361.07</v>
      </c>
      <c r="L225" s="8" t="s">
        <v>19</v>
      </c>
      <c r="M225" s="8" t="s">
        <v>20</v>
      </c>
      <c r="N225" s="8" t="s">
        <v>58</v>
      </c>
      <c r="O225" s="91">
        <f>VLOOKUP(E225,Product_Master!$B$2:$F$11,5,FALSE)</f>
        <v>25</v>
      </c>
      <c r="P225" s="91">
        <f>PRODUCT(Table15[[#This Row],[Quantity]],Table15[[#This Row],[Unit_Cost]])</f>
        <v>925</v>
      </c>
      <c r="Q225" s="72">
        <f>(Table15[[#This Row],[Profit]]/Table15[[#This Row],[Total_Sales]])</f>
        <v>0.26183656154141799</v>
      </c>
      <c r="R225" s="22"/>
      <c r="S225" s="22"/>
      <c r="T225" s="22"/>
      <c r="U225" s="22"/>
    </row>
    <row r="226" spans="1:21" x14ac:dyDescent="0.25">
      <c r="A226" s="7" t="s">
        <v>369</v>
      </c>
      <c r="B226" s="16">
        <v>45374</v>
      </c>
      <c r="C226" s="8" t="s">
        <v>46</v>
      </c>
      <c r="D226" s="8" t="str">
        <f>PROPER(TRIM(Sales_Data!D226))</f>
        <v>France</v>
      </c>
      <c r="E226" s="8" t="s">
        <v>17</v>
      </c>
      <c r="F226" s="8" t="s">
        <v>18</v>
      </c>
      <c r="G226" s="91">
        <v>49</v>
      </c>
      <c r="H226" s="9">
        <v>54.05</v>
      </c>
      <c r="I226" s="87">
        <f>PRODUCT(Table15[[#This Row],[Quantity]],Table15[[#This Row],[Unit_Price]])</f>
        <v>2648.45</v>
      </c>
      <c r="J226" s="9">
        <v>66.8</v>
      </c>
      <c r="K226" s="47">
        <v>866.65</v>
      </c>
      <c r="L226" s="8" t="s">
        <v>38</v>
      </c>
      <c r="M226" s="8" t="s">
        <v>20</v>
      </c>
      <c r="N226" s="8" t="s">
        <v>28</v>
      </c>
      <c r="O226" s="91">
        <f>VLOOKUP(E226,Product_Master!$B$2:$F$11,5,FALSE)</f>
        <v>35</v>
      </c>
      <c r="P226" s="91">
        <f>PRODUCT(Table15[[#This Row],[Quantity]],Table15[[#This Row],[Unit_Cost]])</f>
        <v>1715</v>
      </c>
      <c r="Q226" s="72">
        <f>(Table15[[#This Row],[Profit]]/Table15[[#This Row],[Total_Sales]])</f>
        <v>0.32722913402178633</v>
      </c>
      <c r="R226" s="22"/>
      <c r="S226" s="22"/>
      <c r="T226" s="22"/>
      <c r="U226" s="22"/>
    </row>
    <row r="227" spans="1:21" x14ac:dyDescent="0.25">
      <c r="A227" s="7" t="s">
        <v>370</v>
      </c>
      <c r="B227" s="16">
        <v>45522</v>
      </c>
      <c r="C227" s="8" t="s">
        <v>371</v>
      </c>
      <c r="D227" s="8" t="str">
        <f>PROPER(TRIM(Sales_Data!D227))</f>
        <v>Uk</v>
      </c>
      <c r="E227" s="8" t="s">
        <v>63</v>
      </c>
      <c r="F227" s="8" t="s">
        <v>37</v>
      </c>
      <c r="G227" s="91">
        <v>33</v>
      </c>
      <c r="H227" s="9">
        <v>20.059999999999999</v>
      </c>
      <c r="I227" s="87">
        <f>PRODUCT(Table15[[#This Row],[Quantity]],Table15[[#This Row],[Unit_Price]])</f>
        <v>661.9799999999999</v>
      </c>
      <c r="J227" s="9">
        <v>50.02</v>
      </c>
      <c r="K227" s="47">
        <v>191.21</v>
      </c>
      <c r="L227" s="8" t="s">
        <v>38</v>
      </c>
      <c r="M227" s="8" t="s">
        <v>27</v>
      </c>
      <c r="N227" s="8" t="s">
        <v>28</v>
      </c>
      <c r="O227" s="91">
        <f>VLOOKUP(E227,Product_Master!$B$2:$F$11,5,FALSE)</f>
        <v>12.75</v>
      </c>
      <c r="P227" s="91">
        <f>PRODUCT(Table15[[#This Row],[Quantity]],Table15[[#This Row],[Unit_Cost]])</f>
        <v>420.75</v>
      </c>
      <c r="Q227" s="72">
        <f>(Table15[[#This Row],[Profit]]/Table15[[#This Row],[Total_Sales]])</f>
        <v>0.28884558445874503</v>
      </c>
      <c r="R227" s="22"/>
      <c r="S227" s="22"/>
      <c r="T227" s="22"/>
      <c r="U227" s="22"/>
    </row>
    <row r="228" spans="1:21" x14ac:dyDescent="0.25">
      <c r="A228" s="7" t="s">
        <v>372</v>
      </c>
      <c r="B228" s="16">
        <v>45603</v>
      </c>
      <c r="C228" s="8" t="s">
        <v>207</v>
      </c>
      <c r="D228" s="8" t="str">
        <f>PROPER(TRIM(Sales_Data!D228))</f>
        <v>Germany</v>
      </c>
      <c r="E228" s="8" t="s">
        <v>83</v>
      </c>
      <c r="F228" s="8" t="s">
        <v>52</v>
      </c>
      <c r="G228" s="91">
        <v>49</v>
      </c>
      <c r="H228" s="9">
        <v>35.68</v>
      </c>
      <c r="I228" s="87">
        <f>PRODUCT(Table15[[#This Row],[Quantity]],Table15[[#This Row],[Unit_Price]])</f>
        <v>1748.32</v>
      </c>
      <c r="J228" s="9">
        <v>124.47</v>
      </c>
      <c r="K228" s="47">
        <v>251.85</v>
      </c>
      <c r="L228" s="8" t="s">
        <v>38</v>
      </c>
      <c r="M228" s="8" t="s">
        <v>32</v>
      </c>
      <c r="N228" s="8" t="s">
        <v>28</v>
      </c>
      <c r="O228" s="91">
        <f>VLOOKUP(E228,Product_Master!$B$2:$F$11,5,FALSE)</f>
        <v>28</v>
      </c>
      <c r="P228" s="91">
        <f>PRODUCT(Table15[[#This Row],[Quantity]],Table15[[#This Row],[Unit_Cost]])</f>
        <v>1372</v>
      </c>
      <c r="Q228" s="72">
        <f>(Table15[[#This Row],[Profit]]/Table15[[#This Row],[Total_Sales]])</f>
        <v>0.14405257618742565</v>
      </c>
      <c r="R228" s="22"/>
      <c r="S228" s="22"/>
      <c r="T228" s="22"/>
      <c r="U228" s="22"/>
    </row>
    <row r="229" spans="1:21" x14ac:dyDescent="0.25">
      <c r="A229" s="7" t="s">
        <v>373</v>
      </c>
      <c r="B229" s="16">
        <v>45718</v>
      </c>
      <c r="C229" s="8" t="s">
        <v>30</v>
      </c>
      <c r="D229" s="8" t="str">
        <f>PROPER(TRIM(Sales_Data!D229))</f>
        <v>India</v>
      </c>
      <c r="E229" s="8" t="s">
        <v>56</v>
      </c>
      <c r="F229" s="8" t="s">
        <v>57</v>
      </c>
      <c r="G229" s="91">
        <v>23</v>
      </c>
      <c r="H229" s="9">
        <v>30.89</v>
      </c>
      <c r="I229" s="87">
        <f>PRODUCT(Table15[[#This Row],[Quantity]],Table15[[#This Row],[Unit_Price]])</f>
        <v>710.47</v>
      </c>
      <c r="J229" s="9">
        <v>18.739999999999998</v>
      </c>
      <c r="K229" s="47">
        <v>116.73</v>
      </c>
      <c r="L229" s="8" t="s">
        <v>26</v>
      </c>
      <c r="M229" s="8" t="s">
        <v>20</v>
      </c>
      <c r="N229" s="8" t="s">
        <v>58</v>
      </c>
      <c r="O229" s="91">
        <f>VLOOKUP(E229,Product_Master!$B$2:$F$11,5,FALSE)</f>
        <v>25</v>
      </c>
      <c r="P229" s="91">
        <f>PRODUCT(Table15[[#This Row],[Quantity]],Table15[[#This Row],[Unit_Cost]])</f>
        <v>575</v>
      </c>
      <c r="Q229" s="72">
        <f>(Table15[[#This Row],[Profit]]/Table15[[#This Row],[Total_Sales]])</f>
        <v>0.16429968893830843</v>
      </c>
      <c r="R229" s="22"/>
      <c r="S229" s="22"/>
      <c r="T229" s="22"/>
      <c r="U229" s="22"/>
    </row>
    <row r="230" spans="1:21" x14ac:dyDescent="0.25">
      <c r="A230" s="7" t="s">
        <v>374</v>
      </c>
      <c r="B230" s="16">
        <v>45566</v>
      </c>
      <c r="C230" s="8" t="s">
        <v>34</v>
      </c>
      <c r="D230" s="8" t="str">
        <f>PROPER(TRIM(Sales_Data!D230))</f>
        <v>France</v>
      </c>
      <c r="E230" s="8" t="s">
        <v>17</v>
      </c>
      <c r="F230" s="8" t="s">
        <v>18</v>
      </c>
      <c r="G230" s="91">
        <v>14</v>
      </c>
      <c r="H230" s="9">
        <v>59.6</v>
      </c>
      <c r="I230" s="87">
        <f>PRODUCT(Table15[[#This Row],[Quantity]],Table15[[#This Row],[Unit_Price]])</f>
        <v>834.4</v>
      </c>
      <c r="J230" s="9">
        <v>19.11</v>
      </c>
      <c r="K230" s="47">
        <v>325.29000000000002</v>
      </c>
      <c r="L230" s="8" t="s">
        <v>26</v>
      </c>
      <c r="M230" s="8" t="s">
        <v>27</v>
      </c>
      <c r="N230" s="8" t="s">
        <v>28</v>
      </c>
      <c r="O230" s="91">
        <f>VLOOKUP(E230,Product_Master!$B$2:$F$11,5,FALSE)</f>
        <v>35</v>
      </c>
      <c r="P230" s="91">
        <f>PRODUCT(Table15[[#This Row],[Quantity]],Table15[[#This Row],[Unit_Cost]])</f>
        <v>490</v>
      </c>
      <c r="Q230" s="72">
        <f>(Table15[[#This Row],[Profit]]/Table15[[#This Row],[Total_Sales]])</f>
        <v>0.38984899328859063</v>
      </c>
      <c r="R230" s="22"/>
      <c r="S230" s="22"/>
      <c r="T230" s="22"/>
      <c r="U230" s="22"/>
    </row>
    <row r="231" spans="1:21" x14ac:dyDescent="0.25">
      <c r="A231" s="7" t="s">
        <v>375</v>
      </c>
      <c r="B231" s="16">
        <v>45709</v>
      </c>
      <c r="C231" s="8" t="s">
        <v>303</v>
      </c>
      <c r="D231" s="8" t="str">
        <f>PROPER(TRIM(Sales_Data!D231))</f>
        <v>Germany</v>
      </c>
      <c r="E231" s="8" t="s">
        <v>51</v>
      </c>
      <c r="F231" s="8" t="s">
        <v>52</v>
      </c>
      <c r="G231" s="91">
        <v>3</v>
      </c>
      <c r="H231" s="9">
        <v>28.36</v>
      </c>
      <c r="I231" s="87">
        <f>PRODUCT(Table15[[#This Row],[Quantity]],Table15[[#This Row],[Unit_Price]])</f>
        <v>85.08</v>
      </c>
      <c r="J231" s="9">
        <v>4.46</v>
      </c>
      <c r="K231" s="47">
        <v>13.12</v>
      </c>
      <c r="L231" s="8" t="s">
        <v>19</v>
      </c>
      <c r="M231" s="8" t="s">
        <v>27</v>
      </c>
      <c r="N231" s="8" t="s">
        <v>28</v>
      </c>
      <c r="O231" s="91">
        <f>VLOOKUP(E231,Product_Master!$B$2:$F$11,5,FALSE)</f>
        <v>22.5</v>
      </c>
      <c r="P231" s="91">
        <f>PRODUCT(Table15[[#This Row],[Quantity]],Table15[[#This Row],[Unit_Cost]])</f>
        <v>67.5</v>
      </c>
      <c r="Q231" s="72">
        <f>(Table15[[#This Row],[Profit]]/Table15[[#This Row],[Total_Sales]])</f>
        <v>0.15420780441936999</v>
      </c>
      <c r="R231" s="22"/>
      <c r="S231" s="22"/>
      <c r="T231" s="22"/>
      <c r="U231" s="22"/>
    </row>
    <row r="232" spans="1:21" x14ac:dyDescent="0.25">
      <c r="A232" s="7" t="s">
        <v>376</v>
      </c>
      <c r="B232" s="16">
        <v>45625</v>
      </c>
      <c r="C232" s="8" t="s">
        <v>135</v>
      </c>
      <c r="D232" s="8" t="str">
        <f>PROPER(TRIM(Sales_Data!D232))</f>
        <v>Germany</v>
      </c>
      <c r="E232" s="8" t="s">
        <v>63</v>
      </c>
      <c r="F232" s="8" t="s">
        <v>37</v>
      </c>
      <c r="G232" s="91">
        <v>28</v>
      </c>
      <c r="H232" s="9">
        <v>22.13</v>
      </c>
      <c r="I232" s="87">
        <f>PRODUCT(Table15[[#This Row],[Quantity]],Table15[[#This Row],[Unit_Price]])</f>
        <v>619.64</v>
      </c>
      <c r="J232" s="9">
        <v>17.2</v>
      </c>
      <c r="K232" s="47">
        <v>245.44</v>
      </c>
      <c r="L232" s="8" t="s">
        <v>26</v>
      </c>
      <c r="M232" s="8" t="s">
        <v>32</v>
      </c>
      <c r="N232" s="8" t="s">
        <v>28</v>
      </c>
      <c r="O232" s="91">
        <f>VLOOKUP(E232,Product_Master!$B$2:$F$11,5,FALSE)</f>
        <v>12.75</v>
      </c>
      <c r="P232" s="91">
        <f>PRODUCT(Table15[[#This Row],[Quantity]],Table15[[#This Row],[Unit_Cost]])</f>
        <v>357</v>
      </c>
      <c r="Q232" s="72">
        <f>(Table15[[#This Row],[Profit]]/Table15[[#This Row],[Total_Sales]])</f>
        <v>0.39610096184881544</v>
      </c>
      <c r="R232" s="22"/>
      <c r="S232" s="22"/>
      <c r="T232" s="22"/>
      <c r="U232" s="22"/>
    </row>
    <row r="233" spans="1:21" x14ac:dyDescent="0.25">
      <c r="A233" s="7" t="s">
        <v>377</v>
      </c>
      <c r="B233" s="16">
        <v>45643</v>
      </c>
      <c r="C233" s="8" t="s">
        <v>233</v>
      </c>
      <c r="D233" s="8" t="str">
        <f>PROPER(TRIM(Sales_Data!D233))</f>
        <v>Usa</v>
      </c>
      <c r="E233" s="8" t="s">
        <v>25</v>
      </c>
      <c r="F233" s="8" t="s">
        <v>18</v>
      </c>
      <c r="G233" s="91">
        <v>28</v>
      </c>
      <c r="H233" s="9">
        <v>27.62</v>
      </c>
      <c r="I233" s="87">
        <f>PRODUCT(Table15[[#This Row],[Quantity]],Table15[[#This Row],[Unit_Price]])</f>
        <v>773.36</v>
      </c>
      <c r="J233" s="9">
        <v>29.88</v>
      </c>
      <c r="K233" s="47">
        <v>239.48</v>
      </c>
      <c r="L233" s="8" t="s">
        <v>19</v>
      </c>
      <c r="M233" s="8" t="s">
        <v>20</v>
      </c>
      <c r="N233" s="8" t="s">
        <v>21</v>
      </c>
      <c r="O233" s="91">
        <f>VLOOKUP(E233,Product_Master!$B$2:$F$11,5,FALSE)</f>
        <v>18</v>
      </c>
      <c r="P233" s="91">
        <f>PRODUCT(Table15[[#This Row],[Quantity]],Table15[[#This Row],[Unit_Cost]])</f>
        <v>504</v>
      </c>
      <c r="Q233" s="72">
        <f>(Table15[[#This Row],[Profit]]/Table15[[#This Row],[Total_Sales]])</f>
        <v>0.30966173580221368</v>
      </c>
      <c r="R233" s="22"/>
      <c r="S233" s="22"/>
      <c r="T233" s="22"/>
      <c r="U233" s="22"/>
    </row>
    <row r="234" spans="1:21" x14ac:dyDescent="0.25">
      <c r="A234" s="7" t="s">
        <v>378</v>
      </c>
      <c r="B234" s="16">
        <v>45723</v>
      </c>
      <c r="C234" s="8" t="s">
        <v>121</v>
      </c>
      <c r="D234" s="8" t="str">
        <f>PROPER(TRIM(Sales_Data!D234))</f>
        <v>Canada</v>
      </c>
      <c r="E234" s="8" t="s">
        <v>56</v>
      </c>
      <c r="F234" s="8" t="s">
        <v>57</v>
      </c>
      <c r="G234" s="91">
        <v>40</v>
      </c>
      <c r="H234" s="9">
        <v>34.229999999999997</v>
      </c>
      <c r="I234" s="87">
        <f>PRODUCT(Table15[[#This Row],[Quantity]],Table15[[#This Row],[Unit_Price]])</f>
        <v>1369.1999999999998</v>
      </c>
      <c r="J234" s="9">
        <v>78.03</v>
      </c>
      <c r="K234" s="47">
        <v>291.17</v>
      </c>
      <c r="L234" s="8" t="s">
        <v>19</v>
      </c>
      <c r="M234" s="8" t="s">
        <v>20</v>
      </c>
      <c r="N234" s="8" t="s">
        <v>21</v>
      </c>
      <c r="O234" s="91">
        <f>VLOOKUP(E234,Product_Master!$B$2:$F$11,5,FALSE)</f>
        <v>25</v>
      </c>
      <c r="P234" s="91">
        <f>PRODUCT(Table15[[#This Row],[Quantity]],Table15[[#This Row],[Unit_Cost]])</f>
        <v>1000</v>
      </c>
      <c r="Q234" s="72">
        <f>(Table15[[#This Row],[Profit]]/Table15[[#This Row],[Total_Sales]])</f>
        <v>0.21265702600058431</v>
      </c>
      <c r="R234" s="22"/>
      <c r="S234" s="22"/>
      <c r="T234" s="22"/>
      <c r="U234" s="22"/>
    </row>
    <row r="235" spans="1:21" x14ac:dyDescent="0.25">
      <c r="A235" s="7" t="s">
        <v>379</v>
      </c>
      <c r="B235" s="16">
        <v>45665</v>
      </c>
      <c r="C235" s="8" t="s">
        <v>179</v>
      </c>
      <c r="D235" s="8" t="str">
        <f>PROPER(TRIM(Sales_Data!D235))</f>
        <v>Japan</v>
      </c>
      <c r="E235" s="8" t="s">
        <v>43</v>
      </c>
      <c r="F235" s="8" t="s">
        <v>44</v>
      </c>
      <c r="G235" s="91">
        <v>9</v>
      </c>
      <c r="H235" s="9">
        <v>52.2</v>
      </c>
      <c r="I235" s="87">
        <f>PRODUCT(Table15[[#This Row],[Quantity]],Table15[[#This Row],[Unit_Price]])</f>
        <v>469.8</v>
      </c>
      <c r="J235" s="9">
        <v>31.5</v>
      </c>
      <c r="K235" s="47">
        <v>78.3</v>
      </c>
      <c r="L235" s="8" t="s">
        <v>38</v>
      </c>
      <c r="M235" s="8" t="s">
        <v>32</v>
      </c>
      <c r="N235" s="8" t="s">
        <v>58</v>
      </c>
      <c r="O235" s="91">
        <f>VLOOKUP(E235,Product_Master!$B$2:$F$11,5,FALSE)</f>
        <v>40</v>
      </c>
      <c r="P235" s="91">
        <f>PRODUCT(Table15[[#This Row],[Quantity]],Table15[[#This Row],[Unit_Cost]])</f>
        <v>360</v>
      </c>
      <c r="Q235" s="72">
        <f>(Table15[[#This Row],[Profit]]/Table15[[#This Row],[Total_Sales]])</f>
        <v>0.16666666666666666</v>
      </c>
      <c r="R235" s="22"/>
      <c r="S235" s="22"/>
      <c r="T235" s="22"/>
      <c r="U235" s="22"/>
    </row>
    <row r="236" spans="1:21" x14ac:dyDescent="0.25">
      <c r="A236" s="7" t="s">
        <v>380</v>
      </c>
      <c r="B236" s="16">
        <v>45745</v>
      </c>
      <c r="C236" s="8" t="s">
        <v>233</v>
      </c>
      <c r="D236" s="8" t="str">
        <f>PROPER(TRIM(Sales_Data!D236))</f>
        <v>France</v>
      </c>
      <c r="E236" s="8" t="s">
        <v>56</v>
      </c>
      <c r="F236" s="8" t="s">
        <v>57</v>
      </c>
      <c r="G236" s="91">
        <v>31</v>
      </c>
      <c r="H236" s="9">
        <v>43.54</v>
      </c>
      <c r="I236" s="87">
        <f>PRODUCT(Table15[[#This Row],[Quantity]],Table15[[#This Row],[Unit_Price]])</f>
        <v>1349.74</v>
      </c>
      <c r="J236" s="9">
        <v>99.86</v>
      </c>
      <c r="K236" s="47">
        <v>474.88</v>
      </c>
      <c r="L236" s="8" t="s">
        <v>19</v>
      </c>
      <c r="M236" s="8" t="s">
        <v>27</v>
      </c>
      <c r="N236" s="8" t="s">
        <v>28</v>
      </c>
      <c r="O236" s="91">
        <f>VLOOKUP(E236,Product_Master!$B$2:$F$11,5,FALSE)</f>
        <v>25</v>
      </c>
      <c r="P236" s="91">
        <f>PRODUCT(Table15[[#This Row],[Quantity]],Table15[[#This Row],[Unit_Cost]])</f>
        <v>775</v>
      </c>
      <c r="Q236" s="72">
        <f>(Table15[[#This Row],[Profit]]/Table15[[#This Row],[Total_Sales]])</f>
        <v>0.35183072295405038</v>
      </c>
      <c r="R236" s="22"/>
      <c r="S236" s="22"/>
      <c r="T236" s="22"/>
      <c r="U236" s="22"/>
    </row>
    <row r="237" spans="1:21" x14ac:dyDescent="0.25">
      <c r="A237" s="7" t="s">
        <v>381</v>
      </c>
      <c r="B237" s="16">
        <v>45788</v>
      </c>
      <c r="C237" s="8" t="s">
        <v>115</v>
      </c>
      <c r="D237" s="8" t="str">
        <f>PROPER(TRIM(Sales_Data!D237))</f>
        <v>Uae</v>
      </c>
      <c r="E237" s="8" t="s">
        <v>60</v>
      </c>
      <c r="F237" s="8" t="s">
        <v>52</v>
      </c>
      <c r="G237" s="91">
        <v>31</v>
      </c>
      <c r="H237" s="9">
        <v>18.63</v>
      </c>
      <c r="I237" s="87">
        <f>PRODUCT(Table15[[#This Row],[Quantity]],Table15[[#This Row],[Unit_Price]])</f>
        <v>577.53</v>
      </c>
      <c r="J237" s="9">
        <v>36.65</v>
      </c>
      <c r="K237" s="47">
        <v>60.38</v>
      </c>
      <c r="L237" s="8" t="s">
        <v>38</v>
      </c>
      <c r="M237" s="8" t="s">
        <v>20</v>
      </c>
      <c r="N237" s="8" t="s">
        <v>58</v>
      </c>
      <c r="O237" s="91">
        <f>VLOOKUP(E237,Product_Master!$B$2:$F$11,5,FALSE)</f>
        <v>15.5</v>
      </c>
      <c r="P237" s="91">
        <f>PRODUCT(Table15[[#This Row],[Quantity]],Table15[[#This Row],[Unit_Cost]])</f>
        <v>480.5</v>
      </c>
      <c r="Q237" s="72">
        <f>(Table15[[#This Row],[Profit]]/Table15[[#This Row],[Total_Sales]])</f>
        <v>0.1045486814537773</v>
      </c>
      <c r="R237" s="22"/>
      <c r="S237" s="22"/>
      <c r="T237" s="22"/>
      <c r="U237" s="22"/>
    </row>
    <row r="238" spans="1:21" x14ac:dyDescent="0.25">
      <c r="A238" s="7" t="s">
        <v>382</v>
      </c>
      <c r="B238" s="16">
        <v>45331</v>
      </c>
      <c r="C238" s="8" t="s">
        <v>278</v>
      </c>
      <c r="D238" s="8" t="str">
        <f>PROPER(TRIM(Sales_Data!D238))</f>
        <v>Japan</v>
      </c>
      <c r="E238" s="8" t="s">
        <v>48</v>
      </c>
      <c r="F238" s="8" t="s">
        <v>37</v>
      </c>
      <c r="G238" s="91">
        <v>38</v>
      </c>
      <c r="H238" s="9">
        <v>27.28</v>
      </c>
      <c r="I238" s="87">
        <f>PRODUCT(Table15[[#This Row],[Quantity]],Table15[[#This Row],[Unit_Price]])</f>
        <v>1036.6400000000001</v>
      </c>
      <c r="J238" s="9">
        <v>38.770000000000003</v>
      </c>
      <c r="K238" s="47">
        <v>237.87</v>
      </c>
      <c r="L238" s="8" t="s">
        <v>19</v>
      </c>
      <c r="M238" s="8" t="s">
        <v>32</v>
      </c>
      <c r="N238" s="8" t="s">
        <v>58</v>
      </c>
      <c r="O238" s="91">
        <f>VLOOKUP(E238,Product_Master!$B$2:$F$11,5,FALSE)</f>
        <v>20</v>
      </c>
      <c r="P238" s="91">
        <f>PRODUCT(Table15[[#This Row],[Quantity]],Table15[[#This Row],[Unit_Cost]])</f>
        <v>760</v>
      </c>
      <c r="Q238" s="72">
        <f>(Table15[[#This Row],[Profit]]/Table15[[#This Row],[Total_Sales]])</f>
        <v>0.22946249421206974</v>
      </c>
      <c r="R238" s="22"/>
      <c r="S238" s="22"/>
      <c r="T238" s="22"/>
      <c r="U238" s="22"/>
    </row>
    <row r="239" spans="1:21" x14ac:dyDescent="0.25">
      <c r="A239" s="7" t="s">
        <v>383</v>
      </c>
      <c r="B239" s="16">
        <v>45616</v>
      </c>
      <c r="C239" s="8" t="s">
        <v>207</v>
      </c>
      <c r="D239" s="8" t="str">
        <f>PROPER(TRIM(Sales_Data!D239))</f>
        <v>Brazil</v>
      </c>
      <c r="E239" s="8" t="s">
        <v>25</v>
      </c>
      <c r="F239" s="8" t="s">
        <v>18</v>
      </c>
      <c r="G239" s="91">
        <v>50</v>
      </c>
      <c r="H239" s="9">
        <v>30.97</v>
      </c>
      <c r="I239" s="87">
        <f>PRODUCT(Table15[[#This Row],[Quantity]],Table15[[#This Row],[Unit_Price]])</f>
        <v>1548.5</v>
      </c>
      <c r="J239" s="9">
        <v>82.09</v>
      </c>
      <c r="K239" s="47">
        <v>566.41</v>
      </c>
      <c r="L239" s="8" t="s">
        <v>26</v>
      </c>
      <c r="M239" s="8" t="s">
        <v>27</v>
      </c>
      <c r="N239" s="8" t="s">
        <v>39</v>
      </c>
      <c r="O239" s="91">
        <f>VLOOKUP(E239,Product_Master!$B$2:$F$11,5,FALSE)</f>
        <v>18</v>
      </c>
      <c r="P239" s="91">
        <f>PRODUCT(Table15[[#This Row],[Quantity]],Table15[[#This Row],[Unit_Cost]])</f>
        <v>900</v>
      </c>
      <c r="Q239" s="72">
        <f>(Table15[[#This Row],[Profit]]/Table15[[#This Row],[Total_Sales]])</f>
        <v>0.36577978689053919</v>
      </c>
      <c r="R239" s="22"/>
      <c r="S239" s="22"/>
      <c r="T239" s="22"/>
      <c r="U239" s="22"/>
    </row>
    <row r="240" spans="1:21" x14ac:dyDescent="0.25">
      <c r="A240" s="7" t="s">
        <v>384</v>
      </c>
      <c r="B240" s="16">
        <v>45350</v>
      </c>
      <c r="C240" s="8" t="s">
        <v>76</v>
      </c>
      <c r="D240" s="8" t="str">
        <f>PROPER(TRIM(Sales_Data!D240))</f>
        <v>Japan</v>
      </c>
      <c r="E240" s="8" t="s">
        <v>43</v>
      </c>
      <c r="F240" s="8" t="s">
        <v>44</v>
      </c>
      <c r="G240" s="91">
        <v>17</v>
      </c>
      <c r="H240" s="9">
        <v>60.91</v>
      </c>
      <c r="I240" s="87">
        <f>PRODUCT(Table15[[#This Row],[Quantity]],Table15[[#This Row],[Unit_Price]])</f>
        <v>1035.47</v>
      </c>
      <c r="J240" s="9">
        <v>54.09</v>
      </c>
      <c r="K240" s="47">
        <v>301.38</v>
      </c>
      <c r="L240" s="8" t="s">
        <v>38</v>
      </c>
      <c r="M240" s="8" t="s">
        <v>20</v>
      </c>
      <c r="N240" s="8" t="s">
        <v>58</v>
      </c>
      <c r="O240" s="91">
        <f>VLOOKUP(E240,Product_Master!$B$2:$F$11,5,FALSE)</f>
        <v>40</v>
      </c>
      <c r="P240" s="91">
        <f>PRODUCT(Table15[[#This Row],[Quantity]],Table15[[#This Row],[Unit_Cost]])</f>
        <v>680</v>
      </c>
      <c r="Q240" s="72">
        <f>(Table15[[#This Row],[Profit]]/Table15[[#This Row],[Total_Sales]])</f>
        <v>0.29105623533274744</v>
      </c>
      <c r="R240" s="22"/>
      <c r="S240" s="22"/>
      <c r="T240" s="22"/>
      <c r="U240" s="22"/>
    </row>
    <row r="241" spans="1:21" x14ac:dyDescent="0.25">
      <c r="A241" s="7" t="s">
        <v>385</v>
      </c>
      <c r="B241" s="16">
        <v>45789</v>
      </c>
      <c r="C241" s="8" t="s">
        <v>274</v>
      </c>
      <c r="D241" s="8" t="str">
        <f>PROPER(TRIM(Sales_Data!D241))</f>
        <v>China</v>
      </c>
      <c r="E241" s="8" t="s">
        <v>48</v>
      </c>
      <c r="F241" s="8" t="s">
        <v>37</v>
      </c>
      <c r="G241" s="91">
        <v>25</v>
      </c>
      <c r="H241" s="9">
        <v>31.15</v>
      </c>
      <c r="I241" s="87">
        <f>PRODUCT(Table15[[#This Row],[Quantity]],Table15[[#This Row],[Unit_Price]])</f>
        <v>778.75</v>
      </c>
      <c r="J241" s="9">
        <v>47.45</v>
      </c>
      <c r="K241" s="47">
        <v>231.3</v>
      </c>
      <c r="L241" s="8" t="s">
        <v>19</v>
      </c>
      <c r="M241" s="8" t="s">
        <v>32</v>
      </c>
      <c r="N241" s="8" t="s">
        <v>58</v>
      </c>
      <c r="O241" s="91">
        <f>VLOOKUP(E241,Product_Master!$B$2:$F$11,5,FALSE)</f>
        <v>20</v>
      </c>
      <c r="P241" s="91">
        <f>PRODUCT(Table15[[#This Row],[Quantity]],Table15[[#This Row],[Unit_Cost]])</f>
        <v>500</v>
      </c>
      <c r="Q241" s="72">
        <f>(Table15[[#This Row],[Profit]]/Table15[[#This Row],[Total_Sales]])</f>
        <v>0.29701444622792939</v>
      </c>
      <c r="R241" s="22"/>
      <c r="S241" s="22"/>
      <c r="T241" s="22"/>
      <c r="U241" s="22"/>
    </row>
    <row r="242" spans="1:21" x14ac:dyDescent="0.25">
      <c r="A242" s="7" t="s">
        <v>386</v>
      </c>
      <c r="B242" s="16">
        <v>45499</v>
      </c>
      <c r="C242" s="8" t="s">
        <v>291</v>
      </c>
      <c r="D242" s="8" t="str">
        <f>PROPER(TRIM(Sales_Data!D242))</f>
        <v>France</v>
      </c>
      <c r="E242" s="8" t="s">
        <v>25</v>
      </c>
      <c r="F242" s="8" t="s">
        <v>18</v>
      </c>
      <c r="G242" s="91">
        <v>30</v>
      </c>
      <c r="H242" s="9">
        <v>31.12</v>
      </c>
      <c r="I242" s="87">
        <f>PRODUCT(Table15[[#This Row],[Quantity]],Table15[[#This Row],[Unit_Price]])</f>
        <v>933.6</v>
      </c>
      <c r="J242" s="9">
        <v>50.88</v>
      </c>
      <c r="K242" s="47">
        <v>342.72</v>
      </c>
      <c r="L242" s="8" t="s">
        <v>26</v>
      </c>
      <c r="M242" s="8" t="s">
        <v>27</v>
      </c>
      <c r="N242" s="8" t="s">
        <v>28</v>
      </c>
      <c r="O242" s="91">
        <f>VLOOKUP(E242,Product_Master!$B$2:$F$11,5,FALSE)</f>
        <v>18</v>
      </c>
      <c r="P242" s="91">
        <f>PRODUCT(Table15[[#This Row],[Quantity]],Table15[[#This Row],[Unit_Cost]])</f>
        <v>540</v>
      </c>
      <c r="Q242" s="72">
        <f>(Table15[[#This Row],[Profit]]/Table15[[#This Row],[Total_Sales]])</f>
        <v>0.36709511568123393</v>
      </c>
      <c r="R242" s="22"/>
      <c r="S242" s="22"/>
      <c r="T242" s="22"/>
      <c r="U242" s="22"/>
    </row>
    <row r="243" spans="1:21" x14ac:dyDescent="0.25">
      <c r="A243" s="7" t="s">
        <v>387</v>
      </c>
      <c r="B243" s="16">
        <v>45691</v>
      </c>
      <c r="C243" s="8" t="s">
        <v>113</v>
      </c>
      <c r="D243" s="8" t="str">
        <f>PROPER(TRIM(Sales_Data!D243))</f>
        <v>Mexico</v>
      </c>
      <c r="E243" s="8" t="s">
        <v>60</v>
      </c>
      <c r="F243" s="8" t="s">
        <v>52</v>
      </c>
      <c r="G243" s="91">
        <v>17</v>
      </c>
      <c r="H243" s="9">
        <v>19.64</v>
      </c>
      <c r="I243" s="87">
        <f>PRODUCT(Table15[[#This Row],[Quantity]],Table15[[#This Row],[Unit_Price]])</f>
        <v>333.88</v>
      </c>
      <c r="J243" s="9">
        <v>22.23</v>
      </c>
      <c r="K243" s="47">
        <v>48.15</v>
      </c>
      <c r="L243" s="8" t="s">
        <v>38</v>
      </c>
      <c r="M243" s="8" t="s">
        <v>32</v>
      </c>
      <c r="N243" s="8" t="s">
        <v>21</v>
      </c>
      <c r="O243" s="91">
        <f>VLOOKUP(E243,Product_Master!$B$2:$F$11,5,FALSE)</f>
        <v>15.5</v>
      </c>
      <c r="P243" s="91">
        <f>PRODUCT(Table15[[#This Row],[Quantity]],Table15[[#This Row],[Unit_Cost]])</f>
        <v>263.5</v>
      </c>
      <c r="Q243" s="72">
        <f>(Table15[[#This Row],[Profit]]/Table15[[#This Row],[Total_Sales]])</f>
        <v>0.14421348987660237</v>
      </c>
      <c r="R243" s="22"/>
      <c r="S243" s="22"/>
      <c r="T243" s="22"/>
      <c r="U243" s="22"/>
    </row>
    <row r="244" spans="1:21" x14ac:dyDescent="0.25">
      <c r="A244" s="7" t="s">
        <v>388</v>
      </c>
      <c r="B244" s="16">
        <v>45457</v>
      </c>
      <c r="C244" s="8" t="s">
        <v>389</v>
      </c>
      <c r="D244" s="8" t="str">
        <f>PROPER(TRIM(Sales_Data!D244))</f>
        <v>Usa</v>
      </c>
      <c r="E244" s="8" t="s">
        <v>36</v>
      </c>
      <c r="F244" s="8" t="s">
        <v>37</v>
      </c>
      <c r="G244" s="91">
        <v>37</v>
      </c>
      <c r="H244" s="9">
        <v>57.35</v>
      </c>
      <c r="I244" s="87">
        <f>PRODUCT(Table15[[#This Row],[Quantity]],Table15[[#This Row],[Unit_Price]])</f>
        <v>2121.9500000000003</v>
      </c>
      <c r="J244" s="9">
        <v>147.38999999999999</v>
      </c>
      <c r="K244" s="47">
        <v>790.56</v>
      </c>
      <c r="L244" s="8" t="s">
        <v>19</v>
      </c>
      <c r="M244" s="8" t="s">
        <v>20</v>
      </c>
      <c r="N244" s="8" t="s">
        <v>21</v>
      </c>
      <c r="O244" s="91">
        <f>VLOOKUP(E244,Product_Master!$B$2:$F$11,5,FALSE)</f>
        <v>32</v>
      </c>
      <c r="P244" s="91">
        <f>PRODUCT(Table15[[#This Row],[Quantity]],Table15[[#This Row],[Unit_Cost]])</f>
        <v>1184</v>
      </c>
      <c r="Q244" s="72">
        <f>(Table15[[#This Row],[Profit]]/Table15[[#This Row],[Total_Sales]])</f>
        <v>0.37256297273734057</v>
      </c>
      <c r="R244" s="22"/>
      <c r="S244" s="22"/>
      <c r="T244" s="22"/>
      <c r="U244" s="22"/>
    </row>
    <row r="245" spans="1:21" x14ac:dyDescent="0.25">
      <c r="A245" s="7" t="s">
        <v>390</v>
      </c>
      <c r="B245" s="16">
        <v>45707</v>
      </c>
      <c r="C245" s="8" t="s">
        <v>15</v>
      </c>
      <c r="D245" s="8" t="str">
        <f>PROPER(TRIM(Sales_Data!D245))</f>
        <v>Italy</v>
      </c>
      <c r="E245" s="8" t="s">
        <v>17</v>
      </c>
      <c r="F245" s="8" t="s">
        <v>18</v>
      </c>
      <c r="G245" s="91">
        <v>45</v>
      </c>
      <c r="H245" s="9">
        <v>42.6</v>
      </c>
      <c r="I245" s="87">
        <f>PRODUCT(Table15[[#This Row],[Quantity]],Table15[[#This Row],[Unit_Price]])</f>
        <v>1917</v>
      </c>
      <c r="J245" s="9">
        <v>104.27</v>
      </c>
      <c r="K245" s="47">
        <v>237.73</v>
      </c>
      <c r="L245" s="8" t="s">
        <v>26</v>
      </c>
      <c r="M245" s="8" t="s">
        <v>32</v>
      </c>
      <c r="N245" s="8" t="s">
        <v>28</v>
      </c>
      <c r="O245" s="91">
        <f>VLOOKUP(E245,Product_Master!$B$2:$F$11,5,FALSE)</f>
        <v>35</v>
      </c>
      <c r="P245" s="91">
        <f>PRODUCT(Table15[[#This Row],[Quantity]],Table15[[#This Row],[Unit_Cost]])</f>
        <v>1575</v>
      </c>
      <c r="Q245" s="72">
        <f>(Table15[[#This Row],[Profit]]/Table15[[#This Row],[Total_Sales]])</f>
        <v>0.12401147626499738</v>
      </c>
      <c r="R245" s="22"/>
      <c r="S245" s="22"/>
      <c r="T245" s="22"/>
      <c r="U245" s="22"/>
    </row>
    <row r="246" spans="1:21" x14ac:dyDescent="0.25">
      <c r="A246" s="7" t="s">
        <v>391</v>
      </c>
      <c r="B246" s="16">
        <v>45465</v>
      </c>
      <c r="C246" s="8" t="s">
        <v>102</v>
      </c>
      <c r="D246" s="8" t="str">
        <f>PROPER(TRIM(Sales_Data!D246))</f>
        <v>Uk</v>
      </c>
      <c r="E246" s="8" t="s">
        <v>48</v>
      </c>
      <c r="F246" s="8" t="s">
        <v>37</v>
      </c>
      <c r="G246" s="91">
        <v>25</v>
      </c>
      <c r="H246" s="9">
        <v>31.82</v>
      </c>
      <c r="I246" s="87">
        <f>PRODUCT(Table15[[#This Row],[Quantity]],Table15[[#This Row],[Unit_Price]])</f>
        <v>795.5</v>
      </c>
      <c r="J246" s="9">
        <v>37.33</v>
      </c>
      <c r="K246" s="47">
        <v>258.17</v>
      </c>
      <c r="L246" s="8" t="s">
        <v>19</v>
      </c>
      <c r="M246" s="8" t="s">
        <v>27</v>
      </c>
      <c r="N246" s="8" t="s">
        <v>28</v>
      </c>
      <c r="O246" s="91">
        <f>VLOOKUP(E246,Product_Master!$B$2:$F$11,5,FALSE)</f>
        <v>20</v>
      </c>
      <c r="P246" s="91">
        <f>PRODUCT(Table15[[#This Row],[Quantity]],Table15[[#This Row],[Unit_Cost]])</f>
        <v>500</v>
      </c>
      <c r="Q246" s="72">
        <f>(Table15[[#This Row],[Profit]]/Table15[[#This Row],[Total_Sales]])</f>
        <v>0.32453802639849155</v>
      </c>
      <c r="R246" s="22"/>
      <c r="S246" s="22"/>
      <c r="T246" s="22"/>
      <c r="U246" s="22"/>
    </row>
    <row r="247" spans="1:21" x14ac:dyDescent="0.25">
      <c r="A247" s="7" t="s">
        <v>392</v>
      </c>
      <c r="B247" s="16">
        <v>45778</v>
      </c>
      <c r="C247" s="8" t="s">
        <v>125</v>
      </c>
      <c r="D247" s="8" t="str">
        <f>PROPER(TRIM(Sales_Data!D247))</f>
        <v>India</v>
      </c>
      <c r="E247" s="8" t="s">
        <v>56</v>
      </c>
      <c r="F247" s="8" t="s">
        <v>57</v>
      </c>
      <c r="G247" s="91">
        <v>17</v>
      </c>
      <c r="H247" s="9">
        <v>36.270000000000003</v>
      </c>
      <c r="I247" s="87">
        <f>PRODUCT(Table15[[#This Row],[Quantity]],Table15[[#This Row],[Unit_Price]])</f>
        <v>616.59</v>
      </c>
      <c r="J247" s="9">
        <v>22.76</v>
      </c>
      <c r="K247" s="47">
        <v>168.83</v>
      </c>
      <c r="L247" s="8" t="s">
        <v>38</v>
      </c>
      <c r="M247" s="8" t="s">
        <v>20</v>
      </c>
      <c r="N247" s="8" t="s">
        <v>58</v>
      </c>
      <c r="O247" s="91">
        <f>VLOOKUP(E247,Product_Master!$B$2:$F$11,5,FALSE)</f>
        <v>25</v>
      </c>
      <c r="P247" s="91">
        <f>PRODUCT(Table15[[#This Row],[Quantity]],Table15[[#This Row],[Unit_Cost]])</f>
        <v>425</v>
      </c>
      <c r="Q247" s="72">
        <f>(Table15[[#This Row],[Profit]]/Table15[[#This Row],[Total_Sales]])</f>
        <v>0.27381241992247685</v>
      </c>
      <c r="R247" s="22"/>
      <c r="S247" s="22"/>
      <c r="T247" s="22"/>
      <c r="U247" s="22"/>
    </row>
    <row r="248" spans="1:21" x14ac:dyDescent="0.25">
      <c r="A248" s="7" t="s">
        <v>393</v>
      </c>
      <c r="B248" s="16">
        <v>45601</v>
      </c>
      <c r="C248" s="8" t="s">
        <v>211</v>
      </c>
      <c r="D248" s="8" t="str">
        <f>PROPER(TRIM(Sales_Data!D248))</f>
        <v>Uae</v>
      </c>
      <c r="E248" s="8" t="s">
        <v>25</v>
      </c>
      <c r="F248" s="8" t="s">
        <v>18</v>
      </c>
      <c r="G248" s="91">
        <v>4</v>
      </c>
      <c r="H248" s="9">
        <v>27.01</v>
      </c>
      <c r="I248" s="87">
        <f>PRODUCT(Table15[[#This Row],[Quantity]],Table15[[#This Row],[Unit_Price]])</f>
        <v>108.04</v>
      </c>
      <c r="J248" s="9">
        <v>4.7300000000000004</v>
      </c>
      <c r="K248" s="47">
        <v>31.31</v>
      </c>
      <c r="L248" s="8" t="s">
        <v>38</v>
      </c>
      <c r="M248" s="8" t="s">
        <v>32</v>
      </c>
      <c r="N248" s="8" t="s">
        <v>58</v>
      </c>
      <c r="O248" s="91">
        <f>VLOOKUP(E248,Product_Master!$B$2:$F$11,5,FALSE)</f>
        <v>18</v>
      </c>
      <c r="P248" s="91">
        <f>PRODUCT(Table15[[#This Row],[Quantity]],Table15[[#This Row],[Unit_Cost]])</f>
        <v>72</v>
      </c>
      <c r="Q248" s="72">
        <f>(Table15[[#This Row],[Profit]]/Table15[[#This Row],[Total_Sales]])</f>
        <v>0.28980007404664937</v>
      </c>
      <c r="R248" s="22"/>
      <c r="S248" s="22"/>
      <c r="T248" s="22"/>
      <c r="U248" s="22"/>
    </row>
    <row r="249" spans="1:21" x14ac:dyDescent="0.25">
      <c r="A249" s="7" t="s">
        <v>394</v>
      </c>
      <c r="B249" s="16">
        <v>45417</v>
      </c>
      <c r="C249" s="8" t="s">
        <v>231</v>
      </c>
      <c r="D249" s="8" t="str">
        <f>PROPER(TRIM(Sales_Data!D249))</f>
        <v>Mexico</v>
      </c>
      <c r="E249" s="8" t="s">
        <v>17</v>
      </c>
      <c r="F249" s="8" t="s">
        <v>18</v>
      </c>
      <c r="G249" s="91">
        <v>22</v>
      </c>
      <c r="H249" s="9">
        <v>57.6</v>
      </c>
      <c r="I249" s="87">
        <f>PRODUCT(Table15[[#This Row],[Quantity]],Table15[[#This Row],[Unit_Price]])</f>
        <v>1267.2</v>
      </c>
      <c r="J249" s="9">
        <v>35.32</v>
      </c>
      <c r="K249" s="47">
        <v>461.88</v>
      </c>
      <c r="L249" s="8" t="s">
        <v>38</v>
      </c>
      <c r="M249" s="8" t="s">
        <v>20</v>
      </c>
      <c r="N249" s="8" t="s">
        <v>21</v>
      </c>
      <c r="O249" s="91">
        <f>VLOOKUP(E249,Product_Master!$B$2:$F$11,5,FALSE)</f>
        <v>35</v>
      </c>
      <c r="P249" s="91">
        <f>PRODUCT(Table15[[#This Row],[Quantity]],Table15[[#This Row],[Unit_Cost]])</f>
        <v>770</v>
      </c>
      <c r="Q249" s="72">
        <f>(Table15[[#This Row],[Profit]]/Table15[[#This Row],[Total_Sales]])</f>
        <v>0.36448863636363632</v>
      </c>
      <c r="R249" s="22"/>
      <c r="S249" s="22"/>
      <c r="T249" s="22"/>
      <c r="U249" s="22"/>
    </row>
    <row r="250" spans="1:21" x14ac:dyDescent="0.25">
      <c r="A250" s="7" t="s">
        <v>395</v>
      </c>
      <c r="B250" s="16">
        <v>45306</v>
      </c>
      <c r="C250" s="8" t="s">
        <v>261</v>
      </c>
      <c r="D250" s="8" t="str">
        <f>PROPER(TRIM(Sales_Data!D250))</f>
        <v>Germany</v>
      </c>
      <c r="E250" s="8" t="s">
        <v>56</v>
      </c>
      <c r="F250" s="8" t="s">
        <v>57</v>
      </c>
      <c r="G250" s="91">
        <v>24</v>
      </c>
      <c r="H250" s="9">
        <v>43.34</v>
      </c>
      <c r="I250" s="87">
        <f>PRODUCT(Table15[[#This Row],[Quantity]],Table15[[#This Row],[Unit_Price]])</f>
        <v>1040.1600000000001</v>
      </c>
      <c r="J250" s="9">
        <v>41.18</v>
      </c>
      <c r="K250" s="47">
        <v>398.98</v>
      </c>
      <c r="L250" s="8" t="s">
        <v>19</v>
      </c>
      <c r="M250" s="8" t="s">
        <v>32</v>
      </c>
      <c r="N250" s="8" t="s">
        <v>28</v>
      </c>
      <c r="O250" s="91">
        <f>VLOOKUP(E250,Product_Master!$B$2:$F$11,5,FALSE)</f>
        <v>25</v>
      </c>
      <c r="P250" s="91">
        <f>PRODUCT(Table15[[#This Row],[Quantity]],Table15[[#This Row],[Unit_Cost]])</f>
        <v>600</v>
      </c>
      <c r="Q250" s="72">
        <f>(Table15[[#This Row],[Profit]]/Table15[[#This Row],[Total_Sales]])</f>
        <v>0.38357560375326871</v>
      </c>
      <c r="R250" s="22"/>
      <c r="S250" s="22"/>
      <c r="T250" s="22"/>
      <c r="U250" s="22"/>
    </row>
    <row r="251" spans="1:21" x14ac:dyDescent="0.25">
      <c r="A251" s="7" t="s">
        <v>396</v>
      </c>
      <c r="B251" s="16">
        <v>45711</v>
      </c>
      <c r="C251" s="8" t="s">
        <v>166</v>
      </c>
      <c r="D251" s="8" t="str">
        <f>PROPER(TRIM(Sales_Data!D251))</f>
        <v>Mexico</v>
      </c>
      <c r="E251" s="8" t="s">
        <v>43</v>
      </c>
      <c r="F251" s="8" t="s">
        <v>44</v>
      </c>
      <c r="G251" s="91">
        <v>37</v>
      </c>
      <c r="H251" s="9">
        <v>71.8</v>
      </c>
      <c r="I251" s="87">
        <f>PRODUCT(Table15[[#This Row],[Quantity]],Table15[[#This Row],[Unit_Price]])</f>
        <v>2656.6</v>
      </c>
      <c r="J251" s="9">
        <v>60.3</v>
      </c>
      <c r="K251" s="47">
        <v>1116.3</v>
      </c>
      <c r="L251" s="8" t="s">
        <v>26</v>
      </c>
      <c r="M251" s="8" t="s">
        <v>20</v>
      </c>
      <c r="N251" s="8" t="s">
        <v>21</v>
      </c>
      <c r="O251" s="91">
        <f>VLOOKUP(E251,Product_Master!$B$2:$F$11,5,FALSE)</f>
        <v>40</v>
      </c>
      <c r="P251" s="91">
        <f>PRODUCT(Table15[[#This Row],[Quantity]],Table15[[#This Row],[Unit_Cost]])</f>
        <v>1480</v>
      </c>
      <c r="Q251" s="72">
        <f>(Table15[[#This Row],[Profit]]/Table15[[#This Row],[Total_Sales]])</f>
        <v>0.42019875028231574</v>
      </c>
      <c r="R251" s="22"/>
      <c r="S251" s="22"/>
      <c r="T251" s="22"/>
      <c r="U251" s="22"/>
    </row>
    <row r="252" spans="1:21" x14ac:dyDescent="0.25">
      <c r="A252" s="7" t="s">
        <v>397</v>
      </c>
      <c r="B252" s="16">
        <v>45471</v>
      </c>
      <c r="C252" s="8" t="s">
        <v>389</v>
      </c>
      <c r="D252" s="8" t="str">
        <f>PROPER(TRIM(Sales_Data!D252))</f>
        <v>Uae</v>
      </c>
      <c r="E252" s="8" t="s">
        <v>48</v>
      </c>
      <c r="F252" s="8" t="s">
        <v>37</v>
      </c>
      <c r="G252" s="91">
        <v>24</v>
      </c>
      <c r="H252" s="9">
        <v>29.11</v>
      </c>
      <c r="I252" s="87">
        <f>PRODUCT(Table15[[#This Row],[Quantity]],Table15[[#This Row],[Unit_Price]])</f>
        <v>698.64</v>
      </c>
      <c r="J252" s="9">
        <v>53.99</v>
      </c>
      <c r="K252" s="47">
        <v>164.65</v>
      </c>
      <c r="L252" s="8" t="s">
        <v>38</v>
      </c>
      <c r="M252" s="8" t="s">
        <v>32</v>
      </c>
      <c r="N252" s="8" t="s">
        <v>58</v>
      </c>
      <c r="O252" s="91">
        <f>VLOOKUP(E252,Product_Master!$B$2:$F$11,5,FALSE)</f>
        <v>20</v>
      </c>
      <c r="P252" s="91">
        <f>PRODUCT(Table15[[#This Row],[Quantity]],Table15[[#This Row],[Unit_Cost]])</f>
        <v>480</v>
      </c>
      <c r="Q252" s="72">
        <f>(Table15[[#This Row],[Profit]]/Table15[[#This Row],[Total_Sales]])</f>
        <v>0.23567216305965877</v>
      </c>
      <c r="R252" s="22"/>
      <c r="S252" s="22"/>
      <c r="T252" s="22"/>
      <c r="U252" s="22"/>
    </row>
    <row r="253" spans="1:21" x14ac:dyDescent="0.25">
      <c r="A253" s="7" t="s">
        <v>398</v>
      </c>
      <c r="B253" s="16">
        <v>45310</v>
      </c>
      <c r="C253" s="8" t="s">
        <v>399</v>
      </c>
      <c r="D253" s="8" t="str">
        <f>PROPER(TRIM(Sales_Data!D253))</f>
        <v>Japan</v>
      </c>
      <c r="E253" s="8" t="s">
        <v>51</v>
      </c>
      <c r="F253" s="8" t="s">
        <v>52</v>
      </c>
      <c r="G253" s="91">
        <v>6</v>
      </c>
      <c r="H253" s="9">
        <v>27.91</v>
      </c>
      <c r="I253" s="87">
        <f>PRODUCT(Table15[[#This Row],[Quantity]],Table15[[#This Row],[Unit_Price]])</f>
        <v>167.46</v>
      </c>
      <c r="J253" s="9">
        <v>10.01</v>
      </c>
      <c r="K253" s="47">
        <v>22.45</v>
      </c>
      <c r="L253" s="8" t="s">
        <v>19</v>
      </c>
      <c r="M253" s="8" t="s">
        <v>20</v>
      </c>
      <c r="N253" s="8" t="s">
        <v>58</v>
      </c>
      <c r="O253" s="91">
        <f>VLOOKUP(E253,Product_Master!$B$2:$F$11,5,FALSE)</f>
        <v>22.5</v>
      </c>
      <c r="P253" s="91">
        <f>PRODUCT(Table15[[#This Row],[Quantity]],Table15[[#This Row],[Unit_Cost]])</f>
        <v>135</v>
      </c>
      <c r="Q253" s="72">
        <f>(Table15[[#This Row],[Profit]]/Table15[[#This Row],[Total_Sales]])</f>
        <v>0.1340618655201242</v>
      </c>
      <c r="R253" s="22"/>
      <c r="S253" s="22"/>
      <c r="T253" s="22"/>
      <c r="U253" s="22"/>
    </row>
    <row r="254" spans="1:21" x14ac:dyDescent="0.25">
      <c r="A254" s="7" t="s">
        <v>400</v>
      </c>
      <c r="B254" s="16">
        <v>45331</v>
      </c>
      <c r="C254" s="8" t="s">
        <v>34</v>
      </c>
      <c r="D254" s="8" t="str">
        <f>PROPER(TRIM(Sales_Data!D254))</f>
        <v>China</v>
      </c>
      <c r="E254" s="8" t="s">
        <v>51</v>
      </c>
      <c r="F254" s="8" t="s">
        <v>52</v>
      </c>
      <c r="G254" s="91">
        <v>28</v>
      </c>
      <c r="H254" s="9">
        <v>27.29</v>
      </c>
      <c r="I254" s="87">
        <f>PRODUCT(Table15[[#This Row],[Quantity]],Table15[[#This Row],[Unit_Price]])</f>
        <v>764.12</v>
      </c>
      <c r="J254" s="9">
        <v>25.78</v>
      </c>
      <c r="K254" s="47">
        <v>108.34</v>
      </c>
      <c r="L254" s="8" t="s">
        <v>38</v>
      </c>
      <c r="M254" s="8" t="s">
        <v>20</v>
      </c>
      <c r="N254" s="8" t="s">
        <v>58</v>
      </c>
      <c r="O254" s="91">
        <f>VLOOKUP(E254,Product_Master!$B$2:$F$11,5,FALSE)</f>
        <v>22.5</v>
      </c>
      <c r="P254" s="91">
        <f>PRODUCT(Table15[[#This Row],[Quantity]],Table15[[#This Row],[Unit_Cost]])</f>
        <v>630</v>
      </c>
      <c r="Q254" s="72">
        <f>(Table15[[#This Row],[Profit]]/Table15[[#This Row],[Total_Sales]])</f>
        <v>0.1417840129822541</v>
      </c>
      <c r="R254" s="22"/>
      <c r="S254" s="22"/>
      <c r="T254" s="22"/>
      <c r="U254" s="22"/>
    </row>
    <row r="255" spans="1:21" x14ac:dyDescent="0.25">
      <c r="A255" s="7" t="s">
        <v>401</v>
      </c>
      <c r="B255" s="16">
        <v>45347</v>
      </c>
      <c r="C255" s="8" t="s">
        <v>319</v>
      </c>
      <c r="D255" s="8" t="str">
        <f>PROPER(TRIM(Sales_Data!D255))</f>
        <v>Mexico</v>
      </c>
      <c r="E255" s="8" t="s">
        <v>51</v>
      </c>
      <c r="F255" s="8" t="s">
        <v>52</v>
      </c>
      <c r="G255" s="91">
        <v>47</v>
      </c>
      <c r="H255" s="9">
        <v>35.880000000000003</v>
      </c>
      <c r="I255" s="87">
        <f>PRODUCT(Table15[[#This Row],[Quantity]],Table15[[#This Row],[Unit_Price]])</f>
        <v>1686.3600000000001</v>
      </c>
      <c r="J255" s="9">
        <v>70.3</v>
      </c>
      <c r="K255" s="47">
        <v>558.55999999999995</v>
      </c>
      <c r="L255" s="8" t="s">
        <v>19</v>
      </c>
      <c r="M255" s="8" t="s">
        <v>27</v>
      </c>
      <c r="N255" s="8" t="s">
        <v>21</v>
      </c>
      <c r="O255" s="91">
        <f>VLOOKUP(E255,Product_Master!$B$2:$F$11,5,FALSE)</f>
        <v>22.5</v>
      </c>
      <c r="P255" s="91">
        <f>PRODUCT(Table15[[#This Row],[Quantity]],Table15[[#This Row],[Unit_Cost]])</f>
        <v>1057.5</v>
      </c>
      <c r="Q255" s="72">
        <f>(Table15[[#This Row],[Profit]]/Table15[[#This Row],[Total_Sales]])</f>
        <v>0.33122227756825345</v>
      </c>
      <c r="R255" s="22"/>
      <c r="S255" s="22"/>
      <c r="T255" s="22"/>
      <c r="U255" s="22"/>
    </row>
    <row r="256" spans="1:21" x14ac:dyDescent="0.25">
      <c r="A256" s="7" t="s">
        <v>402</v>
      </c>
      <c r="B256" s="16">
        <v>45465</v>
      </c>
      <c r="C256" s="8" t="s">
        <v>199</v>
      </c>
      <c r="D256" s="8" t="str">
        <f>PROPER(TRIM(Sales_Data!D256))</f>
        <v>France</v>
      </c>
      <c r="E256" s="8" t="s">
        <v>60</v>
      </c>
      <c r="F256" s="8" t="s">
        <v>52</v>
      </c>
      <c r="G256" s="91">
        <v>19</v>
      </c>
      <c r="H256" s="9">
        <v>27.47</v>
      </c>
      <c r="I256" s="87">
        <f>PRODUCT(Table15[[#This Row],[Quantity]],Table15[[#This Row],[Unit_Price]])</f>
        <v>521.92999999999995</v>
      </c>
      <c r="J256" s="9">
        <v>31.29</v>
      </c>
      <c r="K256" s="47">
        <v>196.14</v>
      </c>
      <c r="L256" s="8" t="s">
        <v>26</v>
      </c>
      <c r="M256" s="8" t="s">
        <v>32</v>
      </c>
      <c r="N256" s="8" t="s">
        <v>28</v>
      </c>
      <c r="O256" s="91">
        <f>VLOOKUP(E256,Product_Master!$B$2:$F$11,5,FALSE)</f>
        <v>15.5</v>
      </c>
      <c r="P256" s="91">
        <f>PRODUCT(Table15[[#This Row],[Quantity]],Table15[[#This Row],[Unit_Cost]])</f>
        <v>294.5</v>
      </c>
      <c r="Q256" s="72">
        <f>(Table15[[#This Row],[Profit]]/Table15[[#This Row],[Total_Sales]])</f>
        <v>0.37579752074032918</v>
      </c>
      <c r="R256" s="22"/>
      <c r="S256" s="22"/>
      <c r="T256" s="22"/>
      <c r="U256" s="22"/>
    </row>
    <row r="257" spans="1:21" x14ac:dyDescent="0.25">
      <c r="A257" s="7" t="s">
        <v>403</v>
      </c>
      <c r="B257" s="16">
        <v>45598</v>
      </c>
      <c r="C257" s="8" t="s">
        <v>135</v>
      </c>
      <c r="D257" s="8" t="str">
        <f>PROPER(TRIM(Sales_Data!D257))</f>
        <v>Australia</v>
      </c>
      <c r="E257" s="8" t="s">
        <v>48</v>
      </c>
      <c r="F257" s="8" t="s">
        <v>37</v>
      </c>
      <c r="G257" s="91">
        <v>13</v>
      </c>
      <c r="H257" s="9">
        <v>29.26</v>
      </c>
      <c r="I257" s="87">
        <f>PRODUCT(Table15[[#This Row],[Quantity]],Table15[[#This Row],[Unit_Price]])</f>
        <v>380.38</v>
      </c>
      <c r="J257" s="9">
        <v>9.4700000000000006</v>
      </c>
      <c r="K257" s="47">
        <v>110.91</v>
      </c>
      <c r="L257" s="8" t="s">
        <v>26</v>
      </c>
      <c r="M257" s="8" t="s">
        <v>32</v>
      </c>
      <c r="N257" s="8" t="s">
        <v>130</v>
      </c>
      <c r="O257" s="91">
        <f>VLOOKUP(E257,Product_Master!$B$2:$F$11,5,FALSE)</f>
        <v>20</v>
      </c>
      <c r="P257" s="91">
        <f>PRODUCT(Table15[[#This Row],[Quantity]],Table15[[#This Row],[Unit_Cost]])</f>
        <v>260</v>
      </c>
      <c r="Q257" s="72">
        <f>(Table15[[#This Row],[Profit]]/Table15[[#This Row],[Total_Sales]])</f>
        <v>0.29157684420842317</v>
      </c>
      <c r="R257" s="22"/>
      <c r="S257" s="22"/>
      <c r="T257" s="22"/>
      <c r="U257" s="22"/>
    </row>
    <row r="258" spans="1:21" x14ac:dyDescent="0.25">
      <c r="A258" s="7" t="s">
        <v>404</v>
      </c>
      <c r="B258" s="16">
        <v>45665</v>
      </c>
      <c r="C258" s="8" t="s">
        <v>306</v>
      </c>
      <c r="D258" s="8" t="str">
        <f>PROPER(TRIM(Sales_Data!D258))</f>
        <v>Germany</v>
      </c>
      <c r="E258" s="8" t="s">
        <v>25</v>
      </c>
      <c r="F258" s="8" t="s">
        <v>18</v>
      </c>
      <c r="G258" s="91">
        <v>4</v>
      </c>
      <c r="H258" s="9">
        <v>26.17</v>
      </c>
      <c r="I258" s="87">
        <f>PRODUCT(Table15[[#This Row],[Quantity]],Table15[[#This Row],[Unit_Price]])</f>
        <v>104.68</v>
      </c>
      <c r="J258" s="9">
        <v>6.33</v>
      </c>
      <c r="K258" s="47">
        <v>26.35</v>
      </c>
      <c r="L258" s="8" t="s">
        <v>19</v>
      </c>
      <c r="M258" s="8" t="s">
        <v>27</v>
      </c>
      <c r="N258" s="8" t="s">
        <v>28</v>
      </c>
      <c r="O258" s="91">
        <f>VLOOKUP(E258,Product_Master!$B$2:$F$11,5,FALSE)</f>
        <v>18</v>
      </c>
      <c r="P258" s="91">
        <f>PRODUCT(Table15[[#This Row],[Quantity]],Table15[[#This Row],[Unit_Cost]])</f>
        <v>72</v>
      </c>
      <c r="Q258" s="72">
        <f>(Table15[[#This Row],[Profit]]/Table15[[#This Row],[Total_Sales]])</f>
        <v>0.25171952617500953</v>
      </c>
      <c r="R258" s="22"/>
      <c r="S258" s="22"/>
      <c r="T258" s="22"/>
      <c r="U258" s="22"/>
    </row>
    <row r="259" spans="1:21" x14ac:dyDescent="0.25">
      <c r="A259" s="7" t="s">
        <v>405</v>
      </c>
      <c r="B259" s="16">
        <v>45304</v>
      </c>
      <c r="C259" s="8" t="s">
        <v>166</v>
      </c>
      <c r="D259" s="8" t="str">
        <f>PROPER(TRIM(Sales_Data!D259))</f>
        <v>Germany</v>
      </c>
      <c r="E259" s="8" t="s">
        <v>51</v>
      </c>
      <c r="F259" s="8" t="s">
        <v>52</v>
      </c>
      <c r="G259" s="91">
        <v>43</v>
      </c>
      <c r="H259" s="9">
        <v>37.32</v>
      </c>
      <c r="I259" s="87">
        <f>PRODUCT(Table15[[#This Row],[Quantity]],Table15[[#This Row],[Unit_Price]])</f>
        <v>1604.76</v>
      </c>
      <c r="J259" s="9">
        <v>61.01</v>
      </c>
      <c r="K259" s="47">
        <v>576.25</v>
      </c>
      <c r="L259" s="8" t="s">
        <v>19</v>
      </c>
      <c r="M259" s="8" t="s">
        <v>27</v>
      </c>
      <c r="N259" s="8" t="s">
        <v>28</v>
      </c>
      <c r="O259" s="91">
        <f>VLOOKUP(E259,Product_Master!$B$2:$F$11,5,FALSE)</f>
        <v>22.5</v>
      </c>
      <c r="P259" s="91">
        <f>PRODUCT(Table15[[#This Row],[Quantity]],Table15[[#This Row],[Unit_Cost]])</f>
        <v>967.5</v>
      </c>
      <c r="Q259" s="72">
        <f>(Table15[[#This Row],[Profit]]/Table15[[#This Row],[Total_Sales]])</f>
        <v>0.35908796330915527</v>
      </c>
      <c r="R259" s="22"/>
      <c r="S259" s="22"/>
      <c r="T259" s="22"/>
      <c r="U259" s="22"/>
    </row>
    <row r="260" spans="1:21" x14ac:dyDescent="0.25">
      <c r="A260" s="7" t="s">
        <v>406</v>
      </c>
      <c r="B260" s="16">
        <v>45558</v>
      </c>
      <c r="C260" s="8" t="s">
        <v>293</v>
      </c>
      <c r="D260" s="8" t="str">
        <f>PROPER(TRIM(Sales_Data!D260))</f>
        <v>South Africa</v>
      </c>
      <c r="E260" s="8" t="s">
        <v>25</v>
      </c>
      <c r="F260" s="8" t="s">
        <v>18</v>
      </c>
      <c r="G260" s="91">
        <v>27</v>
      </c>
      <c r="H260" s="9">
        <v>23.05</v>
      </c>
      <c r="I260" s="87">
        <f>PRODUCT(Table15[[#This Row],[Quantity]],Table15[[#This Row],[Unit_Price]])</f>
        <v>622.35</v>
      </c>
      <c r="J260" s="9">
        <v>20.440000000000001</v>
      </c>
      <c r="K260" s="47">
        <v>115.91</v>
      </c>
      <c r="L260" s="8" t="s">
        <v>38</v>
      </c>
      <c r="M260" s="8" t="s">
        <v>27</v>
      </c>
      <c r="N260" s="8" t="s">
        <v>87</v>
      </c>
      <c r="O260" s="91">
        <f>VLOOKUP(E260,Product_Master!$B$2:$F$11,5,FALSE)</f>
        <v>18</v>
      </c>
      <c r="P260" s="91">
        <f>PRODUCT(Table15[[#This Row],[Quantity]],Table15[[#This Row],[Unit_Cost]])</f>
        <v>486</v>
      </c>
      <c r="Q260" s="72">
        <f>(Table15[[#This Row],[Profit]]/Table15[[#This Row],[Total_Sales]])</f>
        <v>0.18624568169036715</v>
      </c>
      <c r="R260" s="22"/>
      <c r="S260" s="22"/>
      <c r="T260" s="22"/>
      <c r="U260" s="22"/>
    </row>
    <row r="261" spans="1:21" x14ac:dyDescent="0.25">
      <c r="A261" s="7" t="s">
        <v>407</v>
      </c>
      <c r="B261" s="16">
        <v>45575</v>
      </c>
      <c r="C261" s="8" t="s">
        <v>408</v>
      </c>
      <c r="D261" s="8" t="str">
        <f>PROPER(TRIM(Sales_Data!D261))</f>
        <v>Japan</v>
      </c>
      <c r="E261" s="8" t="s">
        <v>63</v>
      </c>
      <c r="F261" s="8" t="s">
        <v>37</v>
      </c>
      <c r="G261" s="91">
        <v>38</v>
      </c>
      <c r="H261" s="9">
        <v>19.02</v>
      </c>
      <c r="I261" s="87">
        <f>PRODUCT(Table15[[#This Row],[Quantity]],Table15[[#This Row],[Unit_Price]])</f>
        <v>722.76</v>
      </c>
      <c r="J261" s="9">
        <v>14.63</v>
      </c>
      <c r="K261" s="47">
        <v>223.63</v>
      </c>
      <c r="L261" s="8" t="s">
        <v>26</v>
      </c>
      <c r="M261" s="8" t="s">
        <v>27</v>
      </c>
      <c r="N261" s="8" t="s">
        <v>58</v>
      </c>
      <c r="O261" s="91">
        <f>VLOOKUP(E261,Product_Master!$B$2:$F$11,5,FALSE)</f>
        <v>12.75</v>
      </c>
      <c r="P261" s="91">
        <f>PRODUCT(Table15[[#This Row],[Quantity]],Table15[[#This Row],[Unit_Cost]])</f>
        <v>484.5</v>
      </c>
      <c r="Q261" s="72">
        <f>(Table15[[#This Row],[Profit]]/Table15[[#This Row],[Total_Sales]])</f>
        <v>0.30941114616193482</v>
      </c>
      <c r="R261" s="22"/>
      <c r="S261" s="22"/>
      <c r="T261" s="22"/>
      <c r="U261" s="22"/>
    </row>
    <row r="262" spans="1:21" x14ac:dyDescent="0.25">
      <c r="A262" s="7" t="s">
        <v>409</v>
      </c>
      <c r="B262" s="16">
        <v>45469</v>
      </c>
      <c r="C262" s="8" t="s">
        <v>410</v>
      </c>
      <c r="D262" s="8" t="str">
        <f>PROPER(TRIM(Sales_Data!D262))</f>
        <v>Canada</v>
      </c>
      <c r="E262" s="8" t="s">
        <v>43</v>
      </c>
      <c r="F262" s="8" t="s">
        <v>44</v>
      </c>
      <c r="G262" s="91">
        <v>10</v>
      </c>
      <c r="H262" s="9">
        <v>70.94</v>
      </c>
      <c r="I262" s="87">
        <f>PRODUCT(Table15[[#This Row],[Quantity]],Table15[[#This Row],[Unit_Price]])</f>
        <v>709.4</v>
      </c>
      <c r="J262" s="9">
        <v>18.64</v>
      </c>
      <c r="K262" s="47">
        <v>290.76</v>
      </c>
      <c r="L262" s="8" t="s">
        <v>26</v>
      </c>
      <c r="M262" s="8" t="s">
        <v>32</v>
      </c>
      <c r="N262" s="8" t="s">
        <v>21</v>
      </c>
      <c r="O262" s="91">
        <f>VLOOKUP(E262,Product_Master!$B$2:$F$11,5,FALSE)</f>
        <v>40</v>
      </c>
      <c r="P262" s="91">
        <f>PRODUCT(Table15[[#This Row],[Quantity]],Table15[[#This Row],[Unit_Cost]])</f>
        <v>400</v>
      </c>
      <c r="Q262" s="72">
        <f>(Table15[[#This Row],[Profit]]/Table15[[#This Row],[Total_Sales]])</f>
        <v>0.40986749365661124</v>
      </c>
      <c r="R262" s="22"/>
      <c r="S262" s="22"/>
      <c r="T262" s="22"/>
      <c r="U262" s="22"/>
    </row>
    <row r="263" spans="1:21" x14ac:dyDescent="0.25">
      <c r="A263" s="7" t="s">
        <v>411</v>
      </c>
      <c r="B263" s="16">
        <v>45296</v>
      </c>
      <c r="C263" s="8" t="s">
        <v>278</v>
      </c>
      <c r="D263" s="8" t="str">
        <f>PROPER(TRIM(Sales_Data!D263))</f>
        <v>Singapore</v>
      </c>
      <c r="E263" s="8" t="s">
        <v>56</v>
      </c>
      <c r="F263" s="8" t="s">
        <v>57</v>
      </c>
      <c r="G263" s="91">
        <v>17</v>
      </c>
      <c r="H263" s="9">
        <v>38.28</v>
      </c>
      <c r="I263" s="87">
        <f>PRODUCT(Table15[[#This Row],[Quantity]],Table15[[#This Row],[Unit_Price]])</f>
        <v>650.76</v>
      </c>
      <c r="J263" s="9">
        <v>38.43</v>
      </c>
      <c r="K263" s="47">
        <v>187.33</v>
      </c>
      <c r="L263" s="8" t="s">
        <v>26</v>
      </c>
      <c r="M263" s="8" t="s">
        <v>32</v>
      </c>
      <c r="N263" s="8" t="s">
        <v>58</v>
      </c>
      <c r="O263" s="91">
        <f>VLOOKUP(E263,Product_Master!$B$2:$F$11,5,FALSE)</f>
        <v>25</v>
      </c>
      <c r="P263" s="91">
        <f>PRODUCT(Table15[[#This Row],[Quantity]],Table15[[#This Row],[Unit_Cost]])</f>
        <v>425</v>
      </c>
      <c r="Q263" s="72">
        <f>(Table15[[#This Row],[Profit]]/Table15[[#This Row],[Total_Sales]])</f>
        <v>0.28786342123056119</v>
      </c>
      <c r="R263" s="22"/>
      <c r="S263" s="22"/>
      <c r="T263" s="22"/>
      <c r="U263" s="22"/>
    </row>
    <row r="264" spans="1:21" x14ac:dyDescent="0.25">
      <c r="A264" s="7" t="s">
        <v>412</v>
      </c>
      <c r="B264" s="16">
        <v>45544</v>
      </c>
      <c r="C264" s="8" t="s">
        <v>364</v>
      </c>
      <c r="D264" s="8" t="str">
        <f>PROPER(TRIM(Sales_Data!D264))</f>
        <v>Usa</v>
      </c>
      <c r="E264" s="8" t="s">
        <v>36</v>
      </c>
      <c r="F264" s="8" t="s">
        <v>37</v>
      </c>
      <c r="G264" s="91">
        <v>10</v>
      </c>
      <c r="H264" s="9">
        <v>38.799999999999997</v>
      </c>
      <c r="I264" s="87">
        <f>PRODUCT(Table15[[#This Row],[Quantity]],Table15[[#This Row],[Unit_Price]])</f>
        <v>388</v>
      </c>
      <c r="J264" s="9">
        <v>16.39</v>
      </c>
      <c r="K264" s="47">
        <v>51.61</v>
      </c>
      <c r="L264" s="8" t="s">
        <v>38</v>
      </c>
      <c r="M264" s="8" t="s">
        <v>27</v>
      </c>
      <c r="N264" s="8" t="s">
        <v>21</v>
      </c>
      <c r="O264" s="91">
        <f>VLOOKUP(E264,Product_Master!$B$2:$F$11,5,FALSE)</f>
        <v>32</v>
      </c>
      <c r="P264" s="91">
        <f>PRODUCT(Table15[[#This Row],[Quantity]],Table15[[#This Row],[Unit_Cost]])</f>
        <v>320</v>
      </c>
      <c r="Q264" s="72">
        <f>(Table15[[#This Row],[Profit]]/Table15[[#This Row],[Total_Sales]])</f>
        <v>0.13301546391752578</v>
      </c>
      <c r="R264" s="22"/>
      <c r="S264" s="22"/>
      <c r="T264" s="22"/>
      <c r="U264" s="22"/>
    </row>
    <row r="265" spans="1:21" x14ac:dyDescent="0.25">
      <c r="A265" s="7" t="s">
        <v>413</v>
      </c>
      <c r="B265" s="16">
        <v>45416</v>
      </c>
      <c r="C265" s="8" t="s">
        <v>166</v>
      </c>
      <c r="D265" s="8" t="str">
        <f>PROPER(TRIM(Sales_Data!D265))</f>
        <v>China</v>
      </c>
      <c r="E265" s="8" t="s">
        <v>56</v>
      </c>
      <c r="F265" s="8" t="s">
        <v>57</v>
      </c>
      <c r="G265" s="91">
        <v>3</v>
      </c>
      <c r="H265" s="9">
        <v>33.840000000000003</v>
      </c>
      <c r="I265" s="87">
        <f>PRODUCT(Table15[[#This Row],[Quantity]],Table15[[#This Row],[Unit_Price]])</f>
        <v>101.52000000000001</v>
      </c>
      <c r="J265" s="9">
        <v>2.3199999999999998</v>
      </c>
      <c r="K265" s="47">
        <v>24.2</v>
      </c>
      <c r="L265" s="8" t="s">
        <v>38</v>
      </c>
      <c r="M265" s="8" t="s">
        <v>32</v>
      </c>
      <c r="N265" s="8" t="s">
        <v>58</v>
      </c>
      <c r="O265" s="91">
        <f>VLOOKUP(E265,Product_Master!$B$2:$F$11,5,FALSE)</f>
        <v>25</v>
      </c>
      <c r="P265" s="91">
        <f>PRODUCT(Table15[[#This Row],[Quantity]],Table15[[#This Row],[Unit_Cost]])</f>
        <v>75</v>
      </c>
      <c r="Q265" s="72">
        <f>(Table15[[#This Row],[Profit]]/Table15[[#This Row],[Total_Sales]])</f>
        <v>0.23837667454688727</v>
      </c>
      <c r="R265" s="22"/>
      <c r="S265" s="22"/>
      <c r="T265" s="22"/>
      <c r="U265" s="22"/>
    </row>
    <row r="266" spans="1:21" x14ac:dyDescent="0.25">
      <c r="A266" s="7" t="s">
        <v>414</v>
      </c>
      <c r="B266" s="16">
        <v>45382</v>
      </c>
      <c r="C266" s="8" t="s">
        <v>199</v>
      </c>
      <c r="D266" s="8" t="str">
        <f>PROPER(TRIM(Sales_Data!D266))</f>
        <v>Germany</v>
      </c>
      <c r="E266" s="8" t="s">
        <v>60</v>
      </c>
      <c r="F266" s="8" t="s">
        <v>52</v>
      </c>
      <c r="G266" s="91">
        <v>20</v>
      </c>
      <c r="H266" s="9">
        <v>21.12</v>
      </c>
      <c r="I266" s="87">
        <f>PRODUCT(Table15[[#This Row],[Quantity]],Table15[[#This Row],[Unit_Price]])</f>
        <v>422.40000000000003</v>
      </c>
      <c r="J266" s="9">
        <v>22.08</v>
      </c>
      <c r="K266" s="47">
        <v>90.32</v>
      </c>
      <c r="L266" s="8" t="s">
        <v>26</v>
      </c>
      <c r="M266" s="8" t="s">
        <v>32</v>
      </c>
      <c r="N266" s="8" t="s">
        <v>28</v>
      </c>
      <c r="O266" s="91">
        <f>VLOOKUP(E266,Product_Master!$B$2:$F$11,5,FALSE)</f>
        <v>15.5</v>
      </c>
      <c r="P266" s="91">
        <f>PRODUCT(Table15[[#This Row],[Quantity]],Table15[[#This Row],[Unit_Cost]])</f>
        <v>310</v>
      </c>
      <c r="Q266" s="72">
        <f>(Table15[[#This Row],[Profit]]/Table15[[#This Row],[Total_Sales]])</f>
        <v>0.21382575757575753</v>
      </c>
      <c r="R266" s="22"/>
      <c r="S266" s="22"/>
      <c r="T266" s="22"/>
      <c r="U266" s="22"/>
    </row>
    <row r="267" spans="1:21" x14ac:dyDescent="0.25">
      <c r="A267" s="7" t="s">
        <v>415</v>
      </c>
      <c r="B267" s="16">
        <v>45657</v>
      </c>
      <c r="C267" s="8" t="s">
        <v>276</v>
      </c>
      <c r="D267" s="8" t="str">
        <f>PROPER(TRIM(Sales_Data!D267))</f>
        <v>South Africa</v>
      </c>
      <c r="E267" s="8" t="s">
        <v>17</v>
      </c>
      <c r="F267" s="8" t="s">
        <v>18</v>
      </c>
      <c r="G267" s="91">
        <v>1</v>
      </c>
      <c r="H267" s="9">
        <v>58.15</v>
      </c>
      <c r="I267" s="87">
        <f>PRODUCT(Table15[[#This Row],[Quantity]],Table15[[#This Row],[Unit_Price]])</f>
        <v>58.15</v>
      </c>
      <c r="J267" s="9">
        <v>4.2</v>
      </c>
      <c r="K267" s="47">
        <v>18.95</v>
      </c>
      <c r="L267" s="8" t="s">
        <v>26</v>
      </c>
      <c r="M267" s="8" t="s">
        <v>27</v>
      </c>
      <c r="N267" s="8" t="s">
        <v>87</v>
      </c>
      <c r="O267" s="91">
        <f>VLOOKUP(E267,Product_Master!$B$2:$F$11,5,FALSE)</f>
        <v>35</v>
      </c>
      <c r="P267" s="91">
        <f>PRODUCT(Table15[[#This Row],[Quantity]],Table15[[#This Row],[Unit_Cost]])</f>
        <v>35</v>
      </c>
      <c r="Q267" s="72">
        <f>(Table15[[#This Row],[Profit]]/Table15[[#This Row],[Total_Sales]])</f>
        <v>0.32588134135855545</v>
      </c>
      <c r="R267" s="22"/>
      <c r="S267" s="22"/>
      <c r="T267" s="22"/>
      <c r="U267" s="22"/>
    </row>
    <row r="268" spans="1:21" x14ac:dyDescent="0.25">
      <c r="A268" s="7" t="s">
        <v>416</v>
      </c>
      <c r="B268" s="16">
        <v>45360</v>
      </c>
      <c r="C268" s="8" t="s">
        <v>97</v>
      </c>
      <c r="D268" s="8" t="str">
        <f>PROPER(TRIM(Sales_Data!D268))</f>
        <v>Brazil</v>
      </c>
      <c r="E268" s="8" t="s">
        <v>36</v>
      </c>
      <c r="F268" s="8" t="s">
        <v>37</v>
      </c>
      <c r="G268" s="91">
        <v>32</v>
      </c>
      <c r="H268" s="9">
        <v>45.96</v>
      </c>
      <c r="I268" s="87">
        <f>PRODUCT(Table15[[#This Row],[Quantity]],Table15[[#This Row],[Unit_Price]])</f>
        <v>1470.72</v>
      </c>
      <c r="J268" s="9">
        <v>82.77</v>
      </c>
      <c r="K268" s="47">
        <v>363.95</v>
      </c>
      <c r="L268" s="8" t="s">
        <v>19</v>
      </c>
      <c r="M268" s="8" t="s">
        <v>27</v>
      </c>
      <c r="N268" s="8" t="s">
        <v>39</v>
      </c>
      <c r="O268" s="91">
        <f>VLOOKUP(E268,Product_Master!$B$2:$F$11,5,FALSE)</f>
        <v>32</v>
      </c>
      <c r="P268" s="91">
        <f>PRODUCT(Table15[[#This Row],[Quantity]],Table15[[#This Row],[Unit_Cost]])</f>
        <v>1024</v>
      </c>
      <c r="Q268" s="72">
        <f>(Table15[[#This Row],[Profit]]/Table15[[#This Row],[Total_Sales]])</f>
        <v>0.24746382724107918</v>
      </c>
      <c r="R268" s="22"/>
      <c r="S268" s="22"/>
      <c r="T268" s="22"/>
      <c r="U268" s="22"/>
    </row>
    <row r="269" spans="1:21" x14ac:dyDescent="0.25">
      <c r="A269" s="7" t="s">
        <v>417</v>
      </c>
      <c r="B269" s="16">
        <v>45777</v>
      </c>
      <c r="C269" s="8" t="s">
        <v>297</v>
      </c>
      <c r="D269" s="8" t="str">
        <f>PROPER(TRIM(Sales_Data!D269))</f>
        <v>Italy</v>
      </c>
      <c r="E269" s="8" t="s">
        <v>63</v>
      </c>
      <c r="F269" s="8" t="s">
        <v>37</v>
      </c>
      <c r="G269" s="91">
        <v>37</v>
      </c>
      <c r="H269" s="9">
        <v>16.82</v>
      </c>
      <c r="I269" s="87">
        <f>PRODUCT(Table15[[#This Row],[Quantity]],Table15[[#This Row],[Unit_Price]])</f>
        <v>622.34</v>
      </c>
      <c r="J269" s="9">
        <v>32.9</v>
      </c>
      <c r="K269" s="47">
        <v>117.69</v>
      </c>
      <c r="L269" s="8" t="s">
        <v>38</v>
      </c>
      <c r="M269" s="8" t="s">
        <v>27</v>
      </c>
      <c r="N269" s="8" t="s">
        <v>28</v>
      </c>
      <c r="O269" s="91">
        <f>VLOOKUP(E269,Product_Master!$B$2:$F$11,5,FALSE)</f>
        <v>12.75</v>
      </c>
      <c r="P269" s="91">
        <f>PRODUCT(Table15[[#This Row],[Quantity]],Table15[[#This Row],[Unit_Cost]])</f>
        <v>471.75</v>
      </c>
      <c r="Q269" s="72">
        <f>(Table15[[#This Row],[Profit]]/Table15[[#This Row],[Total_Sales]])</f>
        <v>0.18910884725391264</v>
      </c>
      <c r="R269" s="22"/>
      <c r="S269" s="22"/>
      <c r="T269" s="22"/>
      <c r="U269" s="22"/>
    </row>
    <row r="270" spans="1:21" x14ac:dyDescent="0.25">
      <c r="A270" s="7" t="s">
        <v>418</v>
      </c>
      <c r="B270" s="16">
        <v>45391</v>
      </c>
      <c r="C270" s="8" t="s">
        <v>50</v>
      </c>
      <c r="D270" s="8" t="str">
        <f>PROPER(TRIM(Sales_Data!D270))</f>
        <v>Italy</v>
      </c>
      <c r="E270" s="8" t="s">
        <v>36</v>
      </c>
      <c r="F270" s="8" t="s">
        <v>37</v>
      </c>
      <c r="G270" s="91">
        <v>18</v>
      </c>
      <c r="H270" s="9">
        <v>54.62</v>
      </c>
      <c r="I270" s="87">
        <f>PRODUCT(Table15[[#This Row],[Quantity]],Table15[[#This Row],[Unit_Price]])</f>
        <v>983.16</v>
      </c>
      <c r="J270" s="9">
        <v>22.61</v>
      </c>
      <c r="K270" s="47">
        <v>384.55</v>
      </c>
      <c r="L270" s="8" t="s">
        <v>38</v>
      </c>
      <c r="M270" s="8" t="s">
        <v>27</v>
      </c>
      <c r="N270" s="8" t="s">
        <v>28</v>
      </c>
      <c r="O270" s="91">
        <f>VLOOKUP(E270,Product_Master!$B$2:$F$11,5,FALSE)</f>
        <v>32</v>
      </c>
      <c r="P270" s="91">
        <f>PRODUCT(Table15[[#This Row],[Quantity]],Table15[[#This Row],[Unit_Cost]])</f>
        <v>576</v>
      </c>
      <c r="Q270" s="72">
        <f>(Table15[[#This Row],[Profit]]/Table15[[#This Row],[Total_Sales]])</f>
        <v>0.39113674274787424</v>
      </c>
      <c r="R270" s="22"/>
      <c r="S270" s="22"/>
      <c r="T270" s="22"/>
      <c r="U270" s="22"/>
    </row>
    <row r="271" spans="1:21" x14ac:dyDescent="0.25">
      <c r="A271" s="7" t="s">
        <v>419</v>
      </c>
      <c r="B271" s="16">
        <v>45733</v>
      </c>
      <c r="C271" s="8" t="s">
        <v>105</v>
      </c>
      <c r="D271" s="8" t="str">
        <f>PROPER(TRIM(Sales_Data!D271))</f>
        <v>Italy</v>
      </c>
      <c r="E271" s="8" t="s">
        <v>63</v>
      </c>
      <c r="F271" s="8" t="s">
        <v>37</v>
      </c>
      <c r="G271" s="91">
        <v>30</v>
      </c>
      <c r="H271" s="9">
        <v>22.83</v>
      </c>
      <c r="I271" s="87">
        <f>PRODUCT(Table15[[#This Row],[Quantity]],Table15[[#This Row],[Unit_Price]])</f>
        <v>684.9</v>
      </c>
      <c r="J271" s="9">
        <v>32.31</v>
      </c>
      <c r="K271" s="47">
        <v>270.08999999999997</v>
      </c>
      <c r="L271" s="8" t="s">
        <v>19</v>
      </c>
      <c r="M271" s="8" t="s">
        <v>27</v>
      </c>
      <c r="N271" s="8" t="s">
        <v>28</v>
      </c>
      <c r="O271" s="91">
        <f>VLOOKUP(E271,Product_Master!$B$2:$F$11,5,FALSE)</f>
        <v>12.75</v>
      </c>
      <c r="P271" s="91">
        <f>PRODUCT(Table15[[#This Row],[Quantity]],Table15[[#This Row],[Unit_Cost]])</f>
        <v>382.5</v>
      </c>
      <c r="Q271" s="72">
        <f>(Table15[[#This Row],[Profit]]/Table15[[#This Row],[Total_Sales]])</f>
        <v>0.3943495400788436</v>
      </c>
      <c r="R271" s="22"/>
      <c r="S271" s="22"/>
      <c r="T271" s="22"/>
      <c r="U271" s="22"/>
    </row>
    <row r="272" spans="1:21" x14ac:dyDescent="0.25">
      <c r="A272" s="7" t="s">
        <v>420</v>
      </c>
      <c r="B272" s="16">
        <v>45643</v>
      </c>
      <c r="C272" s="8" t="s">
        <v>421</v>
      </c>
      <c r="D272" s="8" t="str">
        <f>PROPER(TRIM(Sales_Data!D272))</f>
        <v>France</v>
      </c>
      <c r="E272" s="8" t="s">
        <v>36</v>
      </c>
      <c r="F272" s="8" t="s">
        <v>37</v>
      </c>
      <c r="G272" s="91">
        <v>39</v>
      </c>
      <c r="H272" s="9">
        <v>47.02</v>
      </c>
      <c r="I272" s="87">
        <f>PRODUCT(Table15[[#This Row],[Quantity]],Table15[[#This Row],[Unit_Price]])</f>
        <v>1833.7800000000002</v>
      </c>
      <c r="J272" s="9">
        <v>50.01</v>
      </c>
      <c r="K272" s="47">
        <v>535.77</v>
      </c>
      <c r="L272" s="8" t="s">
        <v>38</v>
      </c>
      <c r="M272" s="8" t="s">
        <v>27</v>
      </c>
      <c r="N272" s="8" t="s">
        <v>28</v>
      </c>
      <c r="O272" s="91">
        <f>VLOOKUP(E272,Product_Master!$B$2:$F$11,5,FALSE)</f>
        <v>32</v>
      </c>
      <c r="P272" s="91">
        <f>PRODUCT(Table15[[#This Row],[Quantity]],Table15[[#This Row],[Unit_Cost]])</f>
        <v>1248</v>
      </c>
      <c r="Q272" s="72">
        <f>(Table15[[#This Row],[Profit]]/Table15[[#This Row],[Total_Sales]])</f>
        <v>0.29216699931289464</v>
      </c>
      <c r="R272" s="22"/>
      <c r="S272" s="22"/>
      <c r="T272" s="22"/>
      <c r="U272" s="22"/>
    </row>
    <row r="273" spans="1:21" x14ac:dyDescent="0.25">
      <c r="A273" s="7" t="s">
        <v>422</v>
      </c>
      <c r="B273" s="16">
        <v>45774</v>
      </c>
      <c r="C273" s="8" t="s">
        <v>89</v>
      </c>
      <c r="D273" s="8" t="str">
        <f>PROPER(TRIM(Sales_Data!D273))</f>
        <v>Usa</v>
      </c>
      <c r="E273" s="8" t="s">
        <v>83</v>
      </c>
      <c r="F273" s="8" t="s">
        <v>52</v>
      </c>
      <c r="G273" s="91">
        <v>22</v>
      </c>
      <c r="H273" s="9">
        <v>43.32</v>
      </c>
      <c r="I273" s="87">
        <f>PRODUCT(Table15[[#This Row],[Quantity]],Table15[[#This Row],[Unit_Price]])</f>
        <v>953.04</v>
      </c>
      <c r="J273" s="9">
        <v>71.3</v>
      </c>
      <c r="K273" s="47">
        <v>265.74</v>
      </c>
      <c r="L273" s="8" t="s">
        <v>26</v>
      </c>
      <c r="M273" s="8" t="s">
        <v>32</v>
      </c>
      <c r="N273" s="8" t="s">
        <v>21</v>
      </c>
      <c r="O273" s="91">
        <f>VLOOKUP(E273,Product_Master!$B$2:$F$11,5,FALSE)</f>
        <v>28</v>
      </c>
      <c r="P273" s="91">
        <f>PRODUCT(Table15[[#This Row],[Quantity]],Table15[[#This Row],[Unit_Cost]])</f>
        <v>616</v>
      </c>
      <c r="Q273" s="72">
        <f>(Table15[[#This Row],[Profit]]/Table15[[#This Row],[Total_Sales]])</f>
        <v>0.27883404683958701</v>
      </c>
      <c r="R273" s="22"/>
      <c r="S273" s="22"/>
      <c r="T273" s="22"/>
      <c r="U273" s="22"/>
    </row>
    <row r="274" spans="1:21" x14ac:dyDescent="0.25">
      <c r="A274" s="7" t="s">
        <v>423</v>
      </c>
      <c r="B274" s="16">
        <v>45571</v>
      </c>
      <c r="C274" s="8" t="s">
        <v>300</v>
      </c>
      <c r="D274" s="8" t="str">
        <f>PROPER(TRIM(Sales_Data!D274))</f>
        <v>Japan</v>
      </c>
      <c r="E274" s="8" t="s">
        <v>51</v>
      </c>
      <c r="F274" s="8" t="s">
        <v>52</v>
      </c>
      <c r="G274" s="91">
        <v>6</v>
      </c>
      <c r="H274" s="9">
        <v>31.69</v>
      </c>
      <c r="I274" s="87">
        <f>PRODUCT(Table15[[#This Row],[Quantity]],Table15[[#This Row],[Unit_Price]])</f>
        <v>190.14000000000001</v>
      </c>
      <c r="J274" s="9">
        <v>12.52</v>
      </c>
      <c r="K274" s="47">
        <v>42.62</v>
      </c>
      <c r="L274" s="8" t="s">
        <v>38</v>
      </c>
      <c r="M274" s="8" t="s">
        <v>27</v>
      </c>
      <c r="N274" s="8" t="s">
        <v>58</v>
      </c>
      <c r="O274" s="91">
        <f>VLOOKUP(E274,Product_Master!$B$2:$F$11,5,FALSE)</f>
        <v>22.5</v>
      </c>
      <c r="P274" s="91">
        <f>PRODUCT(Table15[[#This Row],[Quantity]],Table15[[#This Row],[Unit_Cost]])</f>
        <v>135</v>
      </c>
      <c r="Q274" s="72">
        <f>(Table15[[#This Row],[Profit]]/Table15[[#This Row],[Total_Sales]])</f>
        <v>0.22415062585463338</v>
      </c>
      <c r="R274" s="22"/>
      <c r="S274" s="22"/>
      <c r="T274" s="22"/>
      <c r="U274" s="22"/>
    </row>
    <row r="275" spans="1:21" x14ac:dyDescent="0.25">
      <c r="A275" s="7" t="s">
        <v>424</v>
      </c>
      <c r="B275" s="16">
        <v>45460</v>
      </c>
      <c r="C275" s="8" t="s">
        <v>199</v>
      </c>
      <c r="D275" s="8" t="str">
        <f>PROPER(TRIM(Sales_Data!D275))</f>
        <v>Germany</v>
      </c>
      <c r="E275" s="8" t="s">
        <v>17</v>
      </c>
      <c r="F275" s="8" t="s">
        <v>18</v>
      </c>
      <c r="G275" s="91">
        <v>19</v>
      </c>
      <c r="H275" s="9">
        <v>53.28</v>
      </c>
      <c r="I275" s="87">
        <f>PRODUCT(Table15[[#This Row],[Quantity]],Table15[[#This Row],[Unit_Price]])</f>
        <v>1012.32</v>
      </c>
      <c r="J275" s="9">
        <v>27.24</v>
      </c>
      <c r="K275" s="47">
        <v>320.08</v>
      </c>
      <c r="L275" s="8" t="s">
        <v>38</v>
      </c>
      <c r="M275" s="8" t="s">
        <v>27</v>
      </c>
      <c r="N275" s="8" t="s">
        <v>28</v>
      </c>
      <c r="O275" s="91">
        <f>VLOOKUP(E275,Product_Master!$B$2:$F$11,5,FALSE)</f>
        <v>35</v>
      </c>
      <c r="P275" s="91">
        <f>PRODUCT(Table15[[#This Row],[Quantity]],Table15[[#This Row],[Unit_Cost]])</f>
        <v>665</v>
      </c>
      <c r="Q275" s="72">
        <f>(Table15[[#This Row],[Profit]]/Table15[[#This Row],[Total_Sales]])</f>
        <v>0.31618460565828982</v>
      </c>
      <c r="R275" s="22"/>
      <c r="S275" s="22"/>
      <c r="T275" s="22"/>
      <c r="U275" s="22"/>
    </row>
    <row r="276" spans="1:21" x14ac:dyDescent="0.25">
      <c r="A276" s="7" t="s">
        <v>425</v>
      </c>
      <c r="B276" s="16">
        <v>45436</v>
      </c>
      <c r="C276" s="8" t="s">
        <v>154</v>
      </c>
      <c r="D276" s="8" t="str">
        <f>PROPER(TRIM(Sales_Data!D276))</f>
        <v>Usa</v>
      </c>
      <c r="E276" s="8" t="s">
        <v>17</v>
      </c>
      <c r="F276" s="8" t="s">
        <v>18</v>
      </c>
      <c r="G276" s="91">
        <v>47</v>
      </c>
      <c r="H276" s="9">
        <v>47.53</v>
      </c>
      <c r="I276" s="87">
        <f>PRODUCT(Table15[[#This Row],[Quantity]],Table15[[#This Row],[Unit_Price]])</f>
        <v>2233.91</v>
      </c>
      <c r="J276" s="9">
        <v>128.91</v>
      </c>
      <c r="K276" s="47">
        <v>460</v>
      </c>
      <c r="L276" s="8" t="s">
        <v>26</v>
      </c>
      <c r="M276" s="8" t="s">
        <v>20</v>
      </c>
      <c r="N276" s="8" t="s">
        <v>21</v>
      </c>
      <c r="O276" s="91">
        <f>VLOOKUP(E276,Product_Master!$B$2:$F$11,5,FALSE)</f>
        <v>35</v>
      </c>
      <c r="P276" s="91">
        <f>PRODUCT(Table15[[#This Row],[Quantity]],Table15[[#This Row],[Unit_Cost]])</f>
        <v>1645</v>
      </c>
      <c r="Q276" s="72">
        <f>(Table15[[#This Row],[Profit]]/Table15[[#This Row],[Total_Sales]])</f>
        <v>0.20591697964555422</v>
      </c>
      <c r="R276" s="22"/>
      <c r="S276" s="22"/>
      <c r="T276" s="22"/>
      <c r="U276" s="22"/>
    </row>
    <row r="277" spans="1:21" x14ac:dyDescent="0.25">
      <c r="A277" s="7" t="s">
        <v>426</v>
      </c>
      <c r="B277" s="16">
        <v>45609</v>
      </c>
      <c r="C277" s="8" t="s">
        <v>286</v>
      </c>
      <c r="D277" s="8" t="str">
        <f>PROPER(TRIM(Sales_Data!D277))</f>
        <v>Singapore</v>
      </c>
      <c r="E277" s="8" t="s">
        <v>48</v>
      </c>
      <c r="F277" s="8" t="s">
        <v>37</v>
      </c>
      <c r="G277" s="91">
        <v>12</v>
      </c>
      <c r="H277" s="9">
        <v>24.02</v>
      </c>
      <c r="I277" s="87">
        <f>PRODUCT(Table15[[#This Row],[Quantity]],Table15[[#This Row],[Unit_Price]])</f>
        <v>288.24</v>
      </c>
      <c r="J277" s="9">
        <v>9.8000000000000007</v>
      </c>
      <c r="K277" s="47">
        <v>38.44</v>
      </c>
      <c r="L277" s="8" t="s">
        <v>19</v>
      </c>
      <c r="M277" s="8" t="s">
        <v>32</v>
      </c>
      <c r="N277" s="8" t="s">
        <v>58</v>
      </c>
      <c r="O277" s="91">
        <f>VLOOKUP(E277,Product_Master!$B$2:$F$11,5,FALSE)</f>
        <v>20</v>
      </c>
      <c r="P277" s="91">
        <f>PRODUCT(Table15[[#This Row],[Quantity]],Table15[[#This Row],[Unit_Cost]])</f>
        <v>240</v>
      </c>
      <c r="Q277" s="72">
        <f>(Table15[[#This Row],[Profit]]/Table15[[#This Row],[Total_Sales]])</f>
        <v>0.133361087982237</v>
      </c>
      <c r="R277" s="22"/>
      <c r="S277" s="22"/>
      <c r="T277" s="22"/>
      <c r="U277" s="22"/>
    </row>
    <row r="278" spans="1:21" x14ac:dyDescent="0.25">
      <c r="A278" s="7" t="s">
        <v>427</v>
      </c>
      <c r="B278" s="16">
        <v>45663</v>
      </c>
      <c r="C278" s="8" t="s">
        <v>364</v>
      </c>
      <c r="D278" s="8" t="str">
        <f>PROPER(TRIM(Sales_Data!D278))</f>
        <v>Singapore</v>
      </c>
      <c r="E278" s="8" t="s">
        <v>63</v>
      </c>
      <c r="F278" s="8" t="s">
        <v>37</v>
      </c>
      <c r="G278" s="91">
        <v>32</v>
      </c>
      <c r="H278" s="9">
        <v>15.64</v>
      </c>
      <c r="I278" s="87">
        <f>PRODUCT(Table15[[#This Row],[Quantity]],Table15[[#This Row],[Unit_Price]])</f>
        <v>500.48</v>
      </c>
      <c r="J278" s="9">
        <v>24.69</v>
      </c>
      <c r="K278" s="47">
        <v>67.790000000000006</v>
      </c>
      <c r="L278" s="8" t="s">
        <v>38</v>
      </c>
      <c r="M278" s="8" t="s">
        <v>20</v>
      </c>
      <c r="N278" s="8" t="s">
        <v>58</v>
      </c>
      <c r="O278" s="91">
        <f>VLOOKUP(E278,Product_Master!$B$2:$F$11,5,FALSE)</f>
        <v>12.75</v>
      </c>
      <c r="P278" s="91">
        <f>PRODUCT(Table15[[#This Row],[Quantity]],Table15[[#This Row],[Unit_Cost]])</f>
        <v>408</v>
      </c>
      <c r="Q278" s="72">
        <f>(Table15[[#This Row],[Profit]]/Table15[[#This Row],[Total_Sales]])</f>
        <v>0.13544996803069054</v>
      </c>
      <c r="R278" s="22"/>
      <c r="S278" s="22"/>
      <c r="T278" s="22"/>
      <c r="U278" s="22"/>
    </row>
    <row r="279" spans="1:21" x14ac:dyDescent="0.25">
      <c r="A279" s="7" t="s">
        <v>428</v>
      </c>
      <c r="B279" s="16">
        <v>45592</v>
      </c>
      <c r="C279" s="8" t="s">
        <v>240</v>
      </c>
      <c r="D279" s="8" t="str">
        <f>PROPER(TRIM(Sales_Data!D279))</f>
        <v>Australia</v>
      </c>
      <c r="E279" s="8" t="s">
        <v>36</v>
      </c>
      <c r="F279" s="8" t="s">
        <v>37</v>
      </c>
      <c r="G279" s="91">
        <v>22</v>
      </c>
      <c r="H279" s="9">
        <v>42.54</v>
      </c>
      <c r="I279" s="87">
        <f>PRODUCT(Table15[[#This Row],[Quantity]],Table15[[#This Row],[Unit_Price]])</f>
        <v>935.88</v>
      </c>
      <c r="J279" s="9">
        <v>45.37</v>
      </c>
      <c r="K279" s="47">
        <v>186.51</v>
      </c>
      <c r="L279" s="8" t="s">
        <v>19</v>
      </c>
      <c r="M279" s="8" t="s">
        <v>32</v>
      </c>
      <c r="N279" s="8" t="s">
        <v>130</v>
      </c>
      <c r="O279" s="91">
        <f>VLOOKUP(E279,Product_Master!$B$2:$F$11,5,FALSE)</f>
        <v>32</v>
      </c>
      <c r="P279" s="91">
        <f>PRODUCT(Table15[[#This Row],[Quantity]],Table15[[#This Row],[Unit_Cost]])</f>
        <v>704</v>
      </c>
      <c r="Q279" s="72">
        <f>(Table15[[#This Row],[Profit]]/Table15[[#This Row],[Total_Sales]])</f>
        <v>0.1992883703038851</v>
      </c>
      <c r="R279" s="22"/>
      <c r="S279" s="22"/>
      <c r="T279" s="22"/>
      <c r="U279" s="22"/>
    </row>
    <row r="280" spans="1:21" x14ac:dyDescent="0.25">
      <c r="A280" s="7" t="s">
        <v>429</v>
      </c>
      <c r="B280" s="16">
        <v>45447</v>
      </c>
      <c r="C280" s="8" t="s">
        <v>315</v>
      </c>
      <c r="D280" s="8" t="str">
        <f>PROPER(TRIM(Sales_Data!D280))</f>
        <v>India</v>
      </c>
      <c r="E280" s="8" t="s">
        <v>56</v>
      </c>
      <c r="F280" s="8" t="s">
        <v>57</v>
      </c>
      <c r="G280" s="91">
        <v>37</v>
      </c>
      <c r="H280" s="9">
        <v>43.55</v>
      </c>
      <c r="I280" s="87">
        <f>PRODUCT(Table15[[#This Row],[Quantity]],Table15[[#This Row],[Unit_Price]])</f>
        <v>1611.35</v>
      </c>
      <c r="J280" s="9">
        <v>67.78</v>
      </c>
      <c r="K280" s="47">
        <v>618.57000000000005</v>
      </c>
      <c r="L280" s="8" t="s">
        <v>26</v>
      </c>
      <c r="M280" s="8" t="s">
        <v>27</v>
      </c>
      <c r="N280" s="8" t="s">
        <v>58</v>
      </c>
      <c r="O280" s="91">
        <f>VLOOKUP(E280,Product_Master!$B$2:$F$11,5,FALSE)</f>
        <v>25</v>
      </c>
      <c r="P280" s="91">
        <f>PRODUCT(Table15[[#This Row],[Quantity]],Table15[[#This Row],[Unit_Cost]])</f>
        <v>925</v>
      </c>
      <c r="Q280" s="72">
        <f>(Table15[[#This Row],[Profit]]/Table15[[#This Row],[Total_Sales]])</f>
        <v>0.38388307940546751</v>
      </c>
      <c r="R280" s="22"/>
      <c r="S280" s="22"/>
      <c r="T280" s="22"/>
      <c r="U280" s="22"/>
    </row>
    <row r="281" spans="1:21" x14ac:dyDescent="0.25">
      <c r="A281" s="7" t="s">
        <v>430</v>
      </c>
      <c r="B281" s="16">
        <v>45528</v>
      </c>
      <c r="C281" s="8" t="s">
        <v>113</v>
      </c>
      <c r="D281" s="8" t="str">
        <f>PROPER(TRIM(Sales_Data!D281))</f>
        <v>Brazil</v>
      </c>
      <c r="E281" s="8" t="s">
        <v>60</v>
      </c>
      <c r="F281" s="8" t="s">
        <v>52</v>
      </c>
      <c r="G281" s="91">
        <v>42</v>
      </c>
      <c r="H281" s="9">
        <v>20.260000000000002</v>
      </c>
      <c r="I281" s="87">
        <f>PRODUCT(Table15[[#This Row],[Quantity]],Table15[[#This Row],[Unit_Price]])</f>
        <v>850.92000000000007</v>
      </c>
      <c r="J281" s="9">
        <v>22.43</v>
      </c>
      <c r="K281" s="47">
        <v>177.49</v>
      </c>
      <c r="L281" s="8" t="s">
        <v>38</v>
      </c>
      <c r="M281" s="8" t="s">
        <v>32</v>
      </c>
      <c r="N281" s="8" t="s">
        <v>39</v>
      </c>
      <c r="O281" s="91">
        <f>VLOOKUP(E281,Product_Master!$B$2:$F$11,5,FALSE)</f>
        <v>15.5</v>
      </c>
      <c r="P281" s="91">
        <f>PRODUCT(Table15[[#This Row],[Quantity]],Table15[[#This Row],[Unit_Cost]])</f>
        <v>651</v>
      </c>
      <c r="Q281" s="72">
        <f>(Table15[[#This Row],[Profit]]/Table15[[#This Row],[Total_Sales]])</f>
        <v>0.20858600103417477</v>
      </c>
      <c r="R281" s="22"/>
      <c r="S281" s="22"/>
      <c r="T281" s="22"/>
      <c r="U281" s="22"/>
    </row>
    <row r="282" spans="1:21" x14ac:dyDescent="0.25">
      <c r="A282" s="7" t="s">
        <v>431</v>
      </c>
      <c r="B282" s="16">
        <v>45791</v>
      </c>
      <c r="C282" s="8" t="s">
        <v>67</v>
      </c>
      <c r="D282" s="8" t="str">
        <f>PROPER(TRIM(Sales_Data!D282))</f>
        <v>Canada</v>
      </c>
      <c r="E282" s="8" t="s">
        <v>25</v>
      </c>
      <c r="F282" s="8" t="s">
        <v>18</v>
      </c>
      <c r="G282" s="91">
        <v>43</v>
      </c>
      <c r="H282" s="9">
        <v>24.08</v>
      </c>
      <c r="I282" s="87">
        <f>PRODUCT(Table15[[#This Row],[Quantity]],Table15[[#This Row],[Unit_Price]])</f>
        <v>1035.4399999999998</v>
      </c>
      <c r="J282" s="9">
        <v>35.07</v>
      </c>
      <c r="K282" s="47">
        <v>226.37</v>
      </c>
      <c r="L282" s="8" t="s">
        <v>26</v>
      </c>
      <c r="M282" s="8" t="s">
        <v>32</v>
      </c>
      <c r="N282" s="8" t="s">
        <v>21</v>
      </c>
      <c r="O282" s="91">
        <f>VLOOKUP(E282,Product_Master!$B$2:$F$11,5,FALSE)</f>
        <v>18</v>
      </c>
      <c r="P282" s="91">
        <f>PRODUCT(Table15[[#This Row],[Quantity]],Table15[[#This Row],[Unit_Cost]])</f>
        <v>774</v>
      </c>
      <c r="Q282" s="72">
        <f>(Table15[[#This Row],[Profit]]/Table15[[#This Row],[Total_Sales]])</f>
        <v>0.21862203507687558</v>
      </c>
      <c r="R282" s="22"/>
      <c r="S282" s="22"/>
      <c r="T282" s="22"/>
      <c r="U282" s="22"/>
    </row>
    <row r="283" spans="1:21" x14ac:dyDescent="0.25">
      <c r="A283" s="7" t="s">
        <v>432</v>
      </c>
      <c r="B283" s="16">
        <v>45472</v>
      </c>
      <c r="C283" s="8" t="s">
        <v>297</v>
      </c>
      <c r="D283" s="8" t="str">
        <f>PROPER(TRIM(Sales_Data!D283))</f>
        <v>Germany</v>
      </c>
      <c r="E283" s="8" t="s">
        <v>43</v>
      </c>
      <c r="F283" s="8" t="s">
        <v>44</v>
      </c>
      <c r="G283" s="91">
        <v>14</v>
      </c>
      <c r="H283" s="9">
        <v>69.010000000000005</v>
      </c>
      <c r="I283" s="87">
        <f>PRODUCT(Table15[[#This Row],[Quantity]],Table15[[#This Row],[Unit_Price]])</f>
        <v>966.1400000000001</v>
      </c>
      <c r="J283" s="9">
        <v>32.67</v>
      </c>
      <c r="K283" s="47">
        <v>373.47</v>
      </c>
      <c r="L283" s="8" t="s">
        <v>26</v>
      </c>
      <c r="M283" s="8" t="s">
        <v>20</v>
      </c>
      <c r="N283" s="8" t="s">
        <v>28</v>
      </c>
      <c r="O283" s="91">
        <f>VLOOKUP(E283,Product_Master!$B$2:$F$11,5,FALSE)</f>
        <v>40</v>
      </c>
      <c r="P283" s="91">
        <f>PRODUCT(Table15[[#This Row],[Quantity]],Table15[[#This Row],[Unit_Cost]])</f>
        <v>560</v>
      </c>
      <c r="Q283" s="72">
        <f>(Table15[[#This Row],[Profit]]/Table15[[#This Row],[Total_Sales]])</f>
        <v>0.38655888380565961</v>
      </c>
      <c r="R283" s="22"/>
      <c r="S283" s="22"/>
      <c r="T283" s="22"/>
      <c r="U283" s="22"/>
    </row>
    <row r="284" spans="1:21" x14ac:dyDescent="0.25">
      <c r="A284" s="7" t="s">
        <v>433</v>
      </c>
      <c r="B284" s="16">
        <v>45435</v>
      </c>
      <c r="C284" s="8" t="s">
        <v>117</v>
      </c>
      <c r="D284" s="8" t="str">
        <f>PROPER(TRIM(Sales_Data!D284))</f>
        <v>Australia</v>
      </c>
      <c r="E284" s="8" t="s">
        <v>48</v>
      </c>
      <c r="F284" s="8" t="s">
        <v>37</v>
      </c>
      <c r="G284" s="91">
        <v>29</v>
      </c>
      <c r="H284" s="9">
        <v>28.29</v>
      </c>
      <c r="I284" s="87">
        <f>PRODUCT(Table15[[#This Row],[Quantity]],Table15[[#This Row],[Unit_Price]])</f>
        <v>820.41</v>
      </c>
      <c r="J284" s="9">
        <v>63.15</v>
      </c>
      <c r="K284" s="47">
        <v>177.26</v>
      </c>
      <c r="L284" s="8" t="s">
        <v>38</v>
      </c>
      <c r="M284" s="8" t="s">
        <v>32</v>
      </c>
      <c r="N284" s="8" t="s">
        <v>130</v>
      </c>
      <c r="O284" s="91">
        <f>VLOOKUP(E284,Product_Master!$B$2:$F$11,5,FALSE)</f>
        <v>20</v>
      </c>
      <c r="P284" s="91">
        <f>PRODUCT(Table15[[#This Row],[Quantity]],Table15[[#This Row],[Unit_Cost]])</f>
        <v>580</v>
      </c>
      <c r="Q284" s="72">
        <f>(Table15[[#This Row],[Profit]]/Table15[[#This Row],[Total_Sales]])</f>
        <v>0.21606270035713851</v>
      </c>
      <c r="R284" s="22"/>
      <c r="S284" s="22"/>
      <c r="T284" s="22"/>
      <c r="U284" s="22"/>
    </row>
    <row r="285" spans="1:21" x14ac:dyDescent="0.25">
      <c r="A285" s="7" t="s">
        <v>434</v>
      </c>
      <c r="B285" s="16">
        <v>45321</v>
      </c>
      <c r="C285" s="8" t="s">
        <v>221</v>
      </c>
      <c r="D285" s="8" t="str">
        <f>PROPER(TRIM(Sales_Data!D285))</f>
        <v>Mexico</v>
      </c>
      <c r="E285" s="8" t="s">
        <v>60</v>
      </c>
      <c r="F285" s="8" t="s">
        <v>52</v>
      </c>
      <c r="G285" s="91">
        <v>29</v>
      </c>
      <c r="H285" s="9">
        <v>26.51</v>
      </c>
      <c r="I285" s="87">
        <f>PRODUCT(Table15[[#This Row],[Quantity]],Table15[[#This Row],[Unit_Price]])</f>
        <v>768.79000000000008</v>
      </c>
      <c r="J285" s="9">
        <v>15.66</v>
      </c>
      <c r="K285" s="47">
        <v>303.63</v>
      </c>
      <c r="L285" s="8" t="s">
        <v>26</v>
      </c>
      <c r="M285" s="8" t="s">
        <v>20</v>
      </c>
      <c r="N285" s="8" t="s">
        <v>21</v>
      </c>
      <c r="O285" s="91">
        <f>VLOOKUP(E285,Product_Master!$B$2:$F$11,5,FALSE)</f>
        <v>15.5</v>
      </c>
      <c r="P285" s="91">
        <f>PRODUCT(Table15[[#This Row],[Quantity]],Table15[[#This Row],[Unit_Cost]])</f>
        <v>449.5</v>
      </c>
      <c r="Q285" s="72">
        <f>(Table15[[#This Row],[Profit]]/Table15[[#This Row],[Total_Sales]])</f>
        <v>0.39494530365899655</v>
      </c>
      <c r="R285" s="22"/>
      <c r="S285" s="22"/>
      <c r="T285" s="22"/>
      <c r="U285" s="22"/>
    </row>
    <row r="286" spans="1:21" x14ac:dyDescent="0.25">
      <c r="A286" s="7" t="s">
        <v>435</v>
      </c>
      <c r="B286" s="16">
        <v>45656</v>
      </c>
      <c r="C286" s="8" t="s">
        <v>121</v>
      </c>
      <c r="D286" s="8" t="str">
        <f>PROPER(TRIM(Sales_Data!D286))</f>
        <v>Canada</v>
      </c>
      <c r="E286" s="8" t="s">
        <v>17</v>
      </c>
      <c r="F286" s="8" t="s">
        <v>18</v>
      </c>
      <c r="G286" s="91">
        <v>11</v>
      </c>
      <c r="H286" s="9">
        <v>58.07</v>
      </c>
      <c r="I286" s="87">
        <f>PRODUCT(Table15[[#This Row],[Quantity]],Table15[[#This Row],[Unit_Price]])</f>
        <v>638.77</v>
      </c>
      <c r="J286" s="9">
        <v>43.89</v>
      </c>
      <c r="K286" s="47">
        <v>209.88</v>
      </c>
      <c r="L286" s="8" t="s">
        <v>19</v>
      </c>
      <c r="M286" s="8" t="s">
        <v>27</v>
      </c>
      <c r="N286" s="8" t="s">
        <v>21</v>
      </c>
      <c r="O286" s="91">
        <f>VLOOKUP(E286,Product_Master!$B$2:$F$11,5,FALSE)</f>
        <v>35</v>
      </c>
      <c r="P286" s="91">
        <f>PRODUCT(Table15[[#This Row],[Quantity]],Table15[[#This Row],[Unit_Cost]])</f>
        <v>385</v>
      </c>
      <c r="Q286" s="72">
        <f>(Table15[[#This Row],[Profit]]/Table15[[#This Row],[Total_Sales]])</f>
        <v>0.32856896848630962</v>
      </c>
      <c r="R286" s="22"/>
      <c r="S286" s="22"/>
      <c r="T286" s="22"/>
      <c r="U286" s="22"/>
    </row>
    <row r="287" spans="1:21" x14ac:dyDescent="0.25">
      <c r="A287" s="7" t="s">
        <v>436</v>
      </c>
      <c r="B287" s="16">
        <v>45782</v>
      </c>
      <c r="C287" s="8" t="s">
        <v>110</v>
      </c>
      <c r="D287" s="8" t="str">
        <f>PROPER(TRIM(Sales_Data!D287))</f>
        <v>Uk</v>
      </c>
      <c r="E287" s="8" t="s">
        <v>36</v>
      </c>
      <c r="F287" s="8" t="s">
        <v>37</v>
      </c>
      <c r="G287" s="91">
        <v>3</v>
      </c>
      <c r="H287" s="9">
        <v>48.76</v>
      </c>
      <c r="I287" s="87">
        <f>PRODUCT(Table15[[#This Row],[Quantity]],Table15[[#This Row],[Unit_Price]])</f>
        <v>146.28</v>
      </c>
      <c r="J287" s="9">
        <v>10.45</v>
      </c>
      <c r="K287" s="47">
        <v>39.83</v>
      </c>
      <c r="L287" s="8" t="s">
        <v>38</v>
      </c>
      <c r="M287" s="8" t="s">
        <v>27</v>
      </c>
      <c r="N287" s="8" t="s">
        <v>28</v>
      </c>
      <c r="O287" s="91">
        <f>VLOOKUP(E287,Product_Master!$B$2:$F$11,5,FALSE)</f>
        <v>32</v>
      </c>
      <c r="P287" s="91">
        <f>PRODUCT(Table15[[#This Row],[Quantity]],Table15[[#This Row],[Unit_Cost]])</f>
        <v>96</v>
      </c>
      <c r="Q287" s="72">
        <f>(Table15[[#This Row],[Profit]]/Table15[[#This Row],[Total_Sales]])</f>
        <v>0.2722860267979218</v>
      </c>
      <c r="R287" s="22"/>
      <c r="S287" s="22"/>
      <c r="T287" s="22"/>
      <c r="U287" s="22"/>
    </row>
    <row r="288" spans="1:21" x14ac:dyDescent="0.25">
      <c r="A288" s="7" t="s">
        <v>437</v>
      </c>
      <c r="B288" s="16">
        <v>45415</v>
      </c>
      <c r="C288" s="8" t="s">
        <v>161</v>
      </c>
      <c r="D288" s="8" t="str">
        <f>PROPER(TRIM(Sales_Data!D288))</f>
        <v>India</v>
      </c>
      <c r="E288" s="8" t="s">
        <v>48</v>
      </c>
      <c r="F288" s="8" t="s">
        <v>37</v>
      </c>
      <c r="G288" s="91">
        <v>49</v>
      </c>
      <c r="H288" s="9">
        <v>30.46</v>
      </c>
      <c r="I288" s="87">
        <f>PRODUCT(Table15[[#This Row],[Quantity]],Table15[[#This Row],[Unit_Price]])</f>
        <v>1492.54</v>
      </c>
      <c r="J288" s="9">
        <v>51.82</v>
      </c>
      <c r="K288" s="47">
        <v>460.72</v>
      </c>
      <c r="L288" s="8" t="s">
        <v>26</v>
      </c>
      <c r="M288" s="8" t="s">
        <v>20</v>
      </c>
      <c r="N288" s="8" t="s">
        <v>58</v>
      </c>
      <c r="O288" s="91">
        <f>VLOOKUP(E288,Product_Master!$B$2:$F$11,5,FALSE)</f>
        <v>20</v>
      </c>
      <c r="P288" s="91">
        <f>PRODUCT(Table15[[#This Row],[Quantity]],Table15[[#This Row],[Unit_Cost]])</f>
        <v>980</v>
      </c>
      <c r="Q288" s="72">
        <f>(Table15[[#This Row],[Profit]]/Table15[[#This Row],[Total_Sales]])</f>
        <v>0.30868184437268015</v>
      </c>
      <c r="R288" s="22"/>
      <c r="S288" s="22"/>
      <c r="T288" s="22"/>
      <c r="U288" s="22"/>
    </row>
    <row r="289" spans="1:21" x14ac:dyDescent="0.25">
      <c r="A289" s="7" t="s">
        <v>438</v>
      </c>
      <c r="B289" s="16">
        <v>45564</v>
      </c>
      <c r="C289" s="8" t="s">
        <v>30</v>
      </c>
      <c r="D289" s="8" t="str">
        <f>PROPER(TRIM(Sales_Data!D289))</f>
        <v>China</v>
      </c>
      <c r="E289" s="8" t="s">
        <v>83</v>
      </c>
      <c r="F289" s="8" t="s">
        <v>52</v>
      </c>
      <c r="G289" s="91">
        <v>25</v>
      </c>
      <c r="H289" s="9">
        <v>35.21</v>
      </c>
      <c r="I289" s="87">
        <f>PRODUCT(Table15[[#This Row],[Quantity]],Table15[[#This Row],[Unit_Price]])</f>
        <v>880.25</v>
      </c>
      <c r="J289" s="9">
        <v>39.799999999999997</v>
      </c>
      <c r="K289" s="47">
        <v>140.44999999999999</v>
      </c>
      <c r="L289" s="8" t="s">
        <v>38</v>
      </c>
      <c r="M289" s="8" t="s">
        <v>27</v>
      </c>
      <c r="N289" s="8" t="s">
        <v>58</v>
      </c>
      <c r="O289" s="91">
        <f>VLOOKUP(E289,Product_Master!$B$2:$F$11,5,FALSE)</f>
        <v>28</v>
      </c>
      <c r="P289" s="91">
        <f>PRODUCT(Table15[[#This Row],[Quantity]],Table15[[#This Row],[Unit_Cost]])</f>
        <v>700</v>
      </c>
      <c r="Q289" s="72">
        <f>(Table15[[#This Row],[Profit]]/Table15[[#This Row],[Total_Sales]])</f>
        <v>0.1595569440499858</v>
      </c>
      <c r="R289" s="22"/>
      <c r="S289" s="22"/>
      <c r="T289" s="22"/>
      <c r="U289" s="22"/>
    </row>
    <row r="290" spans="1:21" x14ac:dyDescent="0.25">
      <c r="A290" s="7" t="s">
        <v>439</v>
      </c>
      <c r="B290" s="16">
        <v>45316</v>
      </c>
      <c r="C290" s="8" t="s">
        <v>221</v>
      </c>
      <c r="D290" s="8" t="str">
        <f>PROPER(TRIM(Sales_Data!D290))</f>
        <v>Usa</v>
      </c>
      <c r="E290" s="8" t="s">
        <v>83</v>
      </c>
      <c r="F290" s="8" t="s">
        <v>52</v>
      </c>
      <c r="G290" s="91">
        <v>37</v>
      </c>
      <c r="H290" s="9">
        <v>44.82</v>
      </c>
      <c r="I290" s="87">
        <f>PRODUCT(Table15[[#This Row],[Quantity]],Table15[[#This Row],[Unit_Price]])</f>
        <v>1658.34</v>
      </c>
      <c r="J290" s="9">
        <v>65.75</v>
      </c>
      <c r="K290" s="47">
        <v>556.59</v>
      </c>
      <c r="L290" s="8" t="s">
        <v>26</v>
      </c>
      <c r="M290" s="8" t="s">
        <v>27</v>
      </c>
      <c r="N290" s="8" t="s">
        <v>21</v>
      </c>
      <c r="O290" s="91">
        <f>VLOOKUP(E290,Product_Master!$B$2:$F$11,5,FALSE)</f>
        <v>28</v>
      </c>
      <c r="P290" s="91">
        <f>PRODUCT(Table15[[#This Row],[Quantity]],Table15[[#This Row],[Unit_Cost]])</f>
        <v>1036</v>
      </c>
      <c r="Q290" s="72">
        <f>(Table15[[#This Row],[Profit]]/Table15[[#This Row],[Total_Sales]])</f>
        <v>0.33563081153442603</v>
      </c>
      <c r="R290" s="22"/>
      <c r="S290" s="22"/>
      <c r="T290" s="22"/>
      <c r="U290" s="22"/>
    </row>
    <row r="291" spans="1:21" x14ac:dyDescent="0.25">
      <c r="A291" s="7" t="s">
        <v>440</v>
      </c>
      <c r="B291" s="16">
        <v>45459</v>
      </c>
      <c r="C291" s="8" t="s">
        <v>306</v>
      </c>
      <c r="D291" s="8" t="str">
        <f>PROPER(TRIM(Sales_Data!D291))</f>
        <v>Germany</v>
      </c>
      <c r="E291" s="8" t="s">
        <v>60</v>
      </c>
      <c r="F291" s="8" t="s">
        <v>52</v>
      </c>
      <c r="G291" s="91">
        <v>11</v>
      </c>
      <c r="H291" s="9">
        <v>18.75</v>
      </c>
      <c r="I291" s="87">
        <f>PRODUCT(Table15[[#This Row],[Quantity]],Table15[[#This Row],[Unit_Price]])</f>
        <v>206.25</v>
      </c>
      <c r="J291" s="9">
        <v>11.67</v>
      </c>
      <c r="K291" s="47">
        <v>24.08</v>
      </c>
      <c r="L291" s="8" t="s">
        <v>19</v>
      </c>
      <c r="M291" s="8" t="s">
        <v>20</v>
      </c>
      <c r="N291" s="8" t="s">
        <v>28</v>
      </c>
      <c r="O291" s="91">
        <f>VLOOKUP(E291,Product_Master!$B$2:$F$11,5,FALSE)</f>
        <v>15.5</v>
      </c>
      <c r="P291" s="91">
        <f>PRODUCT(Table15[[#This Row],[Quantity]],Table15[[#This Row],[Unit_Cost]])</f>
        <v>170.5</v>
      </c>
      <c r="Q291" s="72">
        <f>(Table15[[#This Row],[Profit]]/Table15[[#This Row],[Total_Sales]])</f>
        <v>0.11675151515151515</v>
      </c>
      <c r="R291" s="22"/>
      <c r="S291" s="22"/>
      <c r="T291" s="22"/>
      <c r="U291" s="22"/>
    </row>
    <row r="292" spans="1:21" x14ac:dyDescent="0.25">
      <c r="A292" s="7" t="s">
        <v>441</v>
      </c>
      <c r="B292" s="16">
        <v>45335</v>
      </c>
      <c r="C292" s="8" t="s">
        <v>221</v>
      </c>
      <c r="D292" s="8" t="str">
        <f>PROPER(TRIM(Sales_Data!D292))</f>
        <v>Brazil</v>
      </c>
      <c r="E292" s="8" t="s">
        <v>48</v>
      </c>
      <c r="F292" s="8" t="s">
        <v>37</v>
      </c>
      <c r="G292" s="91">
        <v>37</v>
      </c>
      <c r="H292" s="9">
        <v>31.66</v>
      </c>
      <c r="I292" s="87">
        <f>PRODUCT(Table15[[#This Row],[Quantity]],Table15[[#This Row],[Unit_Price]])</f>
        <v>1171.42</v>
      </c>
      <c r="J292" s="9">
        <v>58.95</v>
      </c>
      <c r="K292" s="47">
        <v>372.47</v>
      </c>
      <c r="L292" s="8" t="s">
        <v>38</v>
      </c>
      <c r="M292" s="8" t="s">
        <v>20</v>
      </c>
      <c r="N292" s="8" t="s">
        <v>39</v>
      </c>
      <c r="O292" s="91">
        <f>VLOOKUP(E292,Product_Master!$B$2:$F$11,5,FALSE)</f>
        <v>20</v>
      </c>
      <c r="P292" s="91">
        <f>PRODUCT(Table15[[#This Row],[Quantity]],Table15[[#This Row],[Unit_Cost]])</f>
        <v>740</v>
      </c>
      <c r="Q292" s="72">
        <f>(Table15[[#This Row],[Profit]]/Table15[[#This Row],[Total_Sales]])</f>
        <v>0.31796452169162215</v>
      </c>
      <c r="R292" s="22"/>
      <c r="S292" s="22"/>
      <c r="T292" s="22"/>
      <c r="U292" s="22"/>
    </row>
    <row r="293" spans="1:21" x14ac:dyDescent="0.25">
      <c r="A293" s="7" t="s">
        <v>442</v>
      </c>
      <c r="B293" s="16">
        <v>45494</v>
      </c>
      <c r="C293" s="8" t="s">
        <v>300</v>
      </c>
      <c r="D293" s="8" t="str">
        <f>PROPER(TRIM(Sales_Data!D293))</f>
        <v>Uk</v>
      </c>
      <c r="E293" s="8" t="s">
        <v>48</v>
      </c>
      <c r="F293" s="8" t="s">
        <v>37</v>
      </c>
      <c r="G293" s="91">
        <v>17</v>
      </c>
      <c r="H293" s="9">
        <v>32.74</v>
      </c>
      <c r="I293" s="87">
        <f>PRODUCT(Table15[[#This Row],[Quantity]],Table15[[#This Row],[Unit_Price]])</f>
        <v>556.58000000000004</v>
      </c>
      <c r="J293" s="9">
        <v>14.68</v>
      </c>
      <c r="K293" s="47">
        <v>201.9</v>
      </c>
      <c r="L293" s="8" t="s">
        <v>26</v>
      </c>
      <c r="M293" s="8" t="s">
        <v>27</v>
      </c>
      <c r="N293" s="8" t="s">
        <v>28</v>
      </c>
      <c r="O293" s="91">
        <f>VLOOKUP(E293,Product_Master!$B$2:$F$11,5,FALSE)</f>
        <v>20</v>
      </c>
      <c r="P293" s="91">
        <f>PRODUCT(Table15[[#This Row],[Quantity]],Table15[[#This Row],[Unit_Cost]])</f>
        <v>340</v>
      </c>
      <c r="Q293" s="72">
        <f>(Table15[[#This Row],[Profit]]/Table15[[#This Row],[Total_Sales]])</f>
        <v>0.36275108699558012</v>
      </c>
      <c r="R293" s="22"/>
      <c r="S293" s="22"/>
      <c r="T293" s="22"/>
      <c r="U293" s="22"/>
    </row>
    <row r="294" spans="1:21" x14ac:dyDescent="0.25">
      <c r="A294" s="7" t="s">
        <v>443</v>
      </c>
      <c r="B294" s="16">
        <v>45401</v>
      </c>
      <c r="C294" s="8" t="s">
        <v>67</v>
      </c>
      <c r="D294" s="8" t="str">
        <f>PROPER(TRIM(Sales_Data!D294))</f>
        <v>Usa</v>
      </c>
      <c r="E294" s="8" t="s">
        <v>83</v>
      </c>
      <c r="F294" s="8" t="s">
        <v>52</v>
      </c>
      <c r="G294" s="91">
        <v>7</v>
      </c>
      <c r="H294" s="9">
        <v>46.64</v>
      </c>
      <c r="I294" s="87">
        <f>PRODUCT(Table15[[#This Row],[Quantity]],Table15[[#This Row],[Unit_Price]])</f>
        <v>326.48</v>
      </c>
      <c r="J294" s="9">
        <v>25.19</v>
      </c>
      <c r="K294" s="47">
        <v>105.29</v>
      </c>
      <c r="L294" s="8" t="s">
        <v>26</v>
      </c>
      <c r="M294" s="8" t="s">
        <v>32</v>
      </c>
      <c r="N294" s="8" t="s">
        <v>21</v>
      </c>
      <c r="O294" s="91">
        <f>VLOOKUP(E294,Product_Master!$B$2:$F$11,5,FALSE)</f>
        <v>28</v>
      </c>
      <c r="P294" s="91">
        <f>PRODUCT(Table15[[#This Row],[Quantity]],Table15[[#This Row],[Unit_Cost]])</f>
        <v>196</v>
      </c>
      <c r="Q294" s="72">
        <f>(Table15[[#This Row],[Profit]]/Table15[[#This Row],[Total_Sales]])</f>
        <v>0.32250061259495222</v>
      </c>
      <c r="R294" s="22"/>
      <c r="S294" s="22"/>
      <c r="T294" s="22"/>
      <c r="U294" s="22"/>
    </row>
    <row r="295" spans="1:21" x14ac:dyDescent="0.25">
      <c r="A295" s="7" t="s">
        <v>444</v>
      </c>
      <c r="B295" s="16">
        <v>45698</v>
      </c>
      <c r="C295" s="8" t="s">
        <v>135</v>
      </c>
      <c r="D295" s="8" t="str">
        <f>PROPER(TRIM(Sales_Data!D295))</f>
        <v>Uae</v>
      </c>
      <c r="E295" s="8" t="s">
        <v>25</v>
      </c>
      <c r="F295" s="8" t="s">
        <v>18</v>
      </c>
      <c r="G295" s="91">
        <v>16</v>
      </c>
      <c r="H295" s="9">
        <v>24.77</v>
      </c>
      <c r="I295" s="87">
        <f>PRODUCT(Table15[[#This Row],[Quantity]],Table15[[#This Row],[Unit_Price]])</f>
        <v>396.32</v>
      </c>
      <c r="J295" s="9">
        <v>15.6</v>
      </c>
      <c r="K295" s="47">
        <v>92.72</v>
      </c>
      <c r="L295" s="8" t="s">
        <v>19</v>
      </c>
      <c r="M295" s="8" t="s">
        <v>32</v>
      </c>
      <c r="N295" s="8" t="s">
        <v>58</v>
      </c>
      <c r="O295" s="91">
        <f>VLOOKUP(E295,Product_Master!$B$2:$F$11,5,FALSE)</f>
        <v>18</v>
      </c>
      <c r="P295" s="91">
        <f>PRODUCT(Table15[[#This Row],[Quantity]],Table15[[#This Row],[Unit_Cost]])</f>
        <v>288</v>
      </c>
      <c r="Q295" s="72">
        <f>(Table15[[#This Row],[Profit]]/Table15[[#This Row],[Total_Sales]])</f>
        <v>0.23395236172789666</v>
      </c>
      <c r="R295" s="22"/>
      <c r="S295" s="22"/>
      <c r="T295" s="22"/>
      <c r="U295" s="22"/>
    </row>
    <row r="296" spans="1:21" x14ac:dyDescent="0.25">
      <c r="A296" s="7" t="s">
        <v>445</v>
      </c>
      <c r="B296" s="16">
        <v>45763</v>
      </c>
      <c r="C296" s="8" t="s">
        <v>62</v>
      </c>
      <c r="D296" s="8" t="str">
        <f>PROPER(TRIM(Sales_Data!D296))</f>
        <v>Mexico</v>
      </c>
      <c r="E296" s="8" t="s">
        <v>43</v>
      </c>
      <c r="F296" s="8" t="s">
        <v>44</v>
      </c>
      <c r="G296" s="91">
        <v>39</v>
      </c>
      <c r="H296" s="9">
        <v>56.5</v>
      </c>
      <c r="I296" s="87">
        <f>PRODUCT(Table15[[#This Row],[Quantity]],Table15[[#This Row],[Unit_Price]])</f>
        <v>2203.5</v>
      </c>
      <c r="J296" s="9">
        <v>141.58000000000001</v>
      </c>
      <c r="K296" s="47">
        <v>501.92</v>
      </c>
      <c r="L296" s="8" t="s">
        <v>38</v>
      </c>
      <c r="M296" s="8" t="s">
        <v>20</v>
      </c>
      <c r="N296" s="8" t="s">
        <v>21</v>
      </c>
      <c r="O296" s="91">
        <f>VLOOKUP(E296,Product_Master!$B$2:$F$11,5,FALSE)</f>
        <v>40</v>
      </c>
      <c r="P296" s="91">
        <f>PRODUCT(Table15[[#This Row],[Quantity]],Table15[[#This Row],[Unit_Cost]])</f>
        <v>1560</v>
      </c>
      <c r="Q296" s="72">
        <f>(Table15[[#This Row],[Profit]]/Table15[[#This Row],[Total_Sales]])</f>
        <v>0.2277830723848423</v>
      </c>
      <c r="R296" s="22"/>
      <c r="S296" s="22"/>
      <c r="T296" s="22"/>
      <c r="U296" s="22"/>
    </row>
    <row r="297" spans="1:21" x14ac:dyDescent="0.25">
      <c r="A297" s="7" t="s">
        <v>446</v>
      </c>
      <c r="B297" s="16">
        <v>45562</v>
      </c>
      <c r="C297" s="8" t="s">
        <v>364</v>
      </c>
      <c r="D297" s="8" t="str">
        <f>PROPER(TRIM(Sales_Data!D297))</f>
        <v>India</v>
      </c>
      <c r="E297" s="8" t="s">
        <v>60</v>
      </c>
      <c r="F297" s="8" t="s">
        <v>52</v>
      </c>
      <c r="G297" s="91">
        <v>1</v>
      </c>
      <c r="H297" s="9">
        <v>24.01</v>
      </c>
      <c r="I297" s="87">
        <f>PRODUCT(Table15[[#This Row],[Quantity]],Table15[[#This Row],[Unit_Price]])</f>
        <v>24.01</v>
      </c>
      <c r="J297" s="9">
        <v>1.58</v>
      </c>
      <c r="K297" s="47">
        <v>6.93</v>
      </c>
      <c r="L297" s="8" t="s">
        <v>19</v>
      </c>
      <c r="M297" s="8" t="s">
        <v>20</v>
      </c>
      <c r="N297" s="8" t="s">
        <v>58</v>
      </c>
      <c r="O297" s="91">
        <f>VLOOKUP(E297,Product_Master!$B$2:$F$11,5,FALSE)</f>
        <v>15.5</v>
      </c>
      <c r="P297" s="91">
        <f>PRODUCT(Table15[[#This Row],[Quantity]],Table15[[#This Row],[Unit_Cost]])</f>
        <v>15.5</v>
      </c>
      <c r="Q297" s="72">
        <f>(Table15[[#This Row],[Profit]]/Table15[[#This Row],[Total_Sales]])</f>
        <v>0.28862973760932942</v>
      </c>
      <c r="R297" s="22"/>
      <c r="S297" s="22"/>
      <c r="T297" s="22"/>
      <c r="U297" s="22"/>
    </row>
    <row r="298" spans="1:21" x14ac:dyDescent="0.25">
      <c r="A298" s="7" t="s">
        <v>447</v>
      </c>
      <c r="B298" s="16">
        <v>45638</v>
      </c>
      <c r="C298" s="8" t="s">
        <v>100</v>
      </c>
      <c r="D298" s="8" t="str">
        <f>PROPER(TRIM(Sales_Data!D298))</f>
        <v>India</v>
      </c>
      <c r="E298" s="8" t="s">
        <v>56</v>
      </c>
      <c r="F298" s="8" t="s">
        <v>57</v>
      </c>
      <c r="G298" s="91">
        <v>45</v>
      </c>
      <c r="H298" s="9">
        <v>35.99</v>
      </c>
      <c r="I298" s="87">
        <f>PRODUCT(Table15[[#This Row],[Quantity]],Table15[[#This Row],[Unit_Price]])</f>
        <v>1619.5500000000002</v>
      </c>
      <c r="J298" s="9">
        <v>49.95</v>
      </c>
      <c r="K298" s="47">
        <v>444.6</v>
      </c>
      <c r="L298" s="8" t="s">
        <v>19</v>
      </c>
      <c r="M298" s="8" t="s">
        <v>27</v>
      </c>
      <c r="N298" s="8" t="s">
        <v>58</v>
      </c>
      <c r="O298" s="91">
        <f>VLOOKUP(E298,Product_Master!$B$2:$F$11,5,FALSE)</f>
        <v>25</v>
      </c>
      <c r="P298" s="91">
        <f>PRODUCT(Table15[[#This Row],[Quantity]],Table15[[#This Row],[Unit_Cost]])</f>
        <v>1125</v>
      </c>
      <c r="Q298" s="72">
        <f>(Table15[[#This Row],[Profit]]/Table15[[#This Row],[Total_Sales]])</f>
        <v>0.27452070019449848</v>
      </c>
      <c r="R298" s="22"/>
      <c r="S298" s="22"/>
      <c r="T298" s="22"/>
      <c r="U298" s="22"/>
    </row>
    <row r="299" spans="1:21" x14ac:dyDescent="0.25">
      <c r="A299" s="7" t="s">
        <v>448</v>
      </c>
      <c r="B299" s="16">
        <v>45716</v>
      </c>
      <c r="C299" s="8" t="s">
        <v>166</v>
      </c>
      <c r="D299" s="8" t="str">
        <f>PROPER(TRIM(Sales_Data!D299))</f>
        <v>Singapore</v>
      </c>
      <c r="E299" s="8" t="s">
        <v>48</v>
      </c>
      <c r="F299" s="8" t="s">
        <v>37</v>
      </c>
      <c r="G299" s="91">
        <v>5</v>
      </c>
      <c r="H299" s="9">
        <v>25.45</v>
      </c>
      <c r="I299" s="87">
        <f>PRODUCT(Table15[[#This Row],[Quantity]],Table15[[#This Row],[Unit_Price]])</f>
        <v>127.25</v>
      </c>
      <c r="J299" s="9">
        <v>7.22</v>
      </c>
      <c r="K299" s="47">
        <v>20.03</v>
      </c>
      <c r="L299" s="8" t="s">
        <v>38</v>
      </c>
      <c r="M299" s="8" t="s">
        <v>32</v>
      </c>
      <c r="N299" s="8" t="s">
        <v>58</v>
      </c>
      <c r="O299" s="91">
        <f>VLOOKUP(E299,Product_Master!$B$2:$F$11,5,FALSE)</f>
        <v>20</v>
      </c>
      <c r="P299" s="91">
        <f>PRODUCT(Table15[[#This Row],[Quantity]],Table15[[#This Row],[Unit_Cost]])</f>
        <v>100</v>
      </c>
      <c r="Q299" s="72">
        <f>(Table15[[#This Row],[Profit]]/Table15[[#This Row],[Total_Sales]])</f>
        <v>0.15740667976424363</v>
      </c>
      <c r="R299" s="22"/>
      <c r="S299" s="22"/>
      <c r="T299" s="22"/>
      <c r="U299" s="22"/>
    </row>
    <row r="300" spans="1:21" x14ac:dyDescent="0.25">
      <c r="A300" s="7" t="s">
        <v>449</v>
      </c>
      <c r="B300" s="16">
        <v>45682</v>
      </c>
      <c r="C300" s="8" t="s">
        <v>100</v>
      </c>
      <c r="D300" s="8" t="str">
        <f>PROPER(TRIM(Sales_Data!D300))</f>
        <v>Japan</v>
      </c>
      <c r="E300" s="8" t="s">
        <v>60</v>
      </c>
      <c r="F300" s="8" t="s">
        <v>52</v>
      </c>
      <c r="G300" s="91">
        <v>24</v>
      </c>
      <c r="H300" s="9">
        <v>19.53</v>
      </c>
      <c r="I300" s="87">
        <f>PRODUCT(Table15[[#This Row],[Quantity]],Table15[[#This Row],[Unit_Price]])</f>
        <v>468.72</v>
      </c>
      <c r="J300" s="9">
        <v>14.12</v>
      </c>
      <c r="K300" s="47">
        <v>82.6</v>
      </c>
      <c r="L300" s="8" t="s">
        <v>19</v>
      </c>
      <c r="M300" s="8" t="s">
        <v>20</v>
      </c>
      <c r="N300" s="8" t="s">
        <v>58</v>
      </c>
      <c r="O300" s="91">
        <f>VLOOKUP(E300,Product_Master!$B$2:$F$11,5,FALSE)</f>
        <v>15.5</v>
      </c>
      <c r="P300" s="91">
        <f>PRODUCT(Table15[[#This Row],[Quantity]],Table15[[#This Row],[Unit_Cost]])</f>
        <v>372</v>
      </c>
      <c r="Q300" s="72">
        <f>(Table15[[#This Row],[Profit]]/Table15[[#This Row],[Total_Sales]])</f>
        <v>0.17622461170848266</v>
      </c>
      <c r="R300" s="22"/>
      <c r="S300" s="22"/>
      <c r="T300" s="22"/>
      <c r="U300" s="22"/>
    </row>
    <row r="301" spans="1:21" x14ac:dyDescent="0.25">
      <c r="A301" s="7" t="s">
        <v>450</v>
      </c>
      <c r="B301" s="16">
        <v>45687</v>
      </c>
      <c r="C301" s="8" t="s">
        <v>23</v>
      </c>
      <c r="D301" s="8" t="str">
        <f>PROPER(TRIM(Sales_Data!D301))</f>
        <v>Canada</v>
      </c>
      <c r="E301" s="8" t="s">
        <v>63</v>
      </c>
      <c r="F301" s="8" t="s">
        <v>37</v>
      </c>
      <c r="G301" s="91">
        <v>28</v>
      </c>
      <c r="H301" s="9">
        <v>22.33</v>
      </c>
      <c r="I301" s="87">
        <f>PRODUCT(Table15[[#This Row],[Quantity]],Table15[[#This Row],[Unit_Price]])</f>
        <v>625.24</v>
      </c>
      <c r="J301" s="9">
        <v>44.24</v>
      </c>
      <c r="K301" s="47">
        <v>224</v>
      </c>
      <c r="L301" s="8" t="s">
        <v>19</v>
      </c>
      <c r="M301" s="8" t="s">
        <v>20</v>
      </c>
      <c r="N301" s="8" t="s">
        <v>21</v>
      </c>
      <c r="O301" s="91">
        <f>VLOOKUP(E301,Product_Master!$B$2:$F$11,5,FALSE)</f>
        <v>12.75</v>
      </c>
      <c r="P301" s="91">
        <f>PRODUCT(Table15[[#This Row],[Quantity]],Table15[[#This Row],[Unit_Cost]])</f>
        <v>357</v>
      </c>
      <c r="Q301" s="72">
        <f>(Table15[[#This Row],[Profit]]/Table15[[#This Row],[Total_Sales]])</f>
        <v>0.35826242722794449</v>
      </c>
      <c r="R301" s="22"/>
      <c r="S301" s="22"/>
      <c r="T301" s="22"/>
      <c r="U301" s="22"/>
    </row>
    <row r="302" spans="1:21" x14ac:dyDescent="0.25">
      <c r="A302" s="7" t="s">
        <v>451</v>
      </c>
      <c r="B302" s="16">
        <v>45612</v>
      </c>
      <c r="C302" s="8" t="s">
        <v>91</v>
      </c>
      <c r="D302" s="8" t="str">
        <f>PROPER(TRIM(Sales_Data!D302))</f>
        <v>Italy</v>
      </c>
      <c r="E302" s="8" t="s">
        <v>36</v>
      </c>
      <c r="F302" s="8" t="s">
        <v>37</v>
      </c>
      <c r="G302" s="91">
        <v>49</v>
      </c>
      <c r="H302" s="9">
        <v>39.31</v>
      </c>
      <c r="I302" s="87">
        <f>PRODUCT(Table15[[#This Row],[Quantity]],Table15[[#This Row],[Unit_Price]])</f>
        <v>1926.19</v>
      </c>
      <c r="J302" s="9">
        <v>69.7</v>
      </c>
      <c r="K302" s="47">
        <v>288.49</v>
      </c>
      <c r="L302" s="8" t="s">
        <v>26</v>
      </c>
      <c r="M302" s="8" t="s">
        <v>20</v>
      </c>
      <c r="N302" s="8" t="s">
        <v>28</v>
      </c>
      <c r="O302" s="91">
        <f>VLOOKUP(E302,Product_Master!$B$2:$F$11,5,FALSE)</f>
        <v>32</v>
      </c>
      <c r="P302" s="91">
        <f>PRODUCT(Table15[[#This Row],[Quantity]],Table15[[#This Row],[Unit_Cost]])</f>
        <v>1568</v>
      </c>
      <c r="Q302" s="72">
        <f>(Table15[[#This Row],[Profit]]/Table15[[#This Row],[Total_Sales]])</f>
        <v>0.14977234852221225</v>
      </c>
      <c r="R302" s="22"/>
      <c r="S302" s="22"/>
      <c r="T302" s="22"/>
      <c r="U302" s="22"/>
    </row>
    <row r="303" spans="1:21" x14ac:dyDescent="0.25">
      <c r="A303" s="7" t="s">
        <v>452</v>
      </c>
      <c r="B303" s="16">
        <v>45485</v>
      </c>
      <c r="C303" s="8" t="s">
        <v>183</v>
      </c>
      <c r="D303" s="8" t="str">
        <f>PROPER(TRIM(Sales_Data!D303))</f>
        <v>India</v>
      </c>
      <c r="E303" s="8" t="s">
        <v>60</v>
      </c>
      <c r="F303" s="8" t="s">
        <v>52</v>
      </c>
      <c r="G303" s="91">
        <v>6</v>
      </c>
      <c r="H303" s="9">
        <v>22.95</v>
      </c>
      <c r="I303" s="87">
        <f>PRODUCT(Table15[[#This Row],[Quantity]],Table15[[#This Row],[Unit_Price]])</f>
        <v>137.69999999999999</v>
      </c>
      <c r="J303" s="9">
        <v>5.63</v>
      </c>
      <c r="K303" s="47">
        <v>39.07</v>
      </c>
      <c r="L303" s="8" t="s">
        <v>26</v>
      </c>
      <c r="M303" s="8" t="s">
        <v>27</v>
      </c>
      <c r="N303" s="8" t="s">
        <v>58</v>
      </c>
      <c r="O303" s="91">
        <f>VLOOKUP(E303,Product_Master!$B$2:$F$11,5,FALSE)</f>
        <v>15.5</v>
      </c>
      <c r="P303" s="91">
        <f>PRODUCT(Table15[[#This Row],[Quantity]],Table15[[#This Row],[Unit_Cost]])</f>
        <v>93</v>
      </c>
      <c r="Q303" s="72">
        <f>(Table15[[#This Row],[Profit]]/Table15[[#This Row],[Total_Sales]])</f>
        <v>0.28373275236020334</v>
      </c>
      <c r="R303" s="22"/>
      <c r="S303" s="22"/>
      <c r="T303" s="22"/>
      <c r="U303" s="22"/>
    </row>
    <row r="304" spans="1:21" x14ac:dyDescent="0.25">
      <c r="A304" s="7" t="s">
        <v>453</v>
      </c>
      <c r="B304" s="16">
        <v>45457</v>
      </c>
      <c r="C304" s="8" t="s">
        <v>154</v>
      </c>
      <c r="D304" s="8" t="str">
        <f>PROPER(TRIM(Sales_Data!D304))</f>
        <v>Mexico</v>
      </c>
      <c r="E304" s="8" t="s">
        <v>48</v>
      </c>
      <c r="F304" s="8" t="s">
        <v>37</v>
      </c>
      <c r="G304" s="91">
        <v>35</v>
      </c>
      <c r="H304" s="9">
        <v>27.72</v>
      </c>
      <c r="I304" s="87">
        <f>PRODUCT(Table15[[#This Row],[Quantity]],Table15[[#This Row],[Unit_Price]])</f>
        <v>970.19999999999993</v>
      </c>
      <c r="J304" s="9">
        <v>61.74</v>
      </c>
      <c r="K304" s="47">
        <v>208.46</v>
      </c>
      <c r="L304" s="8" t="s">
        <v>19</v>
      </c>
      <c r="M304" s="8" t="s">
        <v>32</v>
      </c>
      <c r="N304" s="8" t="s">
        <v>21</v>
      </c>
      <c r="O304" s="91">
        <f>VLOOKUP(E304,Product_Master!$B$2:$F$11,5,FALSE)</f>
        <v>20</v>
      </c>
      <c r="P304" s="91">
        <f>PRODUCT(Table15[[#This Row],[Quantity]],Table15[[#This Row],[Unit_Cost]])</f>
        <v>700</v>
      </c>
      <c r="Q304" s="72">
        <f>(Table15[[#This Row],[Profit]]/Table15[[#This Row],[Total_Sales]])</f>
        <v>0.21486291486291489</v>
      </c>
      <c r="R304" s="22"/>
      <c r="S304" s="22"/>
      <c r="T304" s="22"/>
      <c r="U304" s="22"/>
    </row>
    <row r="305" spans="1:21" x14ac:dyDescent="0.25">
      <c r="A305" s="7" t="s">
        <v>454</v>
      </c>
      <c r="B305" s="16">
        <v>45579</v>
      </c>
      <c r="C305" s="8" t="s">
        <v>145</v>
      </c>
      <c r="D305" s="8" t="str">
        <f>PROPER(TRIM(Sales_Data!D305))</f>
        <v>China</v>
      </c>
      <c r="E305" s="8" t="s">
        <v>43</v>
      </c>
      <c r="F305" s="8" t="s">
        <v>44</v>
      </c>
      <c r="G305" s="91">
        <v>34</v>
      </c>
      <c r="H305" s="9">
        <v>64.75</v>
      </c>
      <c r="I305" s="87">
        <f>PRODUCT(Table15[[#This Row],[Quantity]],Table15[[#This Row],[Unit_Price]])</f>
        <v>2201.5</v>
      </c>
      <c r="J305" s="9">
        <v>68.05</v>
      </c>
      <c r="K305" s="47">
        <v>773.45</v>
      </c>
      <c r="L305" s="8" t="s">
        <v>38</v>
      </c>
      <c r="M305" s="8" t="s">
        <v>32</v>
      </c>
      <c r="N305" s="8" t="s">
        <v>58</v>
      </c>
      <c r="O305" s="91">
        <f>VLOOKUP(E305,Product_Master!$B$2:$F$11,5,FALSE)</f>
        <v>40</v>
      </c>
      <c r="P305" s="91">
        <f>PRODUCT(Table15[[#This Row],[Quantity]],Table15[[#This Row],[Unit_Cost]])</f>
        <v>1360</v>
      </c>
      <c r="Q305" s="72">
        <f>(Table15[[#This Row],[Profit]]/Table15[[#This Row],[Total_Sales]])</f>
        <v>0.35132863956393368</v>
      </c>
      <c r="R305" s="22"/>
      <c r="S305" s="22"/>
      <c r="T305" s="22"/>
      <c r="U305" s="22"/>
    </row>
    <row r="306" spans="1:21" x14ac:dyDescent="0.25">
      <c r="A306" s="7" t="s">
        <v>455</v>
      </c>
      <c r="B306" s="16">
        <v>45768</v>
      </c>
      <c r="C306" s="8" t="s">
        <v>119</v>
      </c>
      <c r="D306" s="8" t="str">
        <f>PROPER(TRIM(Sales_Data!D306))</f>
        <v>Australia</v>
      </c>
      <c r="E306" s="8" t="s">
        <v>48</v>
      </c>
      <c r="F306" s="8" t="s">
        <v>37</v>
      </c>
      <c r="G306" s="91">
        <v>49</v>
      </c>
      <c r="H306" s="9">
        <v>26.02</v>
      </c>
      <c r="I306" s="87">
        <f>PRODUCT(Table15[[#This Row],[Quantity]],Table15[[#This Row],[Unit_Price]])</f>
        <v>1274.98</v>
      </c>
      <c r="J306" s="9">
        <v>61.84</v>
      </c>
      <c r="K306" s="47">
        <v>233.14</v>
      </c>
      <c r="L306" s="8" t="s">
        <v>38</v>
      </c>
      <c r="M306" s="8" t="s">
        <v>27</v>
      </c>
      <c r="N306" s="8" t="s">
        <v>130</v>
      </c>
      <c r="O306" s="91">
        <f>VLOOKUP(E306,Product_Master!$B$2:$F$11,5,FALSE)</f>
        <v>20</v>
      </c>
      <c r="P306" s="91">
        <f>PRODUCT(Table15[[#This Row],[Quantity]],Table15[[#This Row],[Unit_Cost]])</f>
        <v>980</v>
      </c>
      <c r="Q306" s="72">
        <f>(Table15[[#This Row],[Profit]]/Table15[[#This Row],[Total_Sales]])</f>
        <v>0.18285777031796577</v>
      </c>
      <c r="R306" s="22"/>
      <c r="S306" s="22"/>
      <c r="T306" s="22"/>
      <c r="U306" s="22"/>
    </row>
    <row r="307" spans="1:21" x14ac:dyDescent="0.25">
      <c r="A307" s="7" t="s">
        <v>456</v>
      </c>
      <c r="B307" s="16">
        <v>45647</v>
      </c>
      <c r="C307" s="8" t="s">
        <v>246</v>
      </c>
      <c r="D307" s="8" t="str">
        <f>PROPER(TRIM(Sales_Data!D307))</f>
        <v>Brazil</v>
      </c>
      <c r="E307" s="8" t="s">
        <v>56</v>
      </c>
      <c r="F307" s="8" t="s">
        <v>57</v>
      </c>
      <c r="G307" s="91">
        <v>1</v>
      </c>
      <c r="H307" s="9">
        <v>32.979999999999997</v>
      </c>
      <c r="I307" s="87">
        <f>PRODUCT(Table15[[#This Row],[Quantity]],Table15[[#This Row],[Unit_Price]])</f>
        <v>32.979999999999997</v>
      </c>
      <c r="J307" s="9">
        <v>1.89</v>
      </c>
      <c r="K307" s="47">
        <v>6.09</v>
      </c>
      <c r="L307" s="8" t="s">
        <v>38</v>
      </c>
      <c r="M307" s="8" t="s">
        <v>27</v>
      </c>
      <c r="N307" s="8" t="s">
        <v>39</v>
      </c>
      <c r="O307" s="91">
        <f>VLOOKUP(E307,Product_Master!$B$2:$F$11,5,FALSE)</f>
        <v>25</v>
      </c>
      <c r="P307" s="91">
        <f>PRODUCT(Table15[[#This Row],[Quantity]],Table15[[#This Row],[Unit_Cost]])</f>
        <v>25</v>
      </c>
      <c r="Q307" s="72">
        <f>(Table15[[#This Row],[Profit]]/Table15[[#This Row],[Total_Sales]])</f>
        <v>0.18465736810187994</v>
      </c>
      <c r="R307" s="22"/>
      <c r="S307" s="22"/>
      <c r="T307" s="22"/>
      <c r="U307" s="22"/>
    </row>
    <row r="308" spans="1:21" x14ac:dyDescent="0.25">
      <c r="A308" s="7" t="s">
        <v>457</v>
      </c>
      <c r="B308" s="16">
        <v>45598</v>
      </c>
      <c r="C308" s="8" t="s">
        <v>315</v>
      </c>
      <c r="D308" s="8" t="str">
        <f>PROPER(TRIM(Sales_Data!D308))</f>
        <v>Brazil</v>
      </c>
      <c r="E308" s="8" t="s">
        <v>63</v>
      </c>
      <c r="F308" s="8" t="s">
        <v>37</v>
      </c>
      <c r="G308" s="91">
        <v>18</v>
      </c>
      <c r="H308" s="9">
        <v>20.09</v>
      </c>
      <c r="I308" s="87">
        <f>PRODUCT(Table15[[#This Row],[Quantity]],Table15[[#This Row],[Unit_Price]])</f>
        <v>361.62</v>
      </c>
      <c r="J308" s="9">
        <v>8.3800000000000008</v>
      </c>
      <c r="K308" s="47">
        <v>123.74</v>
      </c>
      <c r="L308" s="8" t="s">
        <v>19</v>
      </c>
      <c r="M308" s="8" t="s">
        <v>20</v>
      </c>
      <c r="N308" s="8" t="s">
        <v>39</v>
      </c>
      <c r="O308" s="91">
        <f>VLOOKUP(E308,Product_Master!$B$2:$F$11,5,FALSE)</f>
        <v>12.75</v>
      </c>
      <c r="P308" s="91">
        <f>PRODUCT(Table15[[#This Row],[Quantity]],Table15[[#This Row],[Unit_Cost]])</f>
        <v>229.5</v>
      </c>
      <c r="Q308" s="72">
        <f>(Table15[[#This Row],[Profit]]/Table15[[#This Row],[Total_Sales]])</f>
        <v>0.34218240141585088</v>
      </c>
      <c r="R308" s="22"/>
      <c r="S308" s="22"/>
      <c r="T308" s="22"/>
      <c r="U308" s="22"/>
    </row>
    <row r="309" spans="1:21" x14ac:dyDescent="0.25">
      <c r="A309" s="7" t="s">
        <v>458</v>
      </c>
      <c r="B309" s="16">
        <v>45447</v>
      </c>
      <c r="C309" s="8" t="s">
        <v>166</v>
      </c>
      <c r="D309" s="8" t="str">
        <f>PROPER(TRIM(Sales_Data!D309))</f>
        <v>India</v>
      </c>
      <c r="E309" s="8" t="s">
        <v>17</v>
      </c>
      <c r="F309" s="8" t="s">
        <v>18</v>
      </c>
      <c r="G309" s="91">
        <v>39</v>
      </c>
      <c r="H309" s="9">
        <v>49.59</v>
      </c>
      <c r="I309" s="87">
        <f>PRODUCT(Table15[[#This Row],[Quantity]],Table15[[#This Row],[Unit_Price]])</f>
        <v>1934.0100000000002</v>
      </c>
      <c r="J309" s="9">
        <v>62.79</v>
      </c>
      <c r="K309" s="47">
        <v>506.22</v>
      </c>
      <c r="L309" s="8" t="s">
        <v>26</v>
      </c>
      <c r="M309" s="8" t="s">
        <v>27</v>
      </c>
      <c r="N309" s="8" t="s">
        <v>58</v>
      </c>
      <c r="O309" s="91">
        <f>VLOOKUP(E309,Product_Master!$B$2:$F$11,5,FALSE)</f>
        <v>35</v>
      </c>
      <c r="P309" s="91">
        <f>PRODUCT(Table15[[#This Row],[Quantity]],Table15[[#This Row],[Unit_Cost]])</f>
        <v>1365</v>
      </c>
      <c r="Q309" s="72">
        <f>(Table15[[#This Row],[Profit]]/Table15[[#This Row],[Total_Sales]])</f>
        <v>0.26174631982254487</v>
      </c>
      <c r="R309" s="22"/>
      <c r="S309" s="22"/>
      <c r="T309" s="22"/>
      <c r="U309" s="22"/>
    </row>
    <row r="310" spans="1:21" x14ac:dyDescent="0.25">
      <c r="A310" s="7" t="s">
        <v>459</v>
      </c>
      <c r="B310" s="16">
        <v>45764</v>
      </c>
      <c r="C310" s="8" t="s">
        <v>291</v>
      </c>
      <c r="D310" s="8" t="str">
        <f>PROPER(TRIM(Sales_Data!D310))</f>
        <v>Canada</v>
      </c>
      <c r="E310" s="8" t="s">
        <v>36</v>
      </c>
      <c r="F310" s="8" t="s">
        <v>37</v>
      </c>
      <c r="G310" s="91">
        <v>6</v>
      </c>
      <c r="H310" s="9">
        <v>41.99</v>
      </c>
      <c r="I310" s="87">
        <f>PRODUCT(Table15[[#This Row],[Quantity]],Table15[[#This Row],[Unit_Price]])</f>
        <v>251.94</v>
      </c>
      <c r="J310" s="9">
        <v>10.76</v>
      </c>
      <c r="K310" s="47">
        <v>49.18</v>
      </c>
      <c r="L310" s="8" t="s">
        <v>19</v>
      </c>
      <c r="M310" s="8" t="s">
        <v>20</v>
      </c>
      <c r="N310" s="8" t="s">
        <v>21</v>
      </c>
      <c r="O310" s="91">
        <f>VLOOKUP(E310,Product_Master!$B$2:$F$11,5,FALSE)</f>
        <v>32</v>
      </c>
      <c r="P310" s="91">
        <f>PRODUCT(Table15[[#This Row],[Quantity]],Table15[[#This Row],[Unit_Cost]])</f>
        <v>192</v>
      </c>
      <c r="Q310" s="72">
        <f>(Table15[[#This Row],[Profit]]/Table15[[#This Row],[Total_Sales]])</f>
        <v>0.19520520758910853</v>
      </c>
      <c r="R310" s="22"/>
      <c r="S310" s="22"/>
      <c r="T310" s="22"/>
      <c r="U310" s="22"/>
    </row>
    <row r="311" spans="1:21" x14ac:dyDescent="0.25">
      <c r="A311" s="7" t="s">
        <v>460</v>
      </c>
      <c r="B311" s="16">
        <v>45425</v>
      </c>
      <c r="C311" s="8" t="s">
        <v>67</v>
      </c>
      <c r="D311" s="8" t="str">
        <f>PROPER(TRIM(Sales_Data!D311))</f>
        <v>Singapore</v>
      </c>
      <c r="E311" s="8" t="s">
        <v>17</v>
      </c>
      <c r="F311" s="8" t="s">
        <v>18</v>
      </c>
      <c r="G311" s="91">
        <v>12</v>
      </c>
      <c r="H311" s="9">
        <v>47.4</v>
      </c>
      <c r="I311" s="87">
        <f>PRODUCT(Table15[[#This Row],[Quantity]],Table15[[#This Row],[Unit_Price]])</f>
        <v>568.79999999999995</v>
      </c>
      <c r="J311" s="9">
        <v>23.31</v>
      </c>
      <c r="K311" s="47">
        <v>125.49</v>
      </c>
      <c r="L311" s="8" t="s">
        <v>38</v>
      </c>
      <c r="M311" s="8" t="s">
        <v>20</v>
      </c>
      <c r="N311" s="8" t="s">
        <v>58</v>
      </c>
      <c r="O311" s="91">
        <f>VLOOKUP(E311,Product_Master!$B$2:$F$11,5,FALSE)</f>
        <v>35</v>
      </c>
      <c r="P311" s="91">
        <f>PRODUCT(Table15[[#This Row],[Quantity]],Table15[[#This Row],[Unit_Cost]])</f>
        <v>420</v>
      </c>
      <c r="Q311" s="72">
        <f>(Table15[[#This Row],[Profit]]/Table15[[#This Row],[Total_Sales]])</f>
        <v>0.22062236286919831</v>
      </c>
      <c r="R311" s="22"/>
      <c r="S311" s="22"/>
      <c r="T311" s="22"/>
      <c r="U311" s="22"/>
    </row>
    <row r="312" spans="1:21" x14ac:dyDescent="0.25">
      <c r="A312" s="7" t="s">
        <v>461</v>
      </c>
      <c r="B312" s="16">
        <v>45482</v>
      </c>
      <c r="C312" s="8" t="s">
        <v>249</v>
      </c>
      <c r="D312" s="8" t="str">
        <f>PROPER(TRIM(Sales_Data!D312))</f>
        <v>Uae</v>
      </c>
      <c r="E312" s="8" t="s">
        <v>48</v>
      </c>
      <c r="F312" s="8" t="s">
        <v>37</v>
      </c>
      <c r="G312" s="91">
        <v>50</v>
      </c>
      <c r="H312" s="9">
        <v>34.28</v>
      </c>
      <c r="I312" s="87">
        <f>PRODUCT(Table15[[#This Row],[Quantity]],Table15[[#This Row],[Unit_Price]])</f>
        <v>1714</v>
      </c>
      <c r="J312" s="9">
        <v>59.84</v>
      </c>
      <c r="K312" s="47">
        <v>654.16</v>
      </c>
      <c r="L312" s="8" t="s">
        <v>19</v>
      </c>
      <c r="M312" s="8" t="s">
        <v>20</v>
      </c>
      <c r="N312" s="8" t="s">
        <v>58</v>
      </c>
      <c r="O312" s="91">
        <f>VLOOKUP(E312,Product_Master!$B$2:$F$11,5,FALSE)</f>
        <v>20</v>
      </c>
      <c r="P312" s="91">
        <f>PRODUCT(Table15[[#This Row],[Quantity]],Table15[[#This Row],[Unit_Cost]])</f>
        <v>1000</v>
      </c>
      <c r="Q312" s="72">
        <f>(Table15[[#This Row],[Profit]]/Table15[[#This Row],[Total_Sales]])</f>
        <v>0.38165694282380397</v>
      </c>
      <c r="R312" s="22"/>
      <c r="S312" s="22"/>
      <c r="T312" s="22"/>
      <c r="U312" s="22"/>
    </row>
    <row r="313" spans="1:21" x14ac:dyDescent="0.25">
      <c r="A313" s="7" t="s">
        <v>462</v>
      </c>
      <c r="B313" s="16">
        <v>45743</v>
      </c>
      <c r="C313" s="8" t="s">
        <v>204</v>
      </c>
      <c r="D313" s="8" t="str">
        <f>PROPER(TRIM(Sales_Data!D313))</f>
        <v>South Africa</v>
      </c>
      <c r="E313" s="8" t="s">
        <v>25</v>
      </c>
      <c r="F313" s="8" t="s">
        <v>18</v>
      </c>
      <c r="G313" s="91">
        <v>50</v>
      </c>
      <c r="H313" s="9">
        <v>29.39</v>
      </c>
      <c r="I313" s="87">
        <f>PRODUCT(Table15[[#This Row],[Quantity]],Table15[[#This Row],[Unit_Price]])</f>
        <v>1469.5</v>
      </c>
      <c r="J313" s="9">
        <v>101.51</v>
      </c>
      <c r="K313" s="47">
        <v>467.99</v>
      </c>
      <c r="L313" s="8" t="s">
        <v>38</v>
      </c>
      <c r="M313" s="8" t="s">
        <v>32</v>
      </c>
      <c r="N313" s="8" t="s">
        <v>87</v>
      </c>
      <c r="O313" s="91">
        <f>VLOOKUP(E313,Product_Master!$B$2:$F$11,5,FALSE)</f>
        <v>18</v>
      </c>
      <c r="P313" s="91">
        <f>PRODUCT(Table15[[#This Row],[Quantity]],Table15[[#This Row],[Unit_Cost]])</f>
        <v>900</v>
      </c>
      <c r="Q313" s="72">
        <f>(Table15[[#This Row],[Profit]]/Table15[[#This Row],[Total_Sales]])</f>
        <v>0.31846886696155158</v>
      </c>
      <c r="R313" s="22"/>
      <c r="S313" s="22"/>
      <c r="T313" s="22"/>
      <c r="U313" s="22"/>
    </row>
    <row r="314" spans="1:21" x14ac:dyDescent="0.25">
      <c r="A314" s="7" t="s">
        <v>463</v>
      </c>
      <c r="B314" s="16">
        <v>45526</v>
      </c>
      <c r="C314" s="8" t="s">
        <v>113</v>
      </c>
      <c r="D314" s="8" t="str">
        <f>PROPER(TRIM(Sales_Data!D314))</f>
        <v>Brazil</v>
      </c>
      <c r="E314" s="8" t="s">
        <v>25</v>
      </c>
      <c r="F314" s="8" t="s">
        <v>18</v>
      </c>
      <c r="G314" s="91">
        <v>46</v>
      </c>
      <c r="H314" s="9">
        <v>30.34</v>
      </c>
      <c r="I314" s="87">
        <f>PRODUCT(Table15[[#This Row],[Quantity]],Table15[[#This Row],[Unit_Price]])</f>
        <v>1395.64</v>
      </c>
      <c r="J314" s="9">
        <v>104.2</v>
      </c>
      <c r="K314" s="47">
        <v>463.44</v>
      </c>
      <c r="L314" s="8" t="s">
        <v>19</v>
      </c>
      <c r="M314" s="8" t="s">
        <v>27</v>
      </c>
      <c r="N314" s="8" t="s">
        <v>39</v>
      </c>
      <c r="O314" s="91">
        <f>VLOOKUP(E314,Product_Master!$B$2:$F$11,5,FALSE)</f>
        <v>18</v>
      </c>
      <c r="P314" s="91">
        <f>PRODUCT(Table15[[#This Row],[Quantity]],Table15[[#This Row],[Unit_Cost]])</f>
        <v>828</v>
      </c>
      <c r="Q314" s="72">
        <f>(Table15[[#This Row],[Profit]]/Table15[[#This Row],[Total_Sales]])</f>
        <v>0.33206270958126732</v>
      </c>
      <c r="R314" s="22"/>
      <c r="S314" s="22"/>
      <c r="T314" s="22"/>
      <c r="U314" s="22"/>
    </row>
    <row r="315" spans="1:21" x14ac:dyDescent="0.25">
      <c r="A315" s="7" t="s">
        <v>464</v>
      </c>
      <c r="B315" s="16">
        <v>45380</v>
      </c>
      <c r="C315" s="8" t="s">
        <v>465</v>
      </c>
      <c r="D315" s="8" t="str">
        <f>PROPER(TRIM(Sales_Data!D315))</f>
        <v>Singapore</v>
      </c>
      <c r="E315" s="8" t="s">
        <v>63</v>
      </c>
      <c r="F315" s="8" t="s">
        <v>37</v>
      </c>
      <c r="G315" s="91">
        <v>50</v>
      </c>
      <c r="H315" s="9">
        <v>18.809999999999999</v>
      </c>
      <c r="I315" s="87">
        <f>PRODUCT(Table15[[#This Row],[Quantity]],Table15[[#This Row],[Unit_Price]])</f>
        <v>940.49999999999989</v>
      </c>
      <c r="J315" s="9">
        <v>40.25</v>
      </c>
      <c r="K315" s="47">
        <v>262.75</v>
      </c>
      <c r="L315" s="8" t="s">
        <v>26</v>
      </c>
      <c r="M315" s="8" t="s">
        <v>27</v>
      </c>
      <c r="N315" s="8" t="s">
        <v>58</v>
      </c>
      <c r="O315" s="91">
        <f>VLOOKUP(E315,Product_Master!$B$2:$F$11,5,FALSE)</f>
        <v>12.75</v>
      </c>
      <c r="P315" s="91">
        <f>PRODUCT(Table15[[#This Row],[Quantity]],Table15[[#This Row],[Unit_Cost]])</f>
        <v>637.5</v>
      </c>
      <c r="Q315" s="72">
        <f>(Table15[[#This Row],[Profit]]/Table15[[#This Row],[Total_Sales]])</f>
        <v>0.27937267410951627</v>
      </c>
      <c r="R315" s="22"/>
      <c r="S315" s="22"/>
      <c r="T315" s="22"/>
      <c r="U315" s="22"/>
    </row>
    <row r="316" spans="1:21" x14ac:dyDescent="0.25">
      <c r="A316" s="7" t="s">
        <v>466</v>
      </c>
      <c r="B316" s="16">
        <v>45481</v>
      </c>
      <c r="C316" s="8" t="s">
        <v>204</v>
      </c>
      <c r="D316" s="8" t="str">
        <f>PROPER(TRIM(Sales_Data!D316))</f>
        <v>Australia</v>
      </c>
      <c r="E316" s="8" t="s">
        <v>51</v>
      </c>
      <c r="F316" s="8" t="s">
        <v>52</v>
      </c>
      <c r="G316" s="91">
        <v>2</v>
      </c>
      <c r="H316" s="9">
        <v>29.64</v>
      </c>
      <c r="I316" s="87">
        <f>PRODUCT(Table15[[#This Row],[Quantity]],Table15[[#This Row],[Unit_Price]])</f>
        <v>59.28</v>
      </c>
      <c r="J316" s="9">
        <v>4.59</v>
      </c>
      <c r="K316" s="47">
        <v>9.69</v>
      </c>
      <c r="L316" s="8" t="s">
        <v>26</v>
      </c>
      <c r="M316" s="8" t="s">
        <v>32</v>
      </c>
      <c r="N316" s="8" t="s">
        <v>130</v>
      </c>
      <c r="O316" s="91">
        <f>VLOOKUP(E316,Product_Master!$B$2:$F$11,5,FALSE)</f>
        <v>22.5</v>
      </c>
      <c r="P316" s="91">
        <f>PRODUCT(Table15[[#This Row],[Quantity]],Table15[[#This Row],[Unit_Cost]])</f>
        <v>45</v>
      </c>
      <c r="Q316" s="72">
        <f>(Table15[[#This Row],[Profit]]/Table15[[#This Row],[Total_Sales]])</f>
        <v>0.16346153846153846</v>
      </c>
      <c r="R316" s="22"/>
      <c r="S316" s="22"/>
      <c r="T316" s="22"/>
      <c r="U316" s="22"/>
    </row>
    <row r="317" spans="1:21" x14ac:dyDescent="0.25">
      <c r="A317" s="7" t="s">
        <v>467</v>
      </c>
      <c r="B317" s="16">
        <v>45311</v>
      </c>
      <c r="C317" s="8" t="s">
        <v>364</v>
      </c>
      <c r="D317" s="8" t="str">
        <f>PROPER(TRIM(Sales_Data!D317))</f>
        <v>Singapore</v>
      </c>
      <c r="E317" s="8" t="s">
        <v>51</v>
      </c>
      <c r="F317" s="8" t="s">
        <v>52</v>
      </c>
      <c r="G317" s="91">
        <v>48</v>
      </c>
      <c r="H317" s="9">
        <v>27.9</v>
      </c>
      <c r="I317" s="87">
        <f>PRODUCT(Table15[[#This Row],[Quantity]],Table15[[#This Row],[Unit_Price]])</f>
        <v>1339.1999999999998</v>
      </c>
      <c r="J317" s="9">
        <v>66.31</v>
      </c>
      <c r="K317" s="47">
        <v>192.89</v>
      </c>
      <c r="L317" s="8" t="s">
        <v>26</v>
      </c>
      <c r="M317" s="8" t="s">
        <v>32</v>
      </c>
      <c r="N317" s="8" t="s">
        <v>58</v>
      </c>
      <c r="O317" s="91">
        <f>VLOOKUP(E317,Product_Master!$B$2:$F$11,5,FALSE)</f>
        <v>22.5</v>
      </c>
      <c r="P317" s="91">
        <f>PRODUCT(Table15[[#This Row],[Quantity]],Table15[[#This Row],[Unit_Cost]])</f>
        <v>1080</v>
      </c>
      <c r="Q317" s="72">
        <f>(Table15[[#This Row],[Profit]]/Table15[[#This Row],[Total_Sales]])</f>
        <v>0.14403375149342892</v>
      </c>
      <c r="R317" s="22"/>
      <c r="S317" s="22"/>
      <c r="T317" s="22"/>
      <c r="U317" s="22"/>
    </row>
    <row r="318" spans="1:21" x14ac:dyDescent="0.25">
      <c r="A318" s="7" t="s">
        <v>468</v>
      </c>
      <c r="B318" s="16">
        <v>45644</v>
      </c>
      <c r="C318" s="8" t="s">
        <v>293</v>
      </c>
      <c r="D318" s="8" t="str">
        <f>PROPER(TRIM(Sales_Data!D318))</f>
        <v>France</v>
      </c>
      <c r="E318" s="8" t="s">
        <v>56</v>
      </c>
      <c r="F318" s="8" t="s">
        <v>57</v>
      </c>
      <c r="G318" s="91">
        <v>28</v>
      </c>
      <c r="H318" s="9">
        <v>38.520000000000003</v>
      </c>
      <c r="I318" s="87">
        <f>PRODUCT(Table15[[#This Row],[Quantity]],Table15[[#This Row],[Unit_Price]])</f>
        <v>1078.5600000000002</v>
      </c>
      <c r="J318" s="9">
        <v>64.510000000000005</v>
      </c>
      <c r="K318" s="47">
        <v>314.05</v>
      </c>
      <c r="L318" s="8" t="s">
        <v>19</v>
      </c>
      <c r="M318" s="8" t="s">
        <v>27</v>
      </c>
      <c r="N318" s="8" t="s">
        <v>28</v>
      </c>
      <c r="O318" s="91">
        <f>VLOOKUP(E318,Product_Master!$B$2:$F$11,5,FALSE)</f>
        <v>25</v>
      </c>
      <c r="P318" s="91">
        <f>PRODUCT(Table15[[#This Row],[Quantity]],Table15[[#This Row],[Unit_Cost]])</f>
        <v>700</v>
      </c>
      <c r="Q318" s="72">
        <f>(Table15[[#This Row],[Profit]]/Table15[[#This Row],[Total_Sales]])</f>
        <v>0.29117527073134547</v>
      </c>
      <c r="R318" s="22"/>
      <c r="S318" s="22"/>
      <c r="T318" s="22"/>
      <c r="U318" s="22"/>
    </row>
    <row r="319" spans="1:21" x14ac:dyDescent="0.25">
      <c r="A319" s="7" t="s">
        <v>469</v>
      </c>
      <c r="B319" s="16">
        <v>45377</v>
      </c>
      <c r="C319" s="8" t="s">
        <v>181</v>
      </c>
      <c r="D319" s="8" t="str">
        <f>PROPER(TRIM(Sales_Data!D319))</f>
        <v>Uk</v>
      </c>
      <c r="E319" s="8" t="s">
        <v>51</v>
      </c>
      <c r="F319" s="8" t="s">
        <v>52</v>
      </c>
      <c r="G319" s="91">
        <v>11</v>
      </c>
      <c r="H319" s="9">
        <v>31.08</v>
      </c>
      <c r="I319" s="87">
        <f>PRODUCT(Table15[[#This Row],[Quantity]],Table15[[#This Row],[Unit_Price]])</f>
        <v>341.88</v>
      </c>
      <c r="J319" s="9">
        <v>17.18</v>
      </c>
      <c r="K319" s="47">
        <v>77.2</v>
      </c>
      <c r="L319" s="8" t="s">
        <v>38</v>
      </c>
      <c r="M319" s="8" t="s">
        <v>32</v>
      </c>
      <c r="N319" s="8" t="s">
        <v>28</v>
      </c>
      <c r="O319" s="91">
        <f>VLOOKUP(E319,Product_Master!$B$2:$F$11,5,FALSE)</f>
        <v>22.5</v>
      </c>
      <c r="P319" s="91">
        <f>PRODUCT(Table15[[#This Row],[Quantity]],Table15[[#This Row],[Unit_Cost]])</f>
        <v>247.5</v>
      </c>
      <c r="Q319" s="72">
        <f>(Table15[[#This Row],[Profit]]/Table15[[#This Row],[Total_Sales]])</f>
        <v>0.22581022581022583</v>
      </c>
      <c r="R319" s="22"/>
      <c r="S319" s="22"/>
      <c r="T319" s="22"/>
      <c r="U319" s="22"/>
    </row>
    <row r="320" spans="1:21" x14ac:dyDescent="0.25">
      <c r="A320" s="7" t="s">
        <v>470</v>
      </c>
      <c r="B320" s="16">
        <v>45568</v>
      </c>
      <c r="C320" s="8" t="s">
        <v>246</v>
      </c>
      <c r="D320" s="8" t="str">
        <f>PROPER(TRIM(Sales_Data!D320))</f>
        <v>Mexico</v>
      </c>
      <c r="E320" s="8" t="s">
        <v>48</v>
      </c>
      <c r="F320" s="8" t="s">
        <v>37</v>
      </c>
      <c r="G320" s="91">
        <v>42</v>
      </c>
      <c r="H320" s="9">
        <v>25.95</v>
      </c>
      <c r="I320" s="87">
        <f>PRODUCT(Table15[[#This Row],[Quantity]],Table15[[#This Row],[Unit_Price]])</f>
        <v>1089.8999999999999</v>
      </c>
      <c r="J320" s="9">
        <v>27.5</v>
      </c>
      <c r="K320" s="47">
        <v>222.4</v>
      </c>
      <c r="L320" s="8" t="s">
        <v>38</v>
      </c>
      <c r="M320" s="8" t="s">
        <v>32</v>
      </c>
      <c r="N320" s="8" t="s">
        <v>21</v>
      </c>
      <c r="O320" s="91">
        <f>VLOOKUP(E320,Product_Master!$B$2:$F$11,5,FALSE)</f>
        <v>20</v>
      </c>
      <c r="P320" s="91">
        <f>PRODUCT(Table15[[#This Row],[Quantity]],Table15[[#This Row],[Unit_Cost]])</f>
        <v>840</v>
      </c>
      <c r="Q320" s="72">
        <f>(Table15[[#This Row],[Profit]]/Table15[[#This Row],[Total_Sales]])</f>
        <v>0.20405541792825033</v>
      </c>
      <c r="R320" s="22"/>
      <c r="S320" s="22"/>
      <c r="T320" s="22"/>
      <c r="U320" s="22"/>
    </row>
    <row r="321" spans="1:21" x14ac:dyDescent="0.25">
      <c r="A321" s="7" t="s">
        <v>471</v>
      </c>
      <c r="B321" s="16">
        <v>45535</v>
      </c>
      <c r="C321" s="8" t="s">
        <v>399</v>
      </c>
      <c r="D321" s="8" t="str">
        <f>PROPER(TRIM(Sales_Data!D321))</f>
        <v>Singapore</v>
      </c>
      <c r="E321" s="8" t="s">
        <v>56</v>
      </c>
      <c r="F321" s="8" t="s">
        <v>57</v>
      </c>
      <c r="G321" s="91">
        <v>30</v>
      </c>
      <c r="H321" s="9">
        <v>30.16</v>
      </c>
      <c r="I321" s="87">
        <f>PRODUCT(Table15[[#This Row],[Quantity]],Table15[[#This Row],[Unit_Price]])</f>
        <v>904.8</v>
      </c>
      <c r="J321" s="9">
        <v>70.13</v>
      </c>
      <c r="K321" s="47">
        <v>84.67</v>
      </c>
      <c r="L321" s="8" t="s">
        <v>26</v>
      </c>
      <c r="M321" s="8" t="s">
        <v>20</v>
      </c>
      <c r="N321" s="8" t="s">
        <v>58</v>
      </c>
      <c r="O321" s="91">
        <f>VLOOKUP(E321,Product_Master!$B$2:$F$11,5,FALSE)</f>
        <v>25</v>
      </c>
      <c r="P321" s="91">
        <f>PRODUCT(Table15[[#This Row],[Quantity]],Table15[[#This Row],[Unit_Cost]])</f>
        <v>750</v>
      </c>
      <c r="Q321" s="72">
        <f>(Table15[[#This Row],[Profit]]/Table15[[#This Row],[Total_Sales]])</f>
        <v>9.3578691423519017E-2</v>
      </c>
      <c r="R321" s="22"/>
      <c r="S321" s="22"/>
      <c r="T321" s="22"/>
      <c r="U321" s="22"/>
    </row>
    <row r="322" spans="1:21" x14ac:dyDescent="0.25">
      <c r="A322" s="7" t="s">
        <v>472</v>
      </c>
      <c r="B322" s="16">
        <v>45474</v>
      </c>
      <c r="C322" s="8" t="s">
        <v>473</v>
      </c>
      <c r="D322" s="8" t="str">
        <f>PROPER(TRIM(Sales_Data!D322))</f>
        <v>Brazil</v>
      </c>
      <c r="E322" s="8" t="s">
        <v>48</v>
      </c>
      <c r="F322" s="8" t="s">
        <v>37</v>
      </c>
      <c r="G322" s="91">
        <v>40</v>
      </c>
      <c r="H322" s="9">
        <v>30.03</v>
      </c>
      <c r="I322" s="87">
        <f>PRODUCT(Table15[[#This Row],[Quantity]],Table15[[#This Row],[Unit_Price]])</f>
        <v>1201.2</v>
      </c>
      <c r="J322" s="9">
        <v>71.97</v>
      </c>
      <c r="K322" s="47">
        <v>329.23</v>
      </c>
      <c r="L322" s="8" t="s">
        <v>26</v>
      </c>
      <c r="M322" s="8" t="s">
        <v>20</v>
      </c>
      <c r="N322" s="8" t="s">
        <v>39</v>
      </c>
      <c r="O322" s="91">
        <f>VLOOKUP(E322,Product_Master!$B$2:$F$11,5,FALSE)</f>
        <v>20</v>
      </c>
      <c r="P322" s="91">
        <f>PRODUCT(Table15[[#This Row],[Quantity]],Table15[[#This Row],[Unit_Cost]])</f>
        <v>800</v>
      </c>
      <c r="Q322" s="72">
        <f>(Table15[[#This Row],[Profit]]/Table15[[#This Row],[Total_Sales]])</f>
        <v>0.27408424908424911</v>
      </c>
      <c r="R322" s="22"/>
      <c r="S322" s="22"/>
      <c r="T322" s="22"/>
      <c r="U322" s="22"/>
    </row>
    <row r="323" spans="1:21" x14ac:dyDescent="0.25">
      <c r="A323" s="7" t="s">
        <v>474</v>
      </c>
      <c r="B323" s="16">
        <v>45584</v>
      </c>
      <c r="C323" s="8" t="s">
        <v>100</v>
      </c>
      <c r="D323" s="8" t="str">
        <f>PROPER(TRIM(Sales_Data!D323))</f>
        <v>South Africa</v>
      </c>
      <c r="E323" s="8" t="s">
        <v>48</v>
      </c>
      <c r="F323" s="8" t="s">
        <v>37</v>
      </c>
      <c r="G323" s="91">
        <v>15</v>
      </c>
      <c r="H323" s="9">
        <v>27.12</v>
      </c>
      <c r="I323" s="87">
        <f>PRODUCT(Table15[[#This Row],[Quantity]],Table15[[#This Row],[Unit_Price]])</f>
        <v>406.8</v>
      </c>
      <c r="J323" s="9">
        <v>24.28</v>
      </c>
      <c r="K323" s="47">
        <v>82.52</v>
      </c>
      <c r="L323" s="8" t="s">
        <v>26</v>
      </c>
      <c r="M323" s="8" t="s">
        <v>27</v>
      </c>
      <c r="N323" s="8" t="s">
        <v>87</v>
      </c>
      <c r="O323" s="91">
        <f>VLOOKUP(E323,Product_Master!$B$2:$F$11,5,FALSE)</f>
        <v>20</v>
      </c>
      <c r="P323" s="91">
        <f>PRODUCT(Table15[[#This Row],[Quantity]],Table15[[#This Row],[Unit_Cost]])</f>
        <v>300</v>
      </c>
      <c r="Q323" s="72">
        <f>(Table15[[#This Row],[Profit]]/Table15[[#This Row],[Total_Sales]])</f>
        <v>0.20285152409046212</v>
      </c>
      <c r="R323" s="22"/>
      <c r="S323" s="22"/>
      <c r="T323" s="22"/>
      <c r="U323" s="22"/>
    </row>
    <row r="324" spans="1:21" x14ac:dyDescent="0.25">
      <c r="A324" s="7" t="s">
        <v>475</v>
      </c>
      <c r="B324" s="16">
        <v>45567</v>
      </c>
      <c r="C324" s="8" t="s">
        <v>161</v>
      </c>
      <c r="D324" s="8" t="str">
        <f>PROPER(TRIM(Sales_Data!D324))</f>
        <v>France</v>
      </c>
      <c r="E324" s="8" t="s">
        <v>63</v>
      </c>
      <c r="F324" s="8" t="s">
        <v>37</v>
      </c>
      <c r="G324" s="91">
        <v>35</v>
      </c>
      <c r="H324" s="9">
        <v>18.350000000000001</v>
      </c>
      <c r="I324" s="87">
        <f>PRODUCT(Table15[[#This Row],[Quantity]],Table15[[#This Row],[Unit_Price]])</f>
        <v>642.25</v>
      </c>
      <c r="J324" s="9">
        <v>29.35</v>
      </c>
      <c r="K324" s="47">
        <v>166.65</v>
      </c>
      <c r="L324" s="8" t="s">
        <v>19</v>
      </c>
      <c r="M324" s="8" t="s">
        <v>27</v>
      </c>
      <c r="N324" s="8" t="s">
        <v>28</v>
      </c>
      <c r="O324" s="91">
        <f>VLOOKUP(E324,Product_Master!$B$2:$F$11,5,FALSE)</f>
        <v>12.75</v>
      </c>
      <c r="P324" s="91">
        <f>PRODUCT(Table15[[#This Row],[Quantity]],Table15[[#This Row],[Unit_Cost]])</f>
        <v>446.25</v>
      </c>
      <c r="Q324" s="72">
        <f>(Table15[[#This Row],[Profit]]/Table15[[#This Row],[Total_Sales]])</f>
        <v>0.2594783962631374</v>
      </c>
      <c r="R324" s="22"/>
      <c r="S324" s="22"/>
      <c r="T324" s="22"/>
      <c r="U324" s="22"/>
    </row>
    <row r="325" spans="1:21" x14ac:dyDescent="0.25">
      <c r="A325" s="7" t="s">
        <v>476</v>
      </c>
      <c r="B325" s="16">
        <v>45459</v>
      </c>
      <c r="C325" s="8" t="s">
        <v>410</v>
      </c>
      <c r="D325" s="8" t="str">
        <f>PROPER(TRIM(Sales_Data!D325))</f>
        <v>South Africa</v>
      </c>
      <c r="E325" s="8" t="s">
        <v>17</v>
      </c>
      <c r="F325" s="8" t="s">
        <v>18</v>
      </c>
      <c r="G325" s="91">
        <v>21</v>
      </c>
      <c r="H325" s="9">
        <v>52.59</v>
      </c>
      <c r="I325" s="87">
        <f>PRODUCT(Table15[[#This Row],[Quantity]],Table15[[#This Row],[Unit_Price]])</f>
        <v>1104.3900000000001</v>
      </c>
      <c r="J325" s="9">
        <v>57.06</v>
      </c>
      <c r="K325" s="47">
        <v>312.33</v>
      </c>
      <c r="L325" s="8" t="s">
        <v>26</v>
      </c>
      <c r="M325" s="8" t="s">
        <v>27</v>
      </c>
      <c r="N325" s="8" t="s">
        <v>87</v>
      </c>
      <c r="O325" s="91">
        <f>VLOOKUP(E325,Product_Master!$B$2:$F$11,5,FALSE)</f>
        <v>35</v>
      </c>
      <c r="P325" s="91">
        <f>PRODUCT(Table15[[#This Row],[Quantity]],Table15[[#This Row],[Unit_Cost]])</f>
        <v>735</v>
      </c>
      <c r="Q325" s="72">
        <f>(Table15[[#This Row],[Profit]]/Table15[[#This Row],[Total_Sales]])</f>
        <v>0.28280770380028791</v>
      </c>
      <c r="R325" s="22"/>
      <c r="S325" s="22"/>
      <c r="T325" s="22"/>
      <c r="U325" s="22"/>
    </row>
    <row r="326" spans="1:21" x14ac:dyDescent="0.25">
      <c r="A326" s="7" t="s">
        <v>477</v>
      </c>
      <c r="B326" s="16">
        <v>45538</v>
      </c>
      <c r="C326" s="8" t="s">
        <v>364</v>
      </c>
      <c r="D326" s="8" t="str">
        <f>PROPER(TRIM(Sales_Data!D326))</f>
        <v>China</v>
      </c>
      <c r="E326" s="8" t="s">
        <v>83</v>
      </c>
      <c r="F326" s="8" t="s">
        <v>52</v>
      </c>
      <c r="G326" s="91">
        <v>10</v>
      </c>
      <c r="H326" s="9">
        <v>44.2</v>
      </c>
      <c r="I326" s="87">
        <f>PRODUCT(Table15[[#This Row],[Quantity]],Table15[[#This Row],[Unit_Price]])</f>
        <v>442</v>
      </c>
      <c r="J326" s="9">
        <v>18.45</v>
      </c>
      <c r="K326" s="47">
        <v>143.55000000000001</v>
      </c>
      <c r="L326" s="8" t="s">
        <v>19</v>
      </c>
      <c r="M326" s="8" t="s">
        <v>20</v>
      </c>
      <c r="N326" s="8" t="s">
        <v>58</v>
      </c>
      <c r="O326" s="91">
        <f>VLOOKUP(E326,Product_Master!$B$2:$F$11,5,FALSE)</f>
        <v>28</v>
      </c>
      <c r="P326" s="91">
        <f>PRODUCT(Table15[[#This Row],[Quantity]],Table15[[#This Row],[Unit_Cost]])</f>
        <v>280</v>
      </c>
      <c r="Q326" s="72">
        <f>(Table15[[#This Row],[Profit]]/Table15[[#This Row],[Total_Sales]])</f>
        <v>0.32477375565610861</v>
      </c>
      <c r="R326" s="22"/>
      <c r="S326" s="22"/>
      <c r="T326" s="22"/>
      <c r="U326" s="22"/>
    </row>
    <row r="327" spans="1:21" x14ac:dyDescent="0.25">
      <c r="A327" s="7" t="s">
        <v>478</v>
      </c>
      <c r="B327" s="16">
        <v>45635</v>
      </c>
      <c r="C327" s="8" t="s">
        <v>209</v>
      </c>
      <c r="D327" s="8" t="str">
        <f>PROPER(TRIM(Sales_Data!D327))</f>
        <v>China</v>
      </c>
      <c r="E327" s="8" t="s">
        <v>17</v>
      </c>
      <c r="F327" s="8" t="s">
        <v>18</v>
      </c>
      <c r="G327" s="91">
        <v>11</v>
      </c>
      <c r="H327" s="9">
        <v>60.9</v>
      </c>
      <c r="I327" s="87">
        <f>PRODUCT(Table15[[#This Row],[Quantity]],Table15[[#This Row],[Unit_Price]])</f>
        <v>669.9</v>
      </c>
      <c r="J327" s="9">
        <v>26.28</v>
      </c>
      <c r="K327" s="47">
        <v>258.62</v>
      </c>
      <c r="L327" s="8" t="s">
        <v>26</v>
      </c>
      <c r="M327" s="8" t="s">
        <v>27</v>
      </c>
      <c r="N327" s="8" t="s">
        <v>58</v>
      </c>
      <c r="O327" s="91">
        <f>VLOOKUP(E327,Product_Master!$B$2:$F$11,5,FALSE)</f>
        <v>35</v>
      </c>
      <c r="P327" s="91">
        <f>PRODUCT(Table15[[#This Row],[Quantity]],Table15[[#This Row],[Unit_Cost]])</f>
        <v>385</v>
      </c>
      <c r="Q327" s="72">
        <f>(Table15[[#This Row],[Profit]]/Table15[[#This Row],[Total_Sales]])</f>
        <v>0.38605762054037918</v>
      </c>
      <c r="R327" s="22"/>
      <c r="S327" s="22"/>
      <c r="T327" s="22"/>
      <c r="U327" s="22"/>
    </row>
    <row r="328" spans="1:21" x14ac:dyDescent="0.25">
      <c r="A328" s="7" t="s">
        <v>479</v>
      </c>
      <c r="B328" s="16">
        <v>45545</v>
      </c>
      <c r="C328" s="8" t="s">
        <v>54</v>
      </c>
      <c r="D328" s="8" t="str">
        <f>PROPER(TRIM(Sales_Data!D328))</f>
        <v>Uae</v>
      </c>
      <c r="E328" s="8" t="s">
        <v>63</v>
      </c>
      <c r="F328" s="8" t="s">
        <v>37</v>
      </c>
      <c r="G328" s="91">
        <v>26</v>
      </c>
      <c r="H328" s="9">
        <v>22.32</v>
      </c>
      <c r="I328" s="87">
        <f>PRODUCT(Table15[[#This Row],[Quantity]],Table15[[#This Row],[Unit_Price]])</f>
        <v>580.32000000000005</v>
      </c>
      <c r="J328" s="9">
        <v>45.08</v>
      </c>
      <c r="K328" s="47">
        <v>203.74</v>
      </c>
      <c r="L328" s="8" t="s">
        <v>26</v>
      </c>
      <c r="M328" s="8" t="s">
        <v>27</v>
      </c>
      <c r="N328" s="8" t="s">
        <v>58</v>
      </c>
      <c r="O328" s="91">
        <f>VLOOKUP(E328,Product_Master!$B$2:$F$11,5,FALSE)</f>
        <v>12.75</v>
      </c>
      <c r="P328" s="91">
        <f>PRODUCT(Table15[[#This Row],[Quantity]],Table15[[#This Row],[Unit_Cost]])</f>
        <v>331.5</v>
      </c>
      <c r="Q328" s="72">
        <f>(Table15[[#This Row],[Profit]]/Table15[[#This Row],[Total_Sales]])</f>
        <v>0.3510821615660325</v>
      </c>
      <c r="R328" s="22"/>
      <c r="S328" s="22"/>
      <c r="T328" s="22"/>
      <c r="U328" s="22"/>
    </row>
    <row r="329" spans="1:21" x14ac:dyDescent="0.25">
      <c r="A329" s="7" t="s">
        <v>480</v>
      </c>
      <c r="B329" s="16">
        <v>45680</v>
      </c>
      <c r="C329" s="8" t="s">
        <v>261</v>
      </c>
      <c r="D329" s="8" t="str">
        <f>PROPER(TRIM(Sales_Data!D329))</f>
        <v>China</v>
      </c>
      <c r="E329" s="8" t="s">
        <v>83</v>
      </c>
      <c r="F329" s="8" t="s">
        <v>52</v>
      </c>
      <c r="G329" s="91">
        <v>46</v>
      </c>
      <c r="H329" s="9">
        <v>41.89</v>
      </c>
      <c r="I329" s="87">
        <f>PRODUCT(Table15[[#This Row],[Quantity]],Table15[[#This Row],[Unit_Price]])</f>
        <v>1926.94</v>
      </c>
      <c r="J329" s="9">
        <v>97.39</v>
      </c>
      <c r="K329" s="47">
        <v>541.54999999999995</v>
      </c>
      <c r="L329" s="8" t="s">
        <v>19</v>
      </c>
      <c r="M329" s="8" t="s">
        <v>32</v>
      </c>
      <c r="N329" s="8" t="s">
        <v>58</v>
      </c>
      <c r="O329" s="91">
        <f>VLOOKUP(E329,Product_Master!$B$2:$F$11,5,FALSE)</f>
        <v>28</v>
      </c>
      <c r="P329" s="91">
        <f>PRODUCT(Table15[[#This Row],[Quantity]],Table15[[#This Row],[Unit_Cost]])</f>
        <v>1288</v>
      </c>
      <c r="Q329" s="72">
        <f>(Table15[[#This Row],[Profit]]/Table15[[#This Row],[Total_Sales]])</f>
        <v>0.28104144394739844</v>
      </c>
      <c r="R329" s="22"/>
      <c r="S329" s="22"/>
      <c r="T329" s="22"/>
      <c r="U329" s="22"/>
    </row>
    <row r="330" spans="1:21" x14ac:dyDescent="0.25">
      <c r="A330" s="7" t="s">
        <v>481</v>
      </c>
      <c r="B330" s="16">
        <v>45592</v>
      </c>
      <c r="C330" s="8" t="s">
        <v>173</v>
      </c>
      <c r="D330" s="8" t="str">
        <f>PROPER(TRIM(Sales_Data!D330))</f>
        <v>Uk</v>
      </c>
      <c r="E330" s="8" t="s">
        <v>63</v>
      </c>
      <c r="F330" s="8" t="s">
        <v>37</v>
      </c>
      <c r="G330" s="91">
        <v>43</v>
      </c>
      <c r="H330" s="9">
        <v>21.24</v>
      </c>
      <c r="I330" s="87">
        <f>PRODUCT(Table15[[#This Row],[Quantity]],Table15[[#This Row],[Unit_Price]])</f>
        <v>913.31999999999994</v>
      </c>
      <c r="J330" s="9">
        <v>50.32</v>
      </c>
      <c r="K330" s="47">
        <v>314.75</v>
      </c>
      <c r="L330" s="8" t="s">
        <v>26</v>
      </c>
      <c r="M330" s="8" t="s">
        <v>20</v>
      </c>
      <c r="N330" s="8" t="s">
        <v>28</v>
      </c>
      <c r="O330" s="91">
        <f>VLOOKUP(E330,Product_Master!$B$2:$F$11,5,FALSE)</f>
        <v>12.75</v>
      </c>
      <c r="P330" s="91">
        <f>PRODUCT(Table15[[#This Row],[Quantity]],Table15[[#This Row],[Unit_Cost]])</f>
        <v>548.25</v>
      </c>
      <c r="Q330" s="72">
        <f>(Table15[[#This Row],[Profit]]/Table15[[#This Row],[Total_Sales]])</f>
        <v>0.3446218192966321</v>
      </c>
      <c r="R330" s="22"/>
      <c r="S330" s="22"/>
      <c r="T330" s="22"/>
      <c r="U330" s="22"/>
    </row>
    <row r="331" spans="1:21" x14ac:dyDescent="0.25">
      <c r="A331" s="7" t="s">
        <v>482</v>
      </c>
      <c r="B331" s="16">
        <v>45360</v>
      </c>
      <c r="C331" s="8" t="s">
        <v>483</v>
      </c>
      <c r="D331" s="8" t="str">
        <f>PROPER(TRIM(Sales_Data!D331))</f>
        <v>Germany</v>
      </c>
      <c r="E331" s="8" t="s">
        <v>51</v>
      </c>
      <c r="F331" s="8" t="s">
        <v>52</v>
      </c>
      <c r="G331" s="91">
        <v>28</v>
      </c>
      <c r="H331" s="9">
        <v>33.700000000000003</v>
      </c>
      <c r="I331" s="87">
        <f>PRODUCT(Table15[[#This Row],[Quantity]],Table15[[#This Row],[Unit_Price]])</f>
        <v>943.60000000000014</v>
      </c>
      <c r="J331" s="9">
        <v>20.170000000000002</v>
      </c>
      <c r="K331" s="47">
        <v>293.43</v>
      </c>
      <c r="L331" s="8" t="s">
        <v>19</v>
      </c>
      <c r="M331" s="8" t="s">
        <v>27</v>
      </c>
      <c r="N331" s="8" t="s">
        <v>28</v>
      </c>
      <c r="O331" s="91">
        <f>VLOOKUP(E331,Product_Master!$B$2:$F$11,5,FALSE)</f>
        <v>22.5</v>
      </c>
      <c r="P331" s="91">
        <f>PRODUCT(Table15[[#This Row],[Quantity]],Table15[[#This Row],[Unit_Cost]])</f>
        <v>630</v>
      </c>
      <c r="Q331" s="72">
        <f>(Table15[[#This Row],[Profit]]/Table15[[#This Row],[Total_Sales]])</f>
        <v>0.31096863077575237</v>
      </c>
      <c r="R331" s="22"/>
      <c r="S331" s="22"/>
      <c r="T331" s="22"/>
      <c r="U331" s="22"/>
    </row>
    <row r="332" spans="1:21" x14ac:dyDescent="0.25">
      <c r="A332" s="7" t="s">
        <v>484</v>
      </c>
      <c r="B332" s="16">
        <v>45519</v>
      </c>
      <c r="C332" s="8" t="s">
        <v>211</v>
      </c>
      <c r="D332" s="8" t="str">
        <f>PROPER(TRIM(Sales_Data!D332))</f>
        <v>India</v>
      </c>
      <c r="E332" s="8" t="s">
        <v>17</v>
      </c>
      <c r="F332" s="8" t="s">
        <v>18</v>
      </c>
      <c r="G332" s="91">
        <v>41</v>
      </c>
      <c r="H332" s="9">
        <v>42.74</v>
      </c>
      <c r="I332" s="87">
        <f>PRODUCT(Table15[[#This Row],[Quantity]],Table15[[#This Row],[Unit_Price]])</f>
        <v>1752.3400000000001</v>
      </c>
      <c r="J332" s="9">
        <v>92.09</v>
      </c>
      <c r="K332" s="47">
        <v>225.25</v>
      </c>
      <c r="L332" s="8" t="s">
        <v>38</v>
      </c>
      <c r="M332" s="8" t="s">
        <v>20</v>
      </c>
      <c r="N332" s="8" t="s">
        <v>58</v>
      </c>
      <c r="O332" s="91">
        <f>VLOOKUP(E332,Product_Master!$B$2:$F$11,5,FALSE)</f>
        <v>35</v>
      </c>
      <c r="P332" s="91">
        <f>PRODUCT(Table15[[#This Row],[Quantity]],Table15[[#This Row],[Unit_Cost]])</f>
        <v>1435</v>
      </c>
      <c r="Q332" s="72">
        <f>(Table15[[#This Row],[Profit]]/Table15[[#This Row],[Total_Sales]])</f>
        <v>0.12854240615405685</v>
      </c>
      <c r="R332" s="22"/>
      <c r="S332" s="22"/>
      <c r="T332" s="22"/>
      <c r="U332" s="22"/>
    </row>
    <row r="333" spans="1:21" x14ac:dyDescent="0.25">
      <c r="A333" s="7" t="s">
        <v>485</v>
      </c>
      <c r="B333" s="16">
        <v>45559</v>
      </c>
      <c r="C333" s="8" t="s">
        <v>410</v>
      </c>
      <c r="D333" s="8" t="str">
        <f>PROPER(TRIM(Sales_Data!D333))</f>
        <v>Uk</v>
      </c>
      <c r="E333" s="8" t="s">
        <v>48</v>
      </c>
      <c r="F333" s="8" t="s">
        <v>37</v>
      </c>
      <c r="G333" s="91">
        <v>24</v>
      </c>
      <c r="H333" s="9">
        <v>30.18</v>
      </c>
      <c r="I333" s="87">
        <f>PRODUCT(Table15[[#This Row],[Quantity]],Table15[[#This Row],[Unit_Price]])</f>
        <v>724.31999999999994</v>
      </c>
      <c r="J333" s="9">
        <v>44.97</v>
      </c>
      <c r="K333" s="47">
        <v>199.35</v>
      </c>
      <c r="L333" s="8" t="s">
        <v>19</v>
      </c>
      <c r="M333" s="8" t="s">
        <v>20</v>
      </c>
      <c r="N333" s="8" t="s">
        <v>28</v>
      </c>
      <c r="O333" s="91">
        <f>VLOOKUP(E333,Product_Master!$B$2:$F$11,5,FALSE)</f>
        <v>20</v>
      </c>
      <c r="P333" s="91">
        <f>PRODUCT(Table15[[#This Row],[Quantity]],Table15[[#This Row],[Unit_Cost]])</f>
        <v>480</v>
      </c>
      <c r="Q333" s="72">
        <f>(Table15[[#This Row],[Profit]]/Table15[[#This Row],[Total_Sales]])</f>
        <v>0.27522365805168986</v>
      </c>
      <c r="R333" s="22"/>
      <c r="S333" s="22"/>
      <c r="T333" s="22"/>
      <c r="U333" s="22"/>
    </row>
    <row r="334" spans="1:21" x14ac:dyDescent="0.25">
      <c r="A334" s="7" t="s">
        <v>486</v>
      </c>
      <c r="B334" s="16">
        <v>45692</v>
      </c>
      <c r="C334" s="8" t="s">
        <v>110</v>
      </c>
      <c r="D334" s="8" t="str">
        <f>PROPER(TRIM(Sales_Data!D334))</f>
        <v>Japan</v>
      </c>
      <c r="E334" s="8" t="s">
        <v>60</v>
      </c>
      <c r="F334" s="8" t="s">
        <v>52</v>
      </c>
      <c r="G334" s="91">
        <v>44</v>
      </c>
      <c r="H334" s="9">
        <v>20.02</v>
      </c>
      <c r="I334" s="87">
        <f>PRODUCT(Table15[[#This Row],[Quantity]],Table15[[#This Row],[Unit_Price]])</f>
        <v>880.88</v>
      </c>
      <c r="J334" s="9">
        <v>60.27</v>
      </c>
      <c r="K334" s="47">
        <v>138.61000000000001</v>
      </c>
      <c r="L334" s="8" t="s">
        <v>26</v>
      </c>
      <c r="M334" s="8" t="s">
        <v>27</v>
      </c>
      <c r="N334" s="8" t="s">
        <v>58</v>
      </c>
      <c r="O334" s="91">
        <f>VLOOKUP(E334,Product_Master!$B$2:$F$11,5,FALSE)</f>
        <v>15.5</v>
      </c>
      <c r="P334" s="91">
        <f>PRODUCT(Table15[[#This Row],[Quantity]],Table15[[#This Row],[Unit_Cost]])</f>
        <v>682</v>
      </c>
      <c r="Q334" s="72">
        <f>(Table15[[#This Row],[Profit]]/Table15[[#This Row],[Total_Sales]])</f>
        <v>0.15735400962673693</v>
      </c>
      <c r="R334" s="22"/>
      <c r="S334" s="22"/>
      <c r="T334" s="22"/>
      <c r="U334" s="22"/>
    </row>
    <row r="335" spans="1:21" x14ac:dyDescent="0.25">
      <c r="A335" s="7" t="s">
        <v>487</v>
      </c>
      <c r="B335" s="16">
        <v>45522</v>
      </c>
      <c r="C335" s="8" t="s">
        <v>108</v>
      </c>
      <c r="D335" s="8" t="str">
        <f>PROPER(TRIM(Sales_Data!D335))</f>
        <v>Uk</v>
      </c>
      <c r="E335" s="8" t="s">
        <v>48</v>
      </c>
      <c r="F335" s="8" t="s">
        <v>37</v>
      </c>
      <c r="G335" s="91">
        <v>12</v>
      </c>
      <c r="H335" s="9">
        <v>27.45</v>
      </c>
      <c r="I335" s="87">
        <f>PRODUCT(Table15[[#This Row],[Quantity]],Table15[[#This Row],[Unit_Price]])</f>
        <v>329.4</v>
      </c>
      <c r="J335" s="9">
        <v>13.22</v>
      </c>
      <c r="K335" s="47">
        <v>76.180000000000007</v>
      </c>
      <c r="L335" s="8" t="s">
        <v>38</v>
      </c>
      <c r="M335" s="8" t="s">
        <v>32</v>
      </c>
      <c r="N335" s="8" t="s">
        <v>28</v>
      </c>
      <c r="O335" s="91">
        <f>VLOOKUP(E335,Product_Master!$B$2:$F$11,5,FALSE)</f>
        <v>20</v>
      </c>
      <c r="P335" s="91">
        <f>PRODUCT(Table15[[#This Row],[Quantity]],Table15[[#This Row],[Unit_Cost]])</f>
        <v>240</v>
      </c>
      <c r="Q335" s="72">
        <f>(Table15[[#This Row],[Profit]]/Table15[[#This Row],[Total_Sales]])</f>
        <v>0.23126897389192475</v>
      </c>
      <c r="R335" s="22"/>
      <c r="S335" s="22"/>
      <c r="T335" s="22"/>
      <c r="U335" s="22"/>
    </row>
    <row r="336" spans="1:21" x14ac:dyDescent="0.25">
      <c r="A336" s="7" t="s">
        <v>488</v>
      </c>
      <c r="B336" s="16">
        <v>45614</v>
      </c>
      <c r="C336" s="8" t="s">
        <v>89</v>
      </c>
      <c r="D336" s="8" t="str">
        <f>PROPER(TRIM(Sales_Data!D336))</f>
        <v>South Africa</v>
      </c>
      <c r="E336" s="8" t="s">
        <v>48</v>
      </c>
      <c r="F336" s="8" t="s">
        <v>37</v>
      </c>
      <c r="G336" s="91">
        <v>26</v>
      </c>
      <c r="H336" s="9">
        <v>30.57</v>
      </c>
      <c r="I336" s="87">
        <f>PRODUCT(Table15[[#This Row],[Quantity]],Table15[[#This Row],[Unit_Price]])</f>
        <v>794.82</v>
      </c>
      <c r="J336" s="9">
        <v>19.45</v>
      </c>
      <c r="K336" s="47">
        <v>255.37</v>
      </c>
      <c r="L336" s="8" t="s">
        <v>38</v>
      </c>
      <c r="M336" s="8" t="s">
        <v>27</v>
      </c>
      <c r="N336" s="8" t="s">
        <v>87</v>
      </c>
      <c r="O336" s="91">
        <f>VLOOKUP(E336,Product_Master!$B$2:$F$11,5,FALSE)</f>
        <v>20</v>
      </c>
      <c r="P336" s="91">
        <f>PRODUCT(Table15[[#This Row],[Quantity]],Table15[[#This Row],[Unit_Cost]])</f>
        <v>520</v>
      </c>
      <c r="Q336" s="72">
        <f>(Table15[[#This Row],[Profit]]/Table15[[#This Row],[Total_Sales]])</f>
        <v>0.32129287134193907</v>
      </c>
      <c r="R336" s="22"/>
      <c r="S336" s="22"/>
      <c r="T336" s="22"/>
      <c r="U336" s="22"/>
    </row>
    <row r="337" spans="1:21" x14ac:dyDescent="0.25">
      <c r="A337" s="7" t="s">
        <v>489</v>
      </c>
      <c r="B337" s="16">
        <v>45539</v>
      </c>
      <c r="C337" s="8" t="s">
        <v>115</v>
      </c>
      <c r="D337" s="8" t="str">
        <f>PROPER(TRIM(Sales_Data!D337))</f>
        <v>Japan</v>
      </c>
      <c r="E337" s="8" t="s">
        <v>56</v>
      </c>
      <c r="F337" s="8" t="s">
        <v>57</v>
      </c>
      <c r="G337" s="91">
        <v>46</v>
      </c>
      <c r="H337" s="9">
        <v>32.19</v>
      </c>
      <c r="I337" s="87">
        <f>PRODUCT(Table15[[#This Row],[Quantity]],Table15[[#This Row],[Unit_Price]])</f>
        <v>1480.7399999999998</v>
      </c>
      <c r="J337" s="9">
        <v>111.13</v>
      </c>
      <c r="K337" s="47">
        <v>219.61</v>
      </c>
      <c r="L337" s="8" t="s">
        <v>38</v>
      </c>
      <c r="M337" s="8" t="s">
        <v>27</v>
      </c>
      <c r="N337" s="8" t="s">
        <v>58</v>
      </c>
      <c r="O337" s="91">
        <f>VLOOKUP(E337,Product_Master!$B$2:$F$11,5,FALSE)</f>
        <v>25</v>
      </c>
      <c r="P337" s="91">
        <f>PRODUCT(Table15[[#This Row],[Quantity]],Table15[[#This Row],[Unit_Cost]])</f>
        <v>1150</v>
      </c>
      <c r="Q337" s="72">
        <f>(Table15[[#This Row],[Profit]]/Table15[[#This Row],[Total_Sales]])</f>
        <v>0.14831097964531251</v>
      </c>
      <c r="R337" s="22"/>
      <c r="S337" s="22"/>
      <c r="T337" s="22"/>
      <c r="U337" s="22"/>
    </row>
    <row r="338" spans="1:21" x14ac:dyDescent="0.25">
      <c r="A338" s="7" t="s">
        <v>490</v>
      </c>
      <c r="B338" s="16">
        <v>45734</v>
      </c>
      <c r="C338" s="8" t="s">
        <v>85</v>
      </c>
      <c r="D338" s="8" t="str">
        <f>PROPER(TRIM(Sales_Data!D338))</f>
        <v>Singapore</v>
      </c>
      <c r="E338" s="8" t="s">
        <v>25</v>
      </c>
      <c r="F338" s="8" t="s">
        <v>18</v>
      </c>
      <c r="G338" s="91">
        <v>20</v>
      </c>
      <c r="H338" s="9">
        <v>31.79</v>
      </c>
      <c r="I338" s="87">
        <f>PRODUCT(Table15[[#This Row],[Quantity]],Table15[[#This Row],[Unit_Price]])</f>
        <v>635.79999999999995</v>
      </c>
      <c r="J338" s="9">
        <v>38.43</v>
      </c>
      <c r="K338" s="47">
        <v>237.37</v>
      </c>
      <c r="L338" s="8" t="s">
        <v>19</v>
      </c>
      <c r="M338" s="8" t="s">
        <v>27</v>
      </c>
      <c r="N338" s="8" t="s">
        <v>58</v>
      </c>
      <c r="O338" s="91">
        <f>VLOOKUP(E338,Product_Master!$B$2:$F$11,5,FALSE)</f>
        <v>18</v>
      </c>
      <c r="P338" s="91">
        <f>PRODUCT(Table15[[#This Row],[Quantity]],Table15[[#This Row],[Unit_Cost]])</f>
        <v>360</v>
      </c>
      <c r="Q338" s="72">
        <f>(Table15[[#This Row],[Profit]]/Table15[[#This Row],[Total_Sales]])</f>
        <v>0.37334067316766284</v>
      </c>
      <c r="R338" s="22"/>
      <c r="S338" s="22"/>
      <c r="T338" s="22"/>
      <c r="U338" s="22"/>
    </row>
    <row r="339" spans="1:21" x14ac:dyDescent="0.25">
      <c r="A339" s="7" t="s">
        <v>491</v>
      </c>
      <c r="B339" s="16">
        <v>45735</v>
      </c>
      <c r="C339" s="8" t="s">
        <v>15</v>
      </c>
      <c r="D339" s="8" t="str">
        <f>PROPER(TRIM(Sales_Data!D339))</f>
        <v>Australia</v>
      </c>
      <c r="E339" s="8" t="s">
        <v>25</v>
      </c>
      <c r="F339" s="8" t="s">
        <v>18</v>
      </c>
      <c r="G339" s="91">
        <v>8</v>
      </c>
      <c r="H339" s="9">
        <v>28.94</v>
      </c>
      <c r="I339" s="87">
        <f>PRODUCT(Table15[[#This Row],[Quantity]],Table15[[#This Row],[Unit_Price]])</f>
        <v>231.52</v>
      </c>
      <c r="J339" s="9">
        <v>7</v>
      </c>
      <c r="K339" s="47">
        <v>80.52</v>
      </c>
      <c r="L339" s="8" t="s">
        <v>38</v>
      </c>
      <c r="M339" s="8" t="s">
        <v>27</v>
      </c>
      <c r="N339" s="8" t="s">
        <v>130</v>
      </c>
      <c r="O339" s="91">
        <f>VLOOKUP(E339,Product_Master!$B$2:$F$11,5,FALSE)</f>
        <v>18</v>
      </c>
      <c r="P339" s="91">
        <f>PRODUCT(Table15[[#This Row],[Quantity]],Table15[[#This Row],[Unit_Cost]])</f>
        <v>144</v>
      </c>
      <c r="Q339" s="72">
        <f>(Table15[[#This Row],[Profit]]/Table15[[#This Row],[Total_Sales]])</f>
        <v>0.34778852798894261</v>
      </c>
      <c r="R339" s="22"/>
      <c r="S339" s="22"/>
      <c r="T339" s="22"/>
      <c r="U339" s="22"/>
    </row>
    <row r="340" spans="1:21" x14ac:dyDescent="0.25">
      <c r="A340" s="7" t="s">
        <v>492</v>
      </c>
      <c r="B340" s="16">
        <v>45577</v>
      </c>
      <c r="C340" s="8" t="s">
        <v>211</v>
      </c>
      <c r="D340" s="8" t="str">
        <f>PROPER(TRIM(Sales_Data!D340))</f>
        <v>France</v>
      </c>
      <c r="E340" s="8" t="s">
        <v>25</v>
      </c>
      <c r="F340" s="8" t="s">
        <v>18</v>
      </c>
      <c r="G340" s="91">
        <v>40</v>
      </c>
      <c r="H340" s="9">
        <v>30.66</v>
      </c>
      <c r="I340" s="87">
        <f>PRODUCT(Table15[[#This Row],[Quantity]],Table15[[#This Row],[Unit_Price]])</f>
        <v>1226.4000000000001</v>
      </c>
      <c r="J340" s="9">
        <v>85.24</v>
      </c>
      <c r="K340" s="47">
        <v>421.16</v>
      </c>
      <c r="L340" s="8" t="s">
        <v>19</v>
      </c>
      <c r="M340" s="8" t="s">
        <v>20</v>
      </c>
      <c r="N340" s="8" t="s">
        <v>28</v>
      </c>
      <c r="O340" s="91">
        <f>VLOOKUP(E340,Product_Master!$B$2:$F$11,5,FALSE)</f>
        <v>18</v>
      </c>
      <c r="P340" s="91">
        <f>PRODUCT(Table15[[#This Row],[Quantity]],Table15[[#This Row],[Unit_Cost]])</f>
        <v>720</v>
      </c>
      <c r="Q340" s="72">
        <f>(Table15[[#This Row],[Profit]]/Table15[[#This Row],[Total_Sales]])</f>
        <v>0.34341161121983038</v>
      </c>
      <c r="R340" s="22"/>
      <c r="S340" s="22"/>
      <c r="T340" s="22"/>
      <c r="U340" s="22"/>
    </row>
    <row r="341" spans="1:21" x14ac:dyDescent="0.25">
      <c r="A341" s="7" t="s">
        <v>493</v>
      </c>
      <c r="B341" s="16">
        <v>45724</v>
      </c>
      <c r="C341" s="8" t="s">
        <v>342</v>
      </c>
      <c r="D341" s="8" t="str">
        <f>PROPER(TRIM(Sales_Data!D341))</f>
        <v>Australia</v>
      </c>
      <c r="E341" s="8" t="s">
        <v>36</v>
      </c>
      <c r="F341" s="8" t="s">
        <v>37</v>
      </c>
      <c r="G341" s="91">
        <v>44</v>
      </c>
      <c r="H341" s="9">
        <v>54.09</v>
      </c>
      <c r="I341" s="87">
        <f>PRODUCT(Table15[[#This Row],[Quantity]],Table15[[#This Row],[Unit_Price]])</f>
        <v>2379.96</v>
      </c>
      <c r="J341" s="9">
        <v>106.39</v>
      </c>
      <c r="K341" s="47">
        <v>865.57</v>
      </c>
      <c r="L341" s="8" t="s">
        <v>19</v>
      </c>
      <c r="M341" s="8" t="s">
        <v>27</v>
      </c>
      <c r="N341" s="8" t="s">
        <v>130</v>
      </c>
      <c r="O341" s="91">
        <f>VLOOKUP(E341,Product_Master!$B$2:$F$11,5,FALSE)</f>
        <v>32</v>
      </c>
      <c r="P341" s="91">
        <f>PRODUCT(Table15[[#This Row],[Quantity]],Table15[[#This Row],[Unit_Cost]])</f>
        <v>1408</v>
      </c>
      <c r="Q341" s="72">
        <f>(Table15[[#This Row],[Profit]]/Table15[[#This Row],[Total_Sales]])</f>
        <v>0.36369098640313285</v>
      </c>
      <c r="R341" s="22"/>
      <c r="S341" s="22"/>
      <c r="T341" s="22"/>
      <c r="U341" s="22"/>
    </row>
    <row r="342" spans="1:21" x14ac:dyDescent="0.25">
      <c r="A342" s="7" t="s">
        <v>494</v>
      </c>
      <c r="B342" s="16">
        <v>45707</v>
      </c>
      <c r="C342" s="8" t="s">
        <v>110</v>
      </c>
      <c r="D342" s="8" t="str">
        <f>PROPER(TRIM(Sales_Data!D342))</f>
        <v>Singapore</v>
      </c>
      <c r="E342" s="8" t="s">
        <v>43</v>
      </c>
      <c r="F342" s="8" t="s">
        <v>44</v>
      </c>
      <c r="G342" s="91">
        <v>32</v>
      </c>
      <c r="H342" s="9">
        <v>68.89</v>
      </c>
      <c r="I342" s="87">
        <f>PRODUCT(Table15[[#This Row],[Quantity]],Table15[[#This Row],[Unit_Price]])</f>
        <v>2204.48</v>
      </c>
      <c r="J342" s="9">
        <v>152.05000000000001</v>
      </c>
      <c r="K342" s="47">
        <v>772.43</v>
      </c>
      <c r="L342" s="8" t="s">
        <v>19</v>
      </c>
      <c r="M342" s="8" t="s">
        <v>27</v>
      </c>
      <c r="N342" s="8" t="s">
        <v>58</v>
      </c>
      <c r="O342" s="91">
        <f>VLOOKUP(E342,Product_Master!$B$2:$F$11,5,FALSE)</f>
        <v>40</v>
      </c>
      <c r="P342" s="91">
        <f>PRODUCT(Table15[[#This Row],[Quantity]],Table15[[#This Row],[Unit_Cost]])</f>
        <v>1280</v>
      </c>
      <c r="Q342" s="72">
        <f>(Table15[[#This Row],[Profit]]/Table15[[#This Row],[Total_Sales]])</f>
        <v>0.35039102191900129</v>
      </c>
      <c r="R342" s="22"/>
      <c r="S342" s="22"/>
      <c r="T342" s="22"/>
      <c r="U342" s="22"/>
    </row>
    <row r="343" spans="1:21" x14ac:dyDescent="0.25">
      <c r="A343" s="7" t="s">
        <v>495</v>
      </c>
      <c r="B343" s="16">
        <v>45423</v>
      </c>
      <c r="C343" s="8" t="s">
        <v>465</v>
      </c>
      <c r="D343" s="8" t="str">
        <f>PROPER(TRIM(Sales_Data!D343))</f>
        <v>India</v>
      </c>
      <c r="E343" s="8" t="s">
        <v>17</v>
      </c>
      <c r="F343" s="8" t="s">
        <v>18</v>
      </c>
      <c r="G343" s="91">
        <v>44</v>
      </c>
      <c r="H343" s="9">
        <v>43.35</v>
      </c>
      <c r="I343" s="87">
        <f>PRODUCT(Table15[[#This Row],[Quantity]],Table15[[#This Row],[Unit_Price]])</f>
        <v>1907.4</v>
      </c>
      <c r="J343" s="9">
        <v>99.05</v>
      </c>
      <c r="K343" s="47">
        <v>268.35000000000002</v>
      </c>
      <c r="L343" s="8" t="s">
        <v>38</v>
      </c>
      <c r="M343" s="8" t="s">
        <v>27</v>
      </c>
      <c r="N343" s="8" t="s">
        <v>58</v>
      </c>
      <c r="O343" s="91">
        <f>VLOOKUP(E343,Product_Master!$B$2:$F$11,5,FALSE)</f>
        <v>35</v>
      </c>
      <c r="P343" s="91">
        <f>PRODUCT(Table15[[#This Row],[Quantity]],Table15[[#This Row],[Unit_Cost]])</f>
        <v>1540</v>
      </c>
      <c r="Q343" s="72">
        <f>(Table15[[#This Row],[Profit]]/Table15[[#This Row],[Total_Sales]])</f>
        <v>0.1406888958792073</v>
      </c>
      <c r="R343" s="22"/>
      <c r="S343" s="22"/>
      <c r="T343" s="22"/>
      <c r="U343" s="22"/>
    </row>
    <row r="344" spans="1:21" x14ac:dyDescent="0.25">
      <c r="A344" s="7" t="s">
        <v>496</v>
      </c>
      <c r="B344" s="16">
        <v>45490</v>
      </c>
      <c r="C344" s="8" t="s">
        <v>23</v>
      </c>
      <c r="D344" s="8" t="str">
        <f>PROPER(TRIM(Sales_Data!D344))</f>
        <v>Mexico</v>
      </c>
      <c r="E344" s="8" t="s">
        <v>83</v>
      </c>
      <c r="F344" s="8" t="s">
        <v>52</v>
      </c>
      <c r="G344" s="91">
        <v>24</v>
      </c>
      <c r="H344" s="9">
        <v>34</v>
      </c>
      <c r="I344" s="87">
        <f>PRODUCT(Table15[[#This Row],[Quantity]],Table15[[#This Row],[Unit_Price]])</f>
        <v>816</v>
      </c>
      <c r="J344" s="9">
        <v>42.15</v>
      </c>
      <c r="K344" s="47">
        <v>101.85</v>
      </c>
      <c r="L344" s="8" t="s">
        <v>38</v>
      </c>
      <c r="M344" s="8" t="s">
        <v>20</v>
      </c>
      <c r="N344" s="8" t="s">
        <v>21</v>
      </c>
      <c r="O344" s="91">
        <f>VLOOKUP(E344,Product_Master!$B$2:$F$11,5,FALSE)</f>
        <v>28</v>
      </c>
      <c r="P344" s="91">
        <f>PRODUCT(Table15[[#This Row],[Quantity]],Table15[[#This Row],[Unit_Cost]])</f>
        <v>672</v>
      </c>
      <c r="Q344" s="72">
        <f>(Table15[[#This Row],[Profit]]/Table15[[#This Row],[Total_Sales]])</f>
        <v>0.12481617647058822</v>
      </c>
      <c r="R344" s="22"/>
      <c r="S344" s="22"/>
      <c r="T344" s="22"/>
      <c r="U344" s="22"/>
    </row>
    <row r="345" spans="1:21" x14ac:dyDescent="0.25">
      <c r="A345" s="7" t="s">
        <v>497</v>
      </c>
      <c r="B345" s="16">
        <v>45347</v>
      </c>
      <c r="C345" s="8" t="s">
        <v>149</v>
      </c>
      <c r="D345" s="8" t="str">
        <f>PROPER(TRIM(Sales_Data!D345))</f>
        <v>China</v>
      </c>
      <c r="E345" s="8" t="s">
        <v>25</v>
      </c>
      <c r="F345" s="8" t="s">
        <v>18</v>
      </c>
      <c r="G345" s="91">
        <v>41</v>
      </c>
      <c r="H345" s="9">
        <v>30.25</v>
      </c>
      <c r="I345" s="87">
        <f>PRODUCT(Table15[[#This Row],[Quantity]],Table15[[#This Row],[Unit_Price]])</f>
        <v>1240.25</v>
      </c>
      <c r="J345" s="9">
        <v>92.86</v>
      </c>
      <c r="K345" s="47">
        <v>409.39</v>
      </c>
      <c r="L345" s="8" t="s">
        <v>19</v>
      </c>
      <c r="M345" s="8" t="s">
        <v>20</v>
      </c>
      <c r="N345" s="8" t="s">
        <v>58</v>
      </c>
      <c r="O345" s="91">
        <f>VLOOKUP(E345,Product_Master!$B$2:$F$11,5,FALSE)</f>
        <v>18</v>
      </c>
      <c r="P345" s="91">
        <f>PRODUCT(Table15[[#This Row],[Quantity]],Table15[[#This Row],[Unit_Cost]])</f>
        <v>738</v>
      </c>
      <c r="Q345" s="72">
        <f>(Table15[[#This Row],[Profit]]/Table15[[#This Row],[Total_Sales]])</f>
        <v>0.33008667607337228</v>
      </c>
      <c r="R345" s="22"/>
      <c r="S345" s="22"/>
      <c r="T345" s="22"/>
      <c r="U345" s="22"/>
    </row>
    <row r="346" spans="1:21" x14ac:dyDescent="0.25">
      <c r="A346" s="7" t="s">
        <v>498</v>
      </c>
      <c r="B346" s="16">
        <v>45740</v>
      </c>
      <c r="C346" s="8" t="s">
        <v>15</v>
      </c>
      <c r="D346" s="8" t="str">
        <f>PROPER(TRIM(Sales_Data!D346))</f>
        <v>South Africa</v>
      </c>
      <c r="E346" s="8" t="s">
        <v>60</v>
      </c>
      <c r="F346" s="8" t="s">
        <v>52</v>
      </c>
      <c r="G346" s="91">
        <v>15</v>
      </c>
      <c r="H346" s="9">
        <v>23.71</v>
      </c>
      <c r="I346" s="87">
        <f>PRODUCT(Table15[[#This Row],[Quantity]],Table15[[#This Row],[Unit_Price]])</f>
        <v>355.65000000000003</v>
      </c>
      <c r="J346" s="9">
        <v>7.22</v>
      </c>
      <c r="K346" s="47">
        <v>115.93</v>
      </c>
      <c r="L346" s="8" t="s">
        <v>26</v>
      </c>
      <c r="M346" s="8" t="s">
        <v>27</v>
      </c>
      <c r="N346" s="8" t="s">
        <v>87</v>
      </c>
      <c r="O346" s="91">
        <f>VLOOKUP(E346,Product_Master!$B$2:$F$11,5,FALSE)</f>
        <v>15.5</v>
      </c>
      <c r="P346" s="91">
        <f>PRODUCT(Table15[[#This Row],[Quantity]],Table15[[#This Row],[Unit_Cost]])</f>
        <v>232.5</v>
      </c>
      <c r="Q346" s="72">
        <f>(Table15[[#This Row],[Profit]]/Table15[[#This Row],[Total_Sales]])</f>
        <v>0.32596654013777587</v>
      </c>
      <c r="R346" s="22"/>
      <c r="S346" s="22"/>
      <c r="T346" s="22"/>
      <c r="U346" s="22"/>
    </row>
    <row r="347" spans="1:21" x14ac:dyDescent="0.25">
      <c r="A347" s="7" t="s">
        <v>499</v>
      </c>
      <c r="B347" s="16">
        <v>45518</v>
      </c>
      <c r="C347" s="8" t="s">
        <v>123</v>
      </c>
      <c r="D347" s="8" t="str">
        <f>PROPER(TRIM(Sales_Data!D347))</f>
        <v>Singapore</v>
      </c>
      <c r="E347" s="8" t="s">
        <v>36</v>
      </c>
      <c r="F347" s="8" t="s">
        <v>37</v>
      </c>
      <c r="G347" s="91">
        <v>33</v>
      </c>
      <c r="H347" s="9">
        <v>48.64</v>
      </c>
      <c r="I347" s="87">
        <f>PRODUCT(Table15[[#This Row],[Quantity]],Table15[[#This Row],[Unit_Price]])</f>
        <v>1605.1200000000001</v>
      </c>
      <c r="J347" s="9">
        <v>98.71</v>
      </c>
      <c r="K347" s="47">
        <v>450.41</v>
      </c>
      <c r="L347" s="8" t="s">
        <v>19</v>
      </c>
      <c r="M347" s="8" t="s">
        <v>27</v>
      </c>
      <c r="N347" s="8" t="s">
        <v>58</v>
      </c>
      <c r="O347" s="91">
        <f>VLOOKUP(E347,Product_Master!$B$2:$F$11,5,FALSE)</f>
        <v>32</v>
      </c>
      <c r="P347" s="91">
        <f>PRODUCT(Table15[[#This Row],[Quantity]],Table15[[#This Row],[Unit_Cost]])</f>
        <v>1056</v>
      </c>
      <c r="Q347" s="72">
        <f>(Table15[[#This Row],[Profit]]/Table15[[#This Row],[Total_Sales]])</f>
        <v>0.28060830342902709</v>
      </c>
      <c r="R347" s="22"/>
      <c r="S347" s="22"/>
      <c r="T347" s="22"/>
      <c r="U347" s="22"/>
    </row>
    <row r="348" spans="1:21" x14ac:dyDescent="0.25">
      <c r="A348" s="7" t="s">
        <v>500</v>
      </c>
      <c r="B348" s="16">
        <v>45387</v>
      </c>
      <c r="C348" s="8" t="s">
        <v>34</v>
      </c>
      <c r="D348" s="8" t="str">
        <f>PROPER(TRIM(Sales_Data!D348))</f>
        <v>Germany</v>
      </c>
      <c r="E348" s="8" t="s">
        <v>17</v>
      </c>
      <c r="F348" s="8" t="s">
        <v>18</v>
      </c>
      <c r="G348" s="91">
        <v>7</v>
      </c>
      <c r="H348" s="9">
        <v>50.94</v>
      </c>
      <c r="I348" s="87">
        <f>PRODUCT(Table15[[#This Row],[Quantity]],Table15[[#This Row],[Unit_Price]])</f>
        <v>356.58</v>
      </c>
      <c r="J348" s="9">
        <v>11.19</v>
      </c>
      <c r="K348" s="47">
        <v>100.39</v>
      </c>
      <c r="L348" s="8" t="s">
        <v>26</v>
      </c>
      <c r="M348" s="8" t="s">
        <v>20</v>
      </c>
      <c r="N348" s="8" t="s">
        <v>28</v>
      </c>
      <c r="O348" s="91">
        <f>VLOOKUP(E348,Product_Master!$B$2:$F$11,5,FALSE)</f>
        <v>35</v>
      </c>
      <c r="P348" s="91">
        <f>PRODUCT(Table15[[#This Row],[Quantity]],Table15[[#This Row],[Unit_Cost]])</f>
        <v>245</v>
      </c>
      <c r="Q348" s="72">
        <f>(Table15[[#This Row],[Profit]]/Table15[[#This Row],[Total_Sales]])</f>
        <v>0.28153570026361546</v>
      </c>
      <c r="R348" s="22"/>
      <c r="S348" s="22"/>
      <c r="T348" s="22"/>
      <c r="U348" s="22"/>
    </row>
    <row r="349" spans="1:21" x14ac:dyDescent="0.25">
      <c r="A349" s="7" t="s">
        <v>501</v>
      </c>
      <c r="B349" s="16">
        <v>45669</v>
      </c>
      <c r="C349" s="8" t="s">
        <v>204</v>
      </c>
      <c r="D349" s="8" t="str">
        <f>PROPER(TRIM(Sales_Data!D349))</f>
        <v>Australia</v>
      </c>
      <c r="E349" s="8" t="s">
        <v>48</v>
      </c>
      <c r="F349" s="8" t="s">
        <v>37</v>
      </c>
      <c r="G349" s="91">
        <v>1</v>
      </c>
      <c r="H349" s="9">
        <v>31.4</v>
      </c>
      <c r="I349" s="87">
        <f>PRODUCT(Table15[[#This Row],[Quantity]],Table15[[#This Row],[Unit_Price]])</f>
        <v>31.4</v>
      </c>
      <c r="J349" s="9">
        <v>1.1399999999999999</v>
      </c>
      <c r="K349" s="47">
        <v>10.26</v>
      </c>
      <c r="L349" s="8" t="s">
        <v>38</v>
      </c>
      <c r="M349" s="8" t="s">
        <v>27</v>
      </c>
      <c r="N349" s="8" t="s">
        <v>130</v>
      </c>
      <c r="O349" s="91">
        <f>VLOOKUP(E349,Product_Master!$B$2:$F$11,5,FALSE)</f>
        <v>20</v>
      </c>
      <c r="P349" s="91">
        <f>PRODUCT(Table15[[#This Row],[Quantity]],Table15[[#This Row],[Unit_Cost]])</f>
        <v>20</v>
      </c>
      <c r="Q349" s="72">
        <f>(Table15[[#This Row],[Profit]]/Table15[[#This Row],[Total_Sales]])</f>
        <v>0.32675159235668788</v>
      </c>
      <c r="R349" s="22"/>
      <c r="S349" s="22"/>
      <c r="T349" s="22"/>
      <c r="U349" s="22"/>
    </row>
    <row r="350" spans="1:21" x14ac:dyDescent="0.25">
      <c r="A350" s="7" t="s">
        <v>502</v>
      </c>
      <c r="B350" s="16">
        <v>45484</v>
      </c>
      <c r="C350" s="8" t="s">
        <v>199</v>
      </c>
      <c r="D350" s="8" t="str">
        <f>PROPER(TRIM(Sales_Data!D350))</f>
        <v>Italy</v>
      </c>
      <c r="E350" s="8" t="s">
        <v>63</v>
      </c>
      <c r="F350" s="8" t="s">
        <v>37</v>
      </c>
      <c r="G350" s="91">
        <v>28</v>
      </c>
      <c r="H350" s="9">
        <v>18.59</v>
      </c>
      <c r="I350" s="87">
        <f>PRODUCT(Table15[[#This Row],[Quantity]],Table15[[#This Row],[Unit_Price]])</f>
        <v>520.52</v>
      </c>
      <c r="J350" s="9">
        <v>14.08</v>
      </c>
      <c r="K350" s="47">
        <v>149.44</v>
      </c>
      <c r="L350" s="8" t="s">
        <v>19</v>
      </c>
      <c r="M350" s="8" t="s">
        <v>20</v>
      </c>
      <c r="N350" s="8" t="s">
        <v>28</v>
      </c>
      <c r="O350" s="91">
        <f>VLOOKUP(E350,Product_Master!$B$2:$F$11,5,FALSE)</f>
        <v>12.75</v>
      </c>
      <c r="P350" s="91">
        <f>PRODUCT(Table15[[#This Row],[Quantity]],Table15[[#This Row],[Unit_Cost]])</f>
        <v>357</v>
      </c>
      <c r="Q350" s="72">
        <f>(Table15[[#This Row],[Profit]]/Table15[[#This Row],[Total_Sales]])</f>
        <v>0.28709751786674864</v>
      </c>
      <c r="R350" s="22"/>
      <c r="S350" s="22"/>
      <c r="T350" s="22"/>
      <c r="U350" s="22"/>
    </row>
    <row r="351" spans="1:21" x14ac:dyDescent="0.25">
      <c r="A351" s="7" t="s">
        <v>503</v>
      </c>
      <c r="B351" s="16">
        <v>45722</v>
      </c>
      <c r="C351" s="8" t="s">
        <v>504</v>
      </c>
      <c r="D351" s="8" t="str">
        <f>PROPER(TRIM(Sales_Data!D351))</f>
        <v>France</v>
      </c>
      <c r="E351" s="8" t="s">
        <v>60</v>
      </c>
      <c r="F351" s="8" t="s">
        <v>52</v>
      </c>
      <c r="G351" s="91">
        <v>50</v>
      </c>
      <c r="H351" s="9">
        <v>20.66</v>
      </c>
      <c r="I351" s="87">
        <f>PRODUCT(Table15[[#This Row],[Quantity]],Table15[[#This Row],[Unit_Price]])</f>
        <v>1033</v>
      </c>
      <c r="J351" s="9">
        <v>34.130000000000003</v>
      </c>
      <c r="K351" s="47">
        <v>223.87</v>
      </c>
      <c r="L351" s="8" t="s">
        <v>38</v>
      </c>
      <c r="M351" s="8" t="s">
        <v>27</v>
      </c>
      <c r="N351" s="8" t="s">
        <v>28</v>
      </c>
      <c r="O351" s="91">
        <f>VLOOKUP(E351,Product_Master!$B$2:$F$11,5,FALSE)</f>
        <v>15.5</v>
      </c>
      <c r="P351" s="91">
        <f>PRODUCT(Table15[[#This Row],[Quantity]],Table15[[#This Row],[Unit_Cost]])</f>
        <v>775</v>
      </c>
      <c r="Q351" s="72">
        <f>(Table15[[#This Row],[Profit]]/Table15[[#This Row],[Total_Sales]])</f>
        <v>0.21671829622458857</v>
      </c>
      <c r="R351" s="22"/>
      <c r="S351" s="22"/>
      <c r="T351" s="22"/>
      <c r="U351" s="22"/>
    </row>
    <row r="352" spans="1:21" x14ac:dyDescent="0.25">
      <c r="A352" s="7" t="s">
        <v>505</v>
      </c>
      <c r="B352" s="16">
        <v>45685</v>
      </c>
      <c r="C352" s="8" t="s">
        <v>156</v>
      </c>
      <c r="D352" s="8" t="str">
        <f>PROPER(TRIM(Sales_Data!D352))</f>
        <v>China</v>
      </c>
      <c r="E352" s="8" t="s">
        <v>17</v>
      </c>
      <c r="F352" s="8" t="s">
        <v>18</v>
      </c>
      <c r="G352" s="91">
        <v>4</v>
      </c>
      <c r="H352" s="9">
        <v>46.62</v>
      </c>
      <c r="I352" s="87">
        <f>PRODUCT(Table15[[#This Row],[Quantity]],Table15[[#This Row],[Unit_Price]])</f>
        <v>186.48</v>
      </c>
      <c r="J352" s="9">
        <v>13.29</v>
      </c>
      <c r="K352" s="47">
        <v>33.19</v>
      </c>
      <c r="L352" s="8" t="s">
        <v>26</v>
      </c>
      <c r="M352" s="8" t="s">
        <v>20</v>
      </c>
      <c r="N352" s="8" t="s">
        <v>58</v>
      </c>
      <c r="O352" s="91">
        <f>VLOOKUP(E352,Product_Master!$B$2:$F$11,5,FALSE)</f>
        <v>35</v>
      </c>
      <c r="P352" s="91">
        <f>PRODUCT(Table15[[#This Row],[Quantity]],Table15[[#This Row],[Unit_Cost]])</f>
        <v>140</v>
      </c>
      <c r="Q352" s="72">
        <f>(Table15[[#This Row],[Profit]]/Table15[[#This Row],[Total_Sales]])</f>
        <v>0.17798155298155299</v>
      </c>
      <c r="R352" s="22"/>
      <c r="S352" s="22"/>
      <c r="T352" s="22"/>
      <c r="U352" s="22"/>
    </row>
    <row r="353" spans="1:21" x14ac:dyDescent="0.25">
      <c r="A353" s="7" t="s">
        <v>506</v>
      </c>
      <c r="B353" s="16">
        <v>45685</v>
      </c>
      <c r="C353" s="8" t="s">
        <v>465</v>
      </c>
      <c r="D353" s="8" t="str">
        <f>PROPER(TRIM(Sales_Data!D353))</f>
        <v>South Africa</v>
      </c>
      <c r="E353" s="8" t="s">
        <v>60</v>
      </c>
      <c r="F353" s="8" t="s">
        <v>52</v>
      </c>
      <c r="G353" s="91">
        <v>37</v>
      </c>
      <c r="H353" s="9">
        <v>21.81</v>
      </c>
      <c r="I353" s="87">
        <f>PRODUCT(Table15[[#This Row],[Quantity]],Table15[[#This Row],[Unit_Price]])</f>
        <v>806.96999999999991</v>
      </c>
      <c r="J353" s="9">
        <v>19.63</v>
      </c>
      <c r="K353" s="47">
        <v>213.84</v>
      </c>
      <c r="L353" s="8" t="s">
        <v>38</v>
      </c>
      <c r="M353" s="8" t="s">
        <v>32</v>
      </c>
      <c r="N353" s="8" t="s">
        <v>87</v>
      </c>
      <c r="O353" s="91">
        <f>VLOOKUP(E353,Product_Master!$B$2:$F$11,5,FALSE)</f>
        <v>15.5</v>
      </c>
      <c r="P353" s="91">
        <f>PRODUCT(Table15[[#This Row],[Quantity]],Table15[[#This Row],[Unit_Cost]])</f>
        <v>573.5</v>
      </c>
      <c r="Q353" s="72">
        <f>(Table15[[#This Row],[Profit]]/Table15[[#This Row],[Total_Sales]])</f>
        <v>0.26499126361574782</v>
      </c>
      <c r="R353" s="22"/>
      <c r="S353" s="22"/>
      <c r="T353" s="22"/>
      <c r="U353" s="22"/>
    </row>
    <row r="354" spans="1:21" x14ac:dyDescent="0.25">
      <c r="A354" s="7" t="s">
        <v>507</v>
      </c>
      <c r="B354" s="16">
        <v>45411</v>
      </c>
      <c r="C354" s="8" t="s">
        <v>135</v>
      </c>
      <c r="D354" s="8" t="str">
        <f>PROPER(TRIM(Sales_Data!D354))</f>
        <v>China</v>
      </c>
      <c r="E354" s="8" t="s">
        <v>60</v>
      </c>
      <c r="F354" s="8" t="s">
        <v>52</v>
      </c>
      <c r="G354" s="91">
        <v>48</v>
      </c>
      <c r="H354" s="9">
        <v>26.68</v>
      </c>
      <c r="I354" s="87">
        <f>PRODUCT(Table15[[#This Row],[Quantity]],Table15[[#This Row],[Unit_Price]])</f>
        <v>1280.6399999999999</v>
      </c>
      <c r="J354" s="9">
        <v>55.36</v>
      </c>
      <c r="K354" s="47">
        <v>481.28</v>
      </c>
      <c r="L354" s="8" t="s">
        <v>19</v>
      </c>
      <c r="M354" s="8" t="s">
        <v>27</v>
      </c>
      <c r="N354" s="8" t="s">
        <v>58</v>
      </c>
      <c r="O354" s="91">
        <f>VLOOKUP(E354,Product_Master!$B$2:$F$11,5,FALSE)</f>
        <v>15.5</v>
      </c>
      <c r="P354" s="91">
        <f>PRODUCT(Table15[[#This Row],[Quantity]],Table15[[#This Row],[Unit_Cost]])</f>
        <v>744</v>
      </c>
      <c r="Q354" s="72">
        <f>(Table15[[#This Row],[Profit]]/Table15[[#This Row],[Total_Sales]])</f>
        <v>0.37581209395302351</v>
      </c>
      <c r="R354" s="22"/>
      <c r="S354" s="22"/>
      <c r="T354" s="22"/>
      <c r="U354" s="22"/>
    </row>
    <row r="355" spans="1:21" x14ac:dyDescent="0.25">
      <c r="A355" s="7" t="s">
        <v>508</v>
      </c>
      <c r="B355" s="16">
        <v>45785</v>
      </c>
      <c r="C355" s="8" t="s">
        <v>119</v>
      </c>
      <c r="D355" s="8" t="str">
        <f>PROPER(TRIM(Sales_Data!D355))</f>
        <v>Brazil</v>
      </c>
      <c r="E355" s="8" t="s">
        <v>56</v>
      </c>
      <c r="F355" s="8" t="s">
        <v>57</v>
      </c>
      <c r="G355" s="91">
        <v>24</v>
      </c>
      <c r="H355" s="9">
        <v>42.82</v>
      </c>
      <c r="I355" s="87">
        <f>PRODUCT(Table15[[#This Row],[Quantity]],Table15[[#This Row],[Unit_Price]])</f>
        <v>1027.68</v>
      </c>
      <c r="J355" s="9">
        <v>69.95</v>
      </c>
      <c r="K355" s="47">
        <v>357.73</v>
      </c>
      <c r="L355" s="8" t="s">
        <v>19</v>
      </c>
      <c r="M355" s="8" t="s">
        <v>20</v>
      </c>
      <c r="N355" s="8" t="s">
        <v>39</v>
      </c>
      <c r="O355" s="91">
        <f>VLOOKUP(E355,Product_Master!$B$2:$F$11,5,FALSE)</f>
        <v>25</v>
      </c>
      <c r="P355" s="91">
        <f>PRODUCT(Table15[[#This Row],[Quantity]],Table15[[#This Row],[Unit_Cost]])</f>
        <v>600</v>
      </c>
      <c r="Q355" s="72">
        <f>(Table15[[#This Row],[Profit]]/Table15[[#This Row],[Total_Sales]])</f>
        <v>0.34809473766152887</v>
      </c>
      <c r="R355" s="22"/>
      <c r="S355" s="22"/>
      <c r="T355" s="22"/>
      <c r="U355" s="22"/>
    </row>
    <row r="356" spans="1:21" x14ac:dyDescent="0.25">
      <c r="A356" s="7" t="s">
        <v>509</v>
      </c>
      <c r="B356" s="16">
        <v>45668</v>
      </c>
      <c r="C356" s="8" t="s">
        <v>121</v>
      </c>
      <c r="D356" s="8" t="str">
        <f>PROPER(TRIM(Sales_Data!D356))</f>
        <v>Australia</v>
      </c>
      <c r="E356" s="8" t="s">
        <v>51</v>
      </c>
      <c r="F356" s="8" t="s">
        <v>52</v>
      </c>
      <c r="G356" s="91">
        <v>26</v>
      </c>
      <c r="H356" s="9">
        <v>34.4</v>
      </c>
      <c r="I356" s="87">
        <f>PRODUCT(Table15[[#This Row],[Quantity]],Table15[[#This Row],[Unit_Price]])</f>
        <v>894.4</v>
      </c>
      <c r="J356" s="9">
        <v>40.42</v>
      </c>
      <c r="K356" s="47">
        <v>268.98</v>
      </c>
      <c r="L356" s="8" t="s">
        <v>19</v>
      </c>
      <c r="M356" s="8" t="s">
        <v>20</v>
      </c>
      <c r="N356" s="8" t="s">
        <v>130</v>
      </c>
      <c r="O356" s="91">
        <f>VLOOKUP(E356,Product_Master!$B$2:$F$11,5,FALSE)</f>
        <v>22.5</v>
      </c>
      <c r="P356" s="91">
        <f>PRODUCT(Table15[[#This Row],[Quantity]],Table15[[#This Row],[Unit_Cost]])</f>
        <v>585</v>
      </c>
      <c r="Q356" s="72">
        <f>(Table15[[#This Row],[Profit]]/Table15[[#This Row],[Total_Sales]])</f>
        <v>0.3007379248658319</v>
      </c>
      <c r="R356" s="22"/>
      <c r="S356" s="22"/>
      <c r="T356" s="22"/>
      <c r="U356" s="22"/>
    </row>
    <row r="357" spans="1:21" x14ac:dyDescent="0.25">
      <c r="A357" s="7" t="s">
        <v>510</v>
      </c>
      <c r="B357" s="16">
        <v>45454</v>
      </c>
      <c r="C357" s="8" t="s">
        <v>202</v>
      </c>
      <c r="D357" s="8" t="str">
        <f>PROPER(TRIM(Sales_Data!D357))</f>
        <v>Italy</v>
      </c>
      <c r="E357" s="8" t="s">
        <v>17</v>
      </c>
      <c r="F357" s="8" t="s">
        <v>18</v>
      </c>
      <c r="G357" s="91">
        <v>47</v>
      </c>
      <c r="H357" s="9">
        <v>44.89</v>
      </c>
      <c r="I357" s="87">
        <f>PRODUCT(Table15[[#This Row],[Quantity]],Table15[[#This Row],[Unit_Price]])</f>
        <v>2109.83</v>
      </c>
      <c r="J357" s="9">
        <v>45.91</v>
      </c>
      <c r="K357" s="47">
        <v>418.92</v>
      </c>
      <c r="L357" s="8" t="s">
        <v>19</v>
      </c>
      <c r="M357" s="8" t="s">
        <v>27</v>
      </c>
      <c r="N357" s="8" t="s">
        <v>28</v>
      </c>
      <c r="O357" s="91">
        <f>VLOOKUP(E357,Product_Master!$B$2:$F$11,5,FALSE)</f>
        <v>35</v>
      </c>
      <c r="P357" s="91">
        <f>PRODUCT(Table15[[#This Row],[Quantity]],Table15[[#This Row],[Unit_Cost]])</f>
        <v>1645</v>
      </c>
      <c r="Q357" s="72">
        <f>(Table15[[#This Row],[Profit]]/Table15[[#This Row],[Total_Sales]])</f>
        <v>0.19855628178573631</v>
      </c>
      <c r="R357" s="22"/>
      <c r="S357" s="22"/>
      <c r="T357" s="22"/>
      <c r="U357" s="22"/>
    </row>
    <row r="358" spans="1:21" x14ac:dyDescent="0.25">
      <c r="A358" s="7" t="s">
        <v>511</v>
      </c>
      <c r="B358" s="16">
        <v>45656</v>
      </c>
      <c r="C358" s="8" t="s">
        <v>179</v>
      </c>
      <c r="D358" s="8" t="str">
        <f>PROPER(TRIM(Sales_Data!D358))</f>
        <v>China</v>
      </c>
      <c r="E358" s="8" t="s">
        <v>60</v>
      </c>
      <c r="F358" s="8" t="s">
        <v>52</v>
      </c>
      <c r="G358" s="91">
        <v>1</v>
      </c>
      <c r="H358" s="9">
        <v>18.739999999999998</v>
      </c>
      <c r="I358" s="87">
        <f>PRODUCT(Table15[[#This Row],[Quantity]],Table15[[#This Row],[Unit_Price]])</f>
        <v>18.739999999999998</v>
      </c>
      <c r="J358" s="9">
        <v>0.5</v>
      </c>
      <c r="K358" s="47">
        <v>2.74</v>
      </c>
      <c r="L358" s="8" t="s">
        <v>38</v>
      </c>
      <c r="M358" s="8" t="s">
        <v>27</v>
      </c>
      <c r="N358" s="8" t="s">
        <v>58</v>
      </c>
      <c r="O358" s="91">
        <f>VLOOKUP(E358,Product_Master!$B$2:$F$11,5,FALSE)</f>
        <v>15.5</v>
      </c>
      <c r="P358" s="91">
        <f>PRODUCT(Table15[[#This Row],[Quantity]],Table15[[#This Row],[Unit_Cost]])</f>
        <v>15.5</v>
      </c>
      <c r="Q358" s="72">
        <f>(Table15[[#This Row],[Profit]]/Table15[[#This Row],[Total_Sales]])</f>
        <v>0.14621131270010676</v>
      </c>
      <c r="R358" s="22"/>
      <c r="S358" s="22"/>
      <c r="T358" s="22"/>
      <c r="U358" s="22"/>
    </row>
    <row r="359" spans="1:21" x14ac:dyDescent="0.25">
      <c r="A359" s="7" t="s">
        <v>512</v>
      </c>
      <c r="B359" s="16">
        <v>45648</v>
      </c>
      <c r="C359" s="8" t="s">
        <v>170</v>
      </c>
      <c r="D359" s="8" t="str">
        <f>PROPER(TRIM(Sales_Data!D359))</f>
        <v>Singapore</v>
      </c>
      <c r="E359" s="8" t="s">
        <v>51</v>
      </c>
      <c r="F359" s="8" t="s">
        <v>52</v>
      </c>
      <c r="G359" s="91">
        <v>27</v>
      </c>
      <c r="H359" s="9">
        <v>36.270000000000003</v>
      </c>
      <c r="I359" s="87">
        <f>PRODUCT(Table15[[#This Row],[Quantity]],Table15[[#This Row],[Unit_Price]])</f>
        <v>979.29000000000008</v>
      </c>
      <c r="J359" s="9">
        <v>54.58</v>
      </c>
      <c r="K359" s="47">
        <v>317.20999999999998</v>
      </c>
      <c r="L359" s="8" t="s">
        <v>26</v>
      </c>
      <c r="M359" s="8" t="s">
        <v>27</v>
      </c>
      <c r="N359" s="8" t="s">
        <v>58</v>
      </c>
      <c r="O359" s="91">
        <f>VLOOKUP(E359,Product_Master!$B$2:$F$11,5,FALSE)</f>
        <v>22.5</v>
      </c>
      <c r="P359" s="91">
        <f>PRODUCT(Table15[[#This Row],[Quantity]],Table15[[#This Row],[Unit_Cost]])</f>
        <v>607.5</v>
      </c>
      <c r="Q359" s="72">
        <f>(Table15[[#This Row],[Profit]]/Table15[[#This Row],[Total_Sales]])</f>
        <v>0.32391834900795469</v>
      </c>
      <c r="R359" s="22"/>
      <c r="S359" s="22"/>
      <c r="T359" s="22"/>
      <c r="U359" s="22"/>
    </row>
    <row r="360" spans="1:21" x14ac:dyDescent="0.25">
      <c r="A360" s="7" t="s">
        <v>513</v>
      </c>
      <c r="B360" s="16">
        <v>45579</v>
      </c>
      <c r="C360" s="8" t="s">
        <v>93</v>
      </c>
      <c r="D360" s="8" t="str">
        <f>PROPER(TRIM(Sales_Data!D360))</f>
        <v>Germany</v>
      </c>
      <c r="E360" s="8" t="s">
        <v>63</v>
      </c>
      <c r="F360" s="8" t="s">
        <v>37</v>
      </c>
      <c r="G360" s="91">
        <v>13</v>
      </c>
      <c r="H360" s="9">
        <v>18.82</v>
      </c>
      <c r="I360" s="87">
        <f>PRODUCT(Table15[[#This Row],[Quantity]],Table15[[#This Row],[Unit_Price]])</f>
        <v>244.66</v>
      </c>
      <c r="J360" s="9">
        <v>6.49</v>
      </c>
      <c r="K360" s="47">
        <v>72.42</v>
      </c>
      <c r="L360" s="8" t="s">
        <v>38</v>
      </c>
      <c r="M360" s="8" t="s">
        <v>27</v>
      </c>
      <c r="N360" s="8" t="s">
        <v>28</v>
      </c>
      <c r="O360" s="91">
        <f>VLOOKUP(E360,Product_Master!$B$2:$F$11,5,FALSE)</f>
        <v>12.75</v>
      </c>
      <c r="P360" s="91">
        <f>PRODUCT(Table15[[#This Row],[Quantity]],Table15[[#This Row],[Unit_Cost]])</f>
        <v>165.75</v>
      </c>
      <c r="Q360" s="72">
        <f>(Table15[[#This Row],[Profit]]/Table15[[#This Row],[Total_Sales]])</f>
        <v>0.29600261587509197</v>
      </c>
      <c r="R360" s="22"/>
      <c r="S360" s="22"/>
      <c r="T360" s="22"/>
      <c r="U360" s="22"/>
    </row>
    <row r="361" spans="1:21" x14ac:dyDescent="0.25">
      <c r="A361" s="7" t="s">
        <v>514</v>
      </c>
      <c r="B361" s="16">
        <v>45715</v>
      </c>
      <c r="C361" s="8" t="s">
        <v>342</v>
      </c>
      <c r="D361" s="8" t="str">
        <f>PROPER(TRIM(Sales_Data!D361))</f>
        <v>Australia</v>
      </c>
      <c r="E361" s="8" t="s">
        <v>83</v>
      </c>
      <c r="F361" s="8" t="s">
        <v>52</v>
      </c>
      <c r="G361" s="91">
        <v>41</v>
      </c>
      <c r="H361" s="9">
        <v>43.19</v>
      </c>
      <c r="I361" s="87">
        <f>PRODUCT(Table15[[#This Row],[Quantity]],Table15[[#This Row],[Unit_Price]])</f>
        <v>1770.79</v>
      </c>
      <c r="J361" s="9">
        <v>83.28</v>
      </c>
      <c r="K361" s="47">
        <v>539.51</v>
      </c>
      <c r="L361" s="8" t="s">
        <v>26</v>
      </c>
      <c r="M361" s="8" t="s">
        <v>20</v>
      </c>
      <c r="N361" s="8" t="s">
        <v>130</v>
      </c>
      <c r="O361" s="91">
        <f>VLOOKUP(E361,Product_Master!$B$2:$F$11,5,FALSE)</f>
        <v>28</v>
      </c>
      <c r="P361" s="91">
        <f>PRODUCT(Table15[[#This Row],[Quantity]],Table15[[#This Row],[Unit_Cost]])</f>
        <v>1148</v>
      </c>
      <c r="Q361" s="72">
        <f>(Table15[[#This Row],[Profit]]/Table15[[#This Row],[Total_Sales]])</f>
        <v>0.30467192608948551</v>
      </c>
      <c r="R361" s="22"/>
      <c r="S361" s="22"/>
      <c r="T361" s="22"/>
      <c r="U361" s="22"/>
    </row>
    <row r="362" spans="1:21" x14ac:dyDescent="0.25">
      <c r="A362" s="7" t="s">
        <v>515</v>
      </c>
      <c r="B362" s="16">
        <v>45368</v>
      </c>
      <c r="C362" s="8" t="s">
        <v>65</v>
      </c>
      <c r="D362" s="8" t="str">
        <f>PROPER(TRIM(Sales_Data!D362))</f>
        <v>China</v>
      </c>
      <c r="E362" s="8" t="s">
        <v>83</v>
      </c>
      <c r="F362" s="8" t="s">
        <v>52</v>
      </c>
      <c r="G362" s="91">
        <v>40</v>
      </c>
      <c r="H362" s="9">
        <v>42.31</v>
      </c>
      <c r="I362" s="87">
        <f>PRODUCT(Table15[[#This Row],[Quantity]],Table15[[#This Row],[Unit_Price]])</f>
        <v>1692.4</v>
      </c>
      <c r="J362" s="9">
        <v>118.59</v>
      </c>
      <c r="K362" s="47">
        <v>453.81</v>
      </c>
      <c r="L362" s="8" t="s">
        <v>26</v>
      </c>
      <c r="M362" s="8" t="s">
        <v>32</v>
      </c>
      <c r="N362" s="8" t="s">
        <v>58</v>
      </c>
      <c r="O362" s="91">
        <f>VLOOKUP(E362,Product_Master!$B$2:$F$11,5,FALSE)</f>
        <v>28</v>
      </c>
      <c r="P362" s="91">
        <f>PRODUCT(Table15[[#This Row],[Quantity]],Table15[[#This Row],[Unit_Cost]])</f>
        <v>1120</v>
      </c>
      <c r="Q362" s="72">
        <f>(Table15[[#This Row],[Profit]]/Table15[[#This Row],[Total_Sales]])</f>
        <v>0.26814582840935947</v>
      </c>
      <c r="R362" s="22"/>
      <c r="S362" s="22"/>
      <c r="T362" s="22"/>
      <c r="U362" s="22"/>
    </row>
    <row r="363" spans="1:21" x14ac:dyDescent="0.25">
      <c r="A363" s="7" t="s">
        <v>516</v>
      </c>
      <c r="B363" s="16">
        <v>45782</v>
      </c>
      <c r="C363" s="8" t="s">
        <v>276</v>
      </c>
      <c r="D363" s="8" t="str">
        <f>PROPER(TRIM(Sales_Data!D363))</f>
        <v>India</v>
      </c>
      <c r="E363" s="8" t="s">
        <v>36</v>
      </c>
      <c r="F363" s="8" t="s">
        <v>37</v>
      </c>
      <c r="G363" s="91">
        <v>1</v>
      </c>
      <c r="H363" s="9">
        <v>57.15</v>
      </c>
      <c r="I363" s="87">
        <f>PRODUCT(Table15[[#This Row],[Quantity]],Table15[[#This Row],[Unit_Price]])</f>
        <v>57.15</v>
      </c>
      <c r="J363" s="9">
        <v>4.1100000000000003</v>
      </c>
      <c r="K363" s="47">
        <v>21.04</v>
      </c>
      <c r="L363" s="8" t="s">
        <v>26</v>
      </c>
      <c r="M363" s="8" t="s">
        <v>20</v>
      </c>
      <c r="N363" s="8" t="s">
        <v>58</v>
      </c>
      <c r="O363" s="91">
        <f>VLOOKUP(E363,Product_Master!$B$2:$F$11,5,FALSE)</f>
        <v>32</v>
      </c>
      <c r="P363" s="91">
        <f>PRODUCT(Table15[[#This Row],[Quantity]],Table15[[#This Row],[Unit_Cost]])</f>
        <v>32</v>
      </c>
      <c r="Q363" s="72">
        <f>(Table15[[#This Row],[Profit]]/Table15[[#This Row],[Total_Sales]])</f>
        <v>0.36815398075240596</v>
      </c>
      <c r="R363" s="22"/>
      <c r="S363" s="22"/>
      <c r="T363" s="22"/>
      <c r="U363" s="22"/>
    </row>
    <row r="364" spans="1:21" x14ac:dyDescent="0.25">
      <c r="A364" s="7" t="s">
        <v>517</v>
      </c>
      <c r="B364" s="16">
        <v>45414</v>
      </c>
      <c r="C364" s="8" t="s">
        <v>168</v>
      </c>
      <c r="D364" s="8" t="str">
        <f>PROPER(TRIM(Sales_Data!D364))</f>
        <v>Canada</v>
      </c>
      <c r="E364" s="8" t="s">
        <v>48</v>
      </c>
      <c r="F364" s="8" t="s">
        <v>37</v>
      </c>
      <c r="G364" s="91">
        <v>15</v>
      </c>
      <c r="H364" s="9">
        <v>30.03</v>
      </c>
      <c r="I364" s="87">
        <f>PRODUCT(Table15[[#This Row],[Quantity]],Table15[[#This Row],[Unit_Price]])</f>
        <v>450.45000000000005</v>
      </c>
      <c r="J364" s="9">
        <v>29.99</v>
      </c>
      <c r="K364" s="47">
        <v>120.46</v>
      </c>
      <c r="L364" s="8" t="s">
        <v>38</v>
      </c>
      <c r="M364" s="8" t="s">
        <v>27</v>
      </c>
      <c r="N364" s="8" t="s">
        <v>21</v>
      </c>
      <c r="O364" s="91">
        <f>VLOOKUP(E364,Product_Master!$B$2:$F$11,5,FALSE)</f>
        <v>20</v>
      </c>
      <c r="P364" s="91">
        <f>PRODUCT(Table15[[#This Row],[Quantity]],Table15[[#This Row],[Unit_Cost]])</f>
        <v>300</v>
      </c>
      <c r="Q364" s="72">
        <f>(Table15[[#This Row],[Profit]]/Table15[[#This Row],[Total_Sales]])</f>
        <v>0.26742146742146738</v>
      </c>
      <c r="R364" s="22"/>
      <c r="S364" s="22"/>
      <c r="T364" s="22"/>
      <c r="U364" s="22"/>
    </row>
    <row r="365" spans="1:21" x14ac:dyDescent="0.25">
      <c r="A365" s="7" t="s">
        <v>518</v>
      </c>
      <c r="B365" s="16">
        <v>45437</v>
      </c>
      <c r="C365" s="8" t="s">
        <v>161</v>
      </c>
      <c r="D365" s="8" t="str">
        <f>PROPER(TRIM(Sales_Data!D365))</f>
        <v>Brazil</v>
      </c>
      <c r="E365" s="8" t="s">
        <v>48</v>
      </c>
      <c r="F365" s="8" t="s">
        <v>37</v>
      </c>
      <c r="G365" s="91">
        <v>48</v>
      </c>
      <c r="H365" s="9">
        <v>30.91</v>
      </c>
      <c r="I365" s="87">
        <f>PRODUCT(Table15[[#This Row],[Quantity]],Table15[[#This Row],[Unit_Price]])</f>
        <v>1483.68</v>
      </c>
      <c r="J365" s="9">
        <v>85.5</v>
      </c>
      <c r="K365" s="47">
        <v>438.18</v>
      </c>
      <c r="L365" s="8" t="s">
        <v>19</v>
      </c>
      <c r="M365" s="8" t="s">
        <v>27</v>
      </c>
      <c r="N365" s="8" t="s">
        <v>39</v>
      </c>
      <c r="O365" s="91">
        <f>VLOOKUP(E365,Product_Master!$B$2:$F$11,5,FALSE)</f>
        <v>20</v>
      </c>
      <c r="P365" s="91">
        <f>PRODUCT(Table15[[#This Row],[Quantity]],Table15[[#This Row],[Unit_Cost]])</f>
        <v>960</v>
      </c>
      <c r="Q365" s="72">
        <f>(Table15[[#This Row],[Profit]]/Table15[[#This Row],[Total_Sales]])</f>
        <v>0.29533322549336782</v>
      </c>
      <c r="R365" s="22"/>
      <c r="S365" s="22"/>
      <c r="T365" s="22"/>
      <c r="U365" s="22"/>
    </row>
    <row r="366" spans="1:21" x14ac:dyDescent="0.25">
      <c r="A366" s="7" t="s">
        <v>519</v>
      </c>
      <c r="B366" s="16">
        <v>45292</v>
      </c>
      <c r="C366" s="8" t="s">
        <v>323</v>
      </c>
      <c r="D366" s="8" t="str">
        <f>PROPER(TRIM(Sales_Data!D366))</f>
        <v>Mexico</v>
      </c>
      <c r="E366" s="8" t="s">
        <v>51</v>
      </c>
      <c r="F366" s="8" t="s">
        <v>52</v>
      </c>
      <c r="G366" s="91">
        <v>8</v>
      </c>
      <c r="H366" s="9">
        <v>32.19</v>
      </c>
      <c r="I366" s="87">
        <f>PRODUCT(Table15[[#This Row],[Quantity]],Table15[[#This Row],[Unit_Price]])</f>
        <v>257.52</v>
      </c>
      <c r="J366" s="9">
        <v>11.85</v>
      </c>
      <c r="K366" s="47">
        <v>65.67</v>
      </c>
      <c r="L366" s="8" t="s">
        <v>19</v>
      </c>
      <c r="M366" s="8" t="s">
        <v>20</v>
      </c>
      <c r="N366" s="8" t="s">
        <v>21</v>
      </c>
      <c r="O366" s="91">
        <f>VLOOKUP(E366,Product_Master!$B$2:$F$11,5,FALSE)</f>
        <v>22.5</v>
      </c>
      <c r="P366" s="91">
        <f>PRODUCT(Table15[[#This Row],[Quantity]],Table15[[#This Row],[Unit_Cost]])</f>
        <v>180</v>
      </c>
      <c r="Q366" s="72">
        <f>(Table15[[#This Row],[Profit]]/Table15[[#This Row],[Total_Sales]])</f>
        <v>0.25500931966449208</v>
      </c>
      <c r="R366" s="22"/>
      <c r="S366" s="22"/>
      <c r="T366" s="22"/>
      <c r="U366" s="22"/>
    </row>
    <row r="367" spans="1:21" x14ac:dyDescent="0.25">
      <c r="A367" s="7" t="s">
        <v>520</v>
      </c>
      <c r="B367" s="16">
        <v>45511</v>
      </c>
      <c r="C367" s="8" t="s">
        <v>147</v>
      </c>
      <c r="D367" s="8" t="str">
        <f>PROPER(TRIM(Sales_Data!D367))</f>
        <v>Uae</v>
      </c>
      <c r="E367" s="8" t="s">
        <v>43</v>
      </c>
      <c r="F367" s="8" t="s">
        <v>44</v>
      </c>
      <c r="G367" s="91">
        <v>22</v>
      </c>
      <c r="H367" s="9">
        <v>60.75</v>
      </c>
      <c r="I367" s="87">
        <f>PRODUCT(Table15[[#This Row],[Quantity]],Table15[[#This Row],[Unit_Price]])</f>
        <v>1336.5</v>
      </c>
      <c r="J367" s="9">
        <v>38.340000000000003</v>
      </c>
      <c r="K367" s="47">
        <v>418.16</v>
      </c>
      <c r="L367" s="8" t="s">
        <v>19</v>
      </c>
      <c r="M367" s="8" t="s">
        <v>27</v>
      </c>
      <c r="N367" s="8" t="s">
        <v>58</v>
      </c>
      <c r="O367" s="91">
        <f>VLOOKUP(E367,Product_Master!$B$2:$F$11,5,FALSE)</f>
        <v>40</v>
      </c>
      <c r="P367" s="91">
        <f>PRODUCT(Table15[[#This Row],[Quantity]],Table15[[#This Row],[Unit_Cost]])</f>
        <v>880</v>
      </c>
      <c r="Q367" s="72">
        <f>(Table15[[#This Row],[Profit]]/Table15[[#This Row],[Total_Sales]])</f>
        <v>0.3128769173213618</v>
      </c>
      <c r="R367" s="22"/>
      <c r="S367" s="22"/>
      <c r="T367" s="22"/>
      <c r="U367" s="22"/>
    </row>
    <row r="368" spans="1:21" x14ac:dyDescent="0.25">
      <c r="A368" s="7" t="s">
        <v>521</v>
      </c>
      <c r="B368" s="16">
        <v>45731</v>
      </c>
      <c r="C368" s="8" t="s">
        <v>119</v>
      </c>
      <c r="D368" s="8" t="str">
        <f>PROPER(TRIM(Sales_Data!D368))</f>
        <v>Italy</v>
      </c>
      <c r="E368" s="8" t="s">
        <v>43</v>
      </c>
      <c r="F368" s="8" t="s">
        <v>44</v>
      </c>
      <c r="G368" s="91">
        <v>38</v>
      </c>
      <c r="H368" s="9">
        <v>66.06</v>
      </c>
      <c r="I368" s="87">
        <f>PRODUCT(Table15[[#This Row],[Quantity]],Table15[[#This Row],[Unit_Price]])</f>
        <v>2510.2800000000002</v>
      </c>
      <c r="J368" s="9">
        <v>50.37</v>
      </c>
      <c r="K368" s="47">
        <v>939.91</v>
      </c>
      <c r="L368" s="8" t="s">
        <v>19</v>
      </c>
      <c r="M368" s="8" t="s">
        <v>20</v>
      </c>
      <c r="N368" s="8" t="s">
        <v>28</v>
      </c>
      <c r="O368" s="91">
        <f>VLOOKUP(E368,Product_Master!$B$2:$F$11,5,FALSE)</f>
        <v>40</v>
      </c>
      <c r="P368" s="91">
        <f>PRODUCT(Table15[[#This Row],[Quantity]],Table15[[#This Row],[Unit_Cost]])</f>
        <v>1520</v>
      </c>
      <c r="Q368" s="72">
        <f>(Table15[[#This Row],[Profit]]/Table15[[#This Row],[Total_Sales]])</f>
        <v>0.37442436700288412</v>
      </c>
      <c r="R368" s="22"/>
      <c r="S368" s="22"/>
      <c r="T368" s="22"/>
      <c r="U368" s="22"/>
    </row>
    <row r="369" spans="1:21" x14ac:dyDescent="0.25">
      <c r="A369" s="7" t="s">
        <v>522</v>
      </c>
      <c r="B369" s="16">
        <v>45542</v>
      </c>
      <c r="C369" s="8" t="s">
        <v>97</v>
      </c>
      <c r="D369" s="8" t="str">
        <f>PROPER(TRIM(Sales_Data!D369))</f>
        <v>Usa</v>
      </c>
      <c r="E369" s="8" t="s">
        <v>17</v>
      </c>
      <c r="F369" s="8" t="s">
        <v>18</v>
      </c>
      <c r="G369" s="91">
        <v>33</v>
      </c>
      <c r="H369" s="9">
        <v>50.88</v>
      </c>
      <c r="I369" s="87">
        <f>PRODUCT(Table15[[#This Row],[Quantity]],Table15[[#This Row],[Unit_Price]])</f>
        <v>1679.0400000000002</v>
      </c>
      <c r="J369" s="9">
        <v>61.48</v>
      </c>
      <c r="K369" s="47">
        <v>462.56</v>
      </c>
      <c r="L369" s="8" t="s">
        <v>19</v>
      </c>
      <c r="M369" s="8" t="s">
        <v>27</v>
      </c>
      <c r="N369" s="8" t="s">
        <v>21</v>
      </c>
      <c r="O369" s="91">
        <f>VLOOKUP(E369,Product_Master!$B$2:$F$11,5,FALSE)</f>
        <v>35</v>
      </c>
      <c r="P369" s="91">
        <f>PRODUCT(Table15[[#This Row],[Quantity]],Table15[[#This Row],[Unit_Cost]])</f>
        <v>1155</v>
      </c>
      <c r="Q369" s="72">
        <f>(Table15[[#This Row],[Profit]]/Table15[[#This Row],[Total_Sales]])</f>
        <v>0.27549075662283207</v>
      </c>
      <c r="R369" s="22"/>
      <c r="S369" s="22"/>
      <c r="T369" s="22"/>
      <c r="U369" s="22"/>
    </row>
    <row r="370" spans="1:21" x14ac:dyDescent="0.25">
      <c r="A370" s="7" t="s">
        <v>523</v>
      </c>
      <c r="B370" s="16">
        <v>45487</v>
      </c>
      <c r="C370" s="8" t="s">
        <v>261</v>
      </c>
      <c r="D370" s="8" t="str">
        <f>PROPER(TRIM(Sales_Data!D370))</f>
        <v>China</v>
      </c>
      <c r="E370" s="8" t="s">
        <v>83</v>
      </c>
      <c r="F370" s="8" t="s">
        <v>52</v>
      </c>
      <c r="G370" s="91">
        <v>49</v>
      </c>
      <c r="H370" s="9">
        <v>34.479999999999997</v>
      </c>
      <c r="I370" s="87">
        <f>PRODUCT(Table15[[#This Row],[Quantity]],Table15[[#This Row],[Unit_Price]])</f>
        <v>1689.5199999999998</v>
      </c>
      <c r="J370" s="9">
        <v>53.06</v>
      </c>
      <c r="K370" s="47">
        <v>264.45999999999998</v>
      </c>
      <c r="L370" s="8" t="s">
        <v>38</v>
      </c>
      <c r="M370" s="8" t="s">
        <v>32</v>
      </c>
      <c r="N370" s="8" t="s">
        <v>58</v>
      </c>
      <c r="O370" s="91">
        <f>VLOOKUP(E370,Product_Master!$B$2:$F$11,5,FALSE)</f>
        <v>28</v>
      </c>
      <c r="P370" s="91">
        <f>PRODUCT(Table15[[#This Row],[Quantity]],Table15[[#This Row],[Unit_Cost]])</f>
        <v>1372</v>
      </c>
      <c r="Q370" s="72">
        <f>(Table15[[#This Row],[Profit]]/Table15[[#This Row],[Total_Sales]])</f>
        <v>0.1565296652303613</v>
      </c>
      <c r="R370" s="22"/>
      <c r="S370" s="22"/>
      <c r="T370" s="22"/>
      <c r="U370" s="22"/>
    </row>
    <row r="371" spans="1:21" x14ac:dyDescent="0.25">
      <c r="A371" s="7" t="s">
        <v>524</v>
      </c>
      <c r="B371" s="16">
        <v>45311</v>
      </c>
      <c r="C371" s="8" t="s">
        <v>168</v>
      </c>
      <c r="D371" s="8" t="str">
        <f>PROPER(TRIM(Sales_Data!D371))</f>
        <v>Japan</v>
      </c>
      <c r="E371" s="8" t="s">
        <v>48</v>
      </c>
      <c r="F371" s="8" t="s">
        <v>37</v>
      </c>
      <c r="G371" s="91">
        <v>31</v>
      </c>
      <c r="H371" s="9">
        <v>25.43</v>
      </c>
      <c r="I371" s="87">
        <f>PRODUCT(Table15[[#This Row],[Quantity]],Table15[[#This Row],[Unit_Price]])</f>
        <v>788.33</v>
      </c>
      <c r="J371" s="9">
        <v>57.81</v>
      </c>
      <c r="K371" s="47">
        <v>110.52</v>
      </c>
      <c r="L371" s="8" t="s">
        <v>19</v>
      </c>
      <c r="M371" s="8" t="s">
        <v>27</v>
      </c>
      <c r="N371" s="8" t="s">
        <v>58</v>
      </c>
      <c r="O371" s="91">
        <f>VLOOKUP(E371,Product_Master!$B$2:$F$11,5,FALSE)</f>
        <v>20</v>
      </c>
      <c r="P371" s="91">
        <f>PRODUCT(Table15[[#This Row],[Quantity]],Table15[[#This Row],[Unit_Cost]])</f>
        <v>620</v>
      </c>
      <c r="Q371" s="72">
        <f>(Table15[[#This Row],[Profit]]/Table15[[#This Row],[Total_Sales]])</f>
        <v>0.14019509596235077</v>
      </c>
      <c r="R371" s="22"/>
      <c r="S371" s="22"/>
      <c r="T371" s="22"/>
      <c r="U371" s="22"/>
    </row>
    <row r="372" spans="1:21" x14ac:dyDescent="0.25">
      <c r="A372" s="7" t="s">
        <v>525</v>
      </c>
      <c r="B372" s="16">
        <v>45323</v>
      </c>
      <c r="C372" s="8" t="s">
        <v>226</v>
      </c>
      <c r="D372" s="8" t="str">
        <f>PROPER(TRIM(Sales_Data!D372))</f>
        <v>Germany</v>
      </c>
      <c r="E372" s="8" t="s">
        <v>48</v>
      </c>
      <c r="F372" s="8" t="s">
        <v>37</v>
      </c>
      <c r="G372" s="91">
        <v>29</v>
      </c>
      <c r="H372" s="9">
        <v>31.68</v>
      </c>
      <c r="I372" s="87">
        <f>PRODUCT(Table15[[#This Row],[Quantity]],Table15[[#This Row],[Unit_Price]])</f>
        <v>918.72</v>
      </c>
      <c r="J372" s="9">
        <v>22.22</v>
      </c>
      <c r="K372" s="47">
        <v>316.5</v>
      </c>
      <c r="L372" s="8" t="s">
        <v>38</v>
      </c>
      <c r="M372" s="8" t="s">
        <v>20</v>
      </c>
      <c r="N372" s="8" t="s">
        <v>28</v>
      </c>
      <c r="O372" s="91">
        <f>VLOOKUP(E372,Product_Master!$B$2:$F$11,5,FALSE)</f>
        <v>20</v>
      </c>
      <c r="P372" s="91">
        <f>PRODUCT(Table15[[#This Row],[Quantity]],Table15[[#This Row],[Unit_Cost]])</f>
        <v>580</v>
      </c>
      <c r="Q372" s="72">
        <f>(Table15[[#This Row],[Profit]]/Table15[[#This Row],[Total_Sales]])</f>
        <v>0.34450104493207939</v>
      </c>
      <c r="R372" s="22"/>
      <c r="S372" s="22"/>
      <c r="T372" s="22"/>
      <c r="U372" s="22"/>
    </row>
    <row r="373" spans="1:21" x14ac:dyDescent="0.25">
      <c r="A373" s="7" t="s">
        <v>526</v>
      </c>
      <c r="B373" s="16">
        <v>45718</v>
      </c>
      <c r="C373" s="8" t="s">
        <v>354</v>
      </c>
      <c r="D373" s="8" t="str">
        <f>PROPER(TRIM(Sales_Data!D373))</f>
        <v>Singapore</v>
      </c>
      <c r="E373" s="8" t="s">
        <v>83</v>
      </c>
      <c r="F373" s="8" t="s">
        <v>52</v>
      </c>
      <c r="G373" s="91">
        <v>42</v>
      </c>
      <c r="H373" s="9">
        <v>33.89</v>
      </c>
      <c r="I373" s="87">
        <f>PRODUCT(Table15[[#This Row],[Quantity]],Table15[[#This Row],[Unit_Price]])</f>
        <v>1423.38</v>
      </c>
      <c r="J373" s="9">
        <v>85.4</v>
      </c>
      <c r="K373" s="47">
        <v>161.97999999999999</v>
      </c>
      <c r="L373" s="8" t="s">
        <v>38</v>
      </c>
      <c r="M373" s="8" t="s">
        <v>20</v>
      </c>
      <c r="N373" s="8" t="s">
        <v>58</v>
      </c>
      <c r="O373" s="91">
        <f>VLOOKUP(E373,Product_Master!$B$2:$F$11,5,FALSE)</f>
        <v>28</v>
      </c>
      <c r="P373" s="91">
        <f>PRODUCT(Table15[[#This Row],[Quantity]],Table15[[#This Row],[Unit_Cost]])</f>
        <v>1176</v>
      </c>
      <c r="Q373" s="72">
        <f>(Table15[[#This Row],[Profit]]/Table15[[#This Row],[Total_Sales]])</f>
        <v>0.11379954755581782</v>
      </c>
      <c r="R373" s="22"/>
      <c r="S373" s="22"/>
      <c r="T373" s="22"/>
      <c r="U373" s="22"/>
    </row>
    <row r="374" spans="1:21" x14ac:dyDescent="0.25">
      <c r="A374" s="7" t="s">
        <v>527</v>
      </c>
      <c r="B374" s="16">
        <v>45560</v>
      </c>
      <c r="C374" s="8" t="s">
        <v>50</v>
      </c>
      <c r="D374" s="8" t="str">
        <f>PROPER(TRIM(Sales_Data!D374))</f>
        <v>Singapore</v>
      </c>
      <c r="E374" s="8" t="s">
        <v>25</v>
      </c>
      <c r="F374" s="8" t="s">
        <v>18</v>
      </c>
      <c r="G374" s="91">
        <v>13</v>
      </c>
      <c r="H374" s="9">
        <v>21.75</v>
      </c>
      <c r="I374" s="87">
        <f>PRODUCT(Table15[[#This Row],[Quantity]],Table15[[#This Row],[Unit_Price]])</f>
        <v>282.75</v>
      </c>
      <c r="J374" s="9">
        <v>12.5</v>
      </c>
      <c r="K374" s="47">
        <v>36.25</v>
      </c>
      <c r="L374" s="8" t="s">
        <v>38</v>
      </c>
      <c r="M374" s="8" t="s">
        <v>27</v>
      </c>
      <c r="N374" s="8" t="s">
        <v>58</v>
      </c>
      <c r="O374" s="91">
        <f>VLOOKUP(E374,Product_Master!$B$2:$F$11,5,FALSE)</f>
        <v>18</v>
      </c>
      <c r="P374" s="91">
        <f>PRODUCT(Table15[[#This Row],[Quantity]],Table15[[#This Row],[Unit_Cost]])</f>
        <v>234</v>
      </c>
      <c r="Q374" s="72">
        <f>(Table15[[#This Row],[Profit]]/Table15[[#This Row],[Total_Sales]])</f>
        <v>0.12820512820512819</v>
      </c>
      <c r="R374" s="22"/>
      <c r="S374" s="22"/>
      <c r="T374" s="22"/>
      <c r="U374" s="22"/>
    </row>
    <row r="375" spans="1:21" x14ac:dyDescent="0.25">
      <c r="A375" s="7" t="s">
        <v>528</v>
      </c>
      <c r="B375" s="16">
        <v>45365</v>
      </c>
      <c r="C375" s="8" t="s">
        <v>100</v>
      </c>
      <c r="D375" s="8" t="str">
        <f>PROPER(TRIM(Sales_Data!D375))</f>
        <v>Japan</v>
      </c>
      <c r="E375" s="8" t="s">
        <v>51</v>
      </c>
      <c r="F375" s="8" t="s">
        <v>52</v>
      </c>
      <c r="G375" s="91">
        <v>25</v>
      </c>
      <c r="H375" s="9">
        <v>37.58</v>
      </c>
      <c r="I375" s="87">
        <f>PRODUCT(Table15[[#This Row],[Quantity]],Table15[[#This Row],[Unit_Price]])</f>
        <v>939.5</v>
      </c>
      <c r="J375" s="9">
        <v>48.44</v>
      </c>
      <c r="K375" s="47">
        <v>328.56</v>
      </c>
      <c r="L375" s="8" t="s">
        <v>38</v>
      </c>
      <c r="M375" s="8" t="s">
        <v>32</v>
      </c>
      <c r="N375" s="8" t="s">
        <v>58</v>
      </c>
      <c r="O375" s="91">
        <f>VLOOKUP(E375,Product_Master!$B$2:$F$11,5,FALSE)</f>
        <v>22.5</v>
      </c>
      <c r="P375" s="91">
        <f>PRODUCT(Table15[[#This Row],[Quantity]],Table15[[#This Row],[Unit_Cost]])</f>
        <v>562.5</v>
      </c>
      <c r="Q375" s="72">
        <f>(Table15[[#This Row],[Profit]]/Table15[[#This Row],[Total_Sales]])</f>
        <v>0.34971793507184673</v>
      </c>
      <c r="R375" s="22"/>
      <c r="S375" s="22"/>
      <c r="T375" s="22"/>
      <c r="U375" s="22"/>
    </row>
    <row r="376" spans="1:21" x14ac:dyDescent="0.25">
      <c r="A376" s="7" t="s">
        <v>529</v>
      </c>
      <c r="B376" s="16">
        <v>45704</v>
      </c>
      <c r="C376" s="8" t="s">
        <v>303</v>
      </c>
      <c r="D376" s="8" t="str">
        <f>PROPER(TRIM(Sales_Data!D376))</f>
        <v>Germany</v>
      </c>
      <c r="E376" s="8" t="s">
        <v>48</v>
      </c>
      <c r="F376" s="8" t="s">
        <v>37</v>
      </c>
      <c r="G376" s="91">
        <v>16</v>
      </c>
      <c r="H376" s="9">
        <v>25.25</v>
      </c>
      <c r="I376" s="87">
        <f>PRODUCT(Table15[[#This Row],[Quantity]],Table15[[#This Row],[Unit_Price]])</f>
        <v>404</v>
      </c>
      <c r="J376" s="9">
        <v>18.75</v>
      </c>
      <c r="K376" s="47">
        <v>65.25</v>
      </c>
      <c r="L376" s="8" t="s">
        <v>26</v>
      </c>
      <c r="M376" s="8" t="s">
        <v>32</v>
      </c>
      <c r="N376" s="8" t="s">
        <v>28</v>
      </c>
      <c r="O376" s="91">
        <f>VLOOKUP(E376,Product_Master!$B$2:$F$11,5,FALSE)</f>
        <v>20</v>
      </c>
      <c r="P376" s="91">
        <f>PRODUCT(Table15[[#This Row],[Quantity]],Table15[[#This Row],[Unit_Cost]])</f>
        <v>320</v>
      </c>
      <c r="Q376" s="72">
        <f>(Table15[[#This Row],[Profit]]/Table15[[#This Row],[Total_Sales]])</f>
        <v>0.16150990099009901</v>
      </c>
      <c r="R376" s="22"/>
      <c r="S376" s="22"/>
      <c r="T376" s="22"/>
      <c r="U376" s="22"/>
    </row>
    <row r="377" spans="1:21" x14ac:dyDescent="0.25">
      <c r="A377" s="7" t="s">
        <v>530</v>
      </c>
      <c r="B377" s="16">
        <v>45564</v>
      </c>
      <c r="C377" s="8" t="s">
        <v>240</v>
      </c>
      <c r="D377" s="8" t="str">
        <f>PROPER(TRIM(Sales_Data!D377))</f>
        <v>Japan</v>
      </c>
      <c r="E377" s="8" t="s">
        <v>60</v>
      </c>
      <c r="F377" s="8" t="s">
        <v>52</v>
      </c>
      <c r="G377" s="91">
        <v>37</v>
      </c>
      <c r="H377" s="9">
        <v>25.85</v>
      </c>
      <c r="I377" s="87">
        <f>PRODUCT(Table15[[#This Row],[Quantity]],Table15[[#This Row],[Unit_Price]])</f>
        <v>956.45</v>
      </c>
      <c r="J377" s="9">
        <v>31.7</v>
      </c>
      <c r="K377" s="47">
        <v>351.25</v>
      </c>
      <c r="L377" s="8" t="s">
        <v>38</v>
      </c>
      <c r="M377" s="8" t="s">
        <v>32</v>
      </c>
      <c r="N377" s="8" t="s">
        <v>58</v>
      </c>
      <c r="O377" s="91">
        <f>VLOOKUP(E377,Product_Master!$B$2:$F$11,5,FALSE)</f>
        <v>15.5</v>
      </c>
      <c r="P377" s="91">
        <f>PRODUCT(Table15[[#This Row],[Quantity]],Table15[[#This Row],[Unit_Cost]])</f>
        <v>573.5</v>
      </c>
      <c r="Q377" s="72">
        <f>(Table15[[#This Row],[Profit]]/Table15[[#This Row],[Total_Sales]])</f>
        <v>0.3672434523498353</v>
      </c>
      <c r="R377" s="22"/>
      <c r="S377" s="22"/>
      <c r="T377" s="22"/>
      <c r="U377" s="22"/>
    </row>
    <row r="378" spans="1:21" x14ac:dyDescent="0.25">
      <c r="A378" s="7" t="s">
        <v>531</v>
      </c>
      <c r="B378" s="16">
        <v>45671</v>
      </c>
      <c r="C378" s="8" t="s">
        <v>54</v>
      </c>
      <c r="D378" s="8" t="str">
        <f>PROPER(TRIM(Sales_Data!D378))</f>
        <v>Singapore</v>
      </c>
      <c r="E378" s="8" t="s">
        <v>48</v>
      </c>
      <c r="F378" s="8" t="s">
        <v>37</v>
      </c>
      <c r="G378" s="91">
        <v>1</v>
      </c>
      <c r="H378" s="9">
        <v>25.72</v>
      </c>
      <c r="I378" s="87">
        <f>PRODUCT(Table15[[#This Row],[Quantity]],Table15[[#This Row],[Unit_Price]])</f>
        <v>25.72</v>
      </c>
      <c r="J378" s="9">
        <v>2.04</v>
      </c>
      <c r="K378" s="47">
        <v>3.68</v>
      </c>
      <c r="L378" s="8" t="s">
        <v>38</v>
      </c>
      <c r="M378" s="8" t="s">
        <v>32</v>
      </c>
      <c r="N378" s="8" t="s">
        <v>58</v>
      </c>
      <c r="O378" s="91">
        <f>VLOOKUP(E378,Product_Master!$B$2:$F$11,5,FALSE)</f>
        <v>20</v>
      </c>
      <c r="P378" s="91">
        <f>PRODUCT(Table15[[#This Row],[Quantity]],Table15[[#This Row],[Unit_Cost]])</f>
        <v>20</v>
      </c>
      <c r="Q378" s="72">
        <f>(Table15[[#This Row],[Profit]]/Table15[[#This Row],[Total_Sales]])</f>
        <v>0.14307931570762053</v>
      </c>
      <c r="R378" s="22"/>
      <c r="S378" s="22"/>
      <c r="T378" s="22"/>
      <c r="U378" s="22"/>
    </row>
    <row r="379" spans="1:21" x14ac:dyDescent="0.25">
      <c r="A379" s="7" t="s">
        <v>532</v>
      </c>
      <c r="B379" s="16">
        <v>45599</v>
      </c>
      <c r="C379" s="8" t="s">
        <v>342</v>
      </c>
      <c r="D379" s="8" t="str">
        <f>PROPER(TRIM(Sales_Data!D379))</f>
        <v>Singapore</v>
      </c>
      <c r="E379" s="8" t="s">
        <v>83</v>
      </c>
      <c r="F379" s="8" t="s">
        <v>52</v>
      </c>
      <c r="G379" s="91">
        <v>48</v>
      </c>
      <c r="H379" s="9">
        <v>47.05</v>
      </c>
      <c r="I379" s="87">
        <f>PRODUCT(Table15[[#This Row],[Quantity]],Table15[[#This Row],[Unit_Price]])</f>
        <v>2258.3999999999996</v>
      </c>
      <c r="J379" s="9">
        <v>179.44</v>
      </c>
      <c r="K379" s="47">
        <v>734.96</v>
      </c>
      <c r="L379" s="8" t="s">
        <v>26</v>
      </c>
      <c r="M379" s="8" t="s">
        <v>27</v>
      </c>
      <c r="N379" s="8" t="s">
        <v>58</v>
      </c>
      <c r="O379" s="91">
        <f>VLOOKUP(E379,Product_Master!$B$2:$F$11,5,FALSE)</f>
        <v>28</v>
      </c>
      <c r="P379" s="91">
        <f>PRODUCT(Table15[[#This Row],[Quantity]],Table15[[#This Row],[Unit_Cost]])</f>
        <v>1344</v>
      </c>
      <c r="Q379" s="72">
        <f>(Table15[[#This Row],[Profit]]/Table15[[#This Row],[Total_Sales]])</f>
        <v>0.32543393552957856</v>
      </c>
      <c r="R379" s="22"/>
      <c r="S379" s="22"/>
      <c r="T379" s="22"/>
      <c r="U379" s="22"/>
    </row>
    <row r="380" spans="1:21" x14ac:dyDescent="0.25">
      <c r="A380" s="7" t="s">
        <v>533</v>
      </c>
      <c r="B380" s="16">
        <v>45363</v>
      </c>
      <c r="C380" s="8" t="s">
        <v>123</v>
      </c>
      <c r="D380" s="8" t="str">
        <f>PROPER(TRIM(Sales_Data!D380))</f>
        <v>Brazil</v>
      </c>
      <c r="E380" s="8" t="s">
        <v>48</v>
      </c>
      <c r="F380" s="8" t="s">
        <v>37</v>
      </c>
      <c r="G380" s="91">
        <v>48</v>
      </c>
      <c r="H380" s="9">
        <v>29.94</v>
      </c>
      <c r="I380" s="87">
        <f>PRODUCT(Table15[[#This Row],[Quantity]],Table15[[#This Row],[Unit_Price]])</f>
        <v>1437.1200000000001</v>
      </c>
      <c r="J380" s="9">
        <v>30.14</v>
      </c>
      <c r="K380" s="47">
        <v>446.98</v>
      </c>
      <c r="L380" s="8" t="s">
        <v>26</v>
      </c>
      <c r="M380" s="8" t="s">
        <v>27</v>
      </c>
      <c r="N380" s="8" t="s">
        <v>39</v>
      </c>
      <c r="O380" s="91">
        <f>VLOOKUP(E380,Product_Master!$B$2:$F$11,5,FALSE)</f>
        <v>20</v>
      </c>
      <c r="P380" s="91">
        <f>PRODUCT(Table15[[#This Row],[Quantity]],Table15[[#This Row],[Unit_Cost]])</f>
        <v>960</v>
      </c>
      <c r="Q380" s="72">
        <f>(Table15[[#This Row],[Profit]]/Table15[[#This Row],[Total_Sales]])</f>
        <v>0.31102482743264304</v>
      </c>
      <c r="R380" s="22"/>
      <c r="S380" s="22"/>
      <c r="T380" s="22"/>
      <c r="U380" s="22"/>
    </row>
    <row r="381" spans="1:21" x14ac:dyDescent="0.25">
      <c r="A381" s="7" t="s">
        <v>534</v>
      </c>
      <c r="B381" s="16">
        <v>45533</v>
      </c>
      <c r="C381" s="8" t="s">
        <v>371</v>
      </c>
      <c r="D381" s="8" t="str">
        <f>PROPER(TRIM(Sales_Data!D381))</f>
        <v>Italy</v>
      </c>
      <c r="E381" s="8" t="s">
        <v>51</v>
      </c>
      <c r="F381" s="8" t="s">
        <v>52</v>
      </c>
      <c r="G381" s="91">
        <v>12</v>
      </c>
      <c r="H381" s="9">
        <v>35.68</v>
      </c>
      <c r="I381" s="87">
        <f>PRODUCT(Table15[[#This Row],[Quantity]],Table15[[#This Row],[Unit_Price]])</f>
        <v>428.15999999999997</v>
      </c>
      <c r="J381" s="9">
        <v>13.07</v>
      </c>
      <c r="K381" s="47">
        <v>145.09</v>
      </c>
      <c r="L381" s="8" t="s">
        <v>26</v>
      </c>
      <c r="M381" s="8" t="s">
        <v>32</v>
      </c>
      <c r="N381" s="8" t="s">
        <v>28</v>
      </c>
      <c r="O381" s="91">
        <f>VLOOKUP(E381,Product_Master!$B$2:$F$11,5,FALSE)</f>
        <v>22.5</v>
      </c>
      <c r="P381" s="91">
        <f>PRODUCT(Table15[[#This Row],[Quantity]],Table15[[#This Row],[Unit_Cost]])</f>
        <v>270</v>
      </c>
      <c r="Q381" s="72">
        <f>(Table15[[#This Row],[Profit]]/Table15[[#This Row],[Total_Sales]])</f>
        <v>0.33886864723467863</v>
      </c>
      <c r="R381" s="22"/>
      <c r="S381" s="22"/>
      <c r="T381" s="22"/>
      <c r="U381" s="22"/>
    </row>
    <row r="382" spans="1:21" x14ac:dyDescent="0.25">
      <c r="A382" s="7" t="s">
        <v>535</v>
      </c>
      <c r="B382" s="16">
        <v>45562</v>
      </c>
      <c r="C382" s="8" t="s">
        <v>286</v>
      </c>
      <c r="D382" s="8" t="str">
        <f>PROPER(TRIM(Sales_Data!D382))</f>
        <v>Usa</v>
      </c>
      <c r="E382" s="8" t="s">
        <v>36</v>
      </c>
      <c r="F382" s="8" t="s">
        <v>37</v>
      </c>
      <c r="G382" s="91">
        <v>30</v>
      </c>
      <c r="H382" s="9">
        <v>49.32</v>
      </c>
      <c r="I382" s="87">
        <f>PRODUCT(Table15[[#This Row],[Quantity]],Table15[[#This Row],[Unit_Price]])</f>
        <v>1479.6</v>
      </c>
      <c r="J382" s="9">
        <v>105.97</v>
      </c>
      <c r="K382" s="47">
        <v>413.63</v>
      </c>
      <c r="L382" s="8" t="s">
        <v>26</v>
      </c>
      <c r="M382" s="8" t="s">
        <v>27</v>
      </c>
      <c r="N382" s="8" t="s">
        <v>21</v>
      </c>
      <c r="O382" s="91">
        <f>VLOOKUP(E382,Product_Master!$B$2:$F$11,5,FALSE)</f>
        <v>32</v>
      </c>
      <c r="P382" s="91">
        <f>PRODUCT(Table15[[#This Row],[Quantity]],Table15[[#This Row],[Unit_Cost]])</f>
        <v>960</v>
      </c>
      <c r="Q382" s="72">
        <f>(Table15[[#This Row],[Profit]]/Table15[[#This Row],[Total_Sales]])</f>
        <v>0.27955528521221951</v>
      </c>
      <c r="R382" s="22"/>
      <c r="S382" s="22"/>
      <c r="T382" s="22"/>
      <c r="U382" s="22"/>
    </row>
    <row r="383" spans="1:21" x14ac:dyDescent="0.25">
      <c r="A383" s="7" t="s">
        <v>536</v>
      </c>
      <c r="B383" s="16">
        <v>45306</v>
      </c>
      <c r="C383" s="8" t="s">
        <v>300</v>
      </c>
      <c r="D383" s="8" t="str">
        <f>PROPER(TRIM(Sales_Data!D383))</f>
        <v>France</v>
      </c>
      <c r="E383" s="8" t="s">
        <v>83</v>
      </c>
      <c r="F383" s="8" t="s">
        <v>52</v>
      </c>
      <c r="G383" s="91">
        <v>27</v>
      </c>
      <c r="H383" s="9">
        <v>37.68</v>
      </c>
      <c r="I383" s="87">
        <f>PRODUCT(Table15[[#This Row],[Quantity]],Table15[[#This Row],[Unit_Price]])</f>
        <v>1017.36</v>
      </c>
      <c r="J383" s="9">
        <v>80.739999999999995</v>
      </c>
      <c r="K383" s="47">
        <v>180.62</v>
      </c>
      <c r="L383" s="8" t="s">
        <v>38</v>
      </c>
      <c r="M383" s="8" t="s">
        <v>20</v>
      </c>
      <c r="N383" s="8" t="s">
        <v>28</v>
      </c>
      <c r="O383" s="91">
        <f>VLOOKUP(E383,Product_Master!$B$2:$F$11,5,FALSE)</f>
        <v>28</v>
      </c>
      <c r="P383" s="91">
        <f>PRODUCT(Table15[[#This Row],[Quantity]],Table15[[#This Row],[Unit_Cost]])</f>
        <v>756</v>
      </c>
      <c r="Q383" s="72">
        <f>(Table15[[#This Row],[Profit]]/Table15[[#This Row],[Total_Sales]])</f>
        <v>0.17753794133836598</v>
      </c>
      <c r="R383" s="22"/>
      <c r="S383" s="22"/>
      <c r="T383" s="22"/>
      <c r="U383" s="22"/>
    </row>
    <row r="384" spans="1:21" x14ac:dyDescent="0.25">
      <c r="A384" s="7" t="s">
        <v>537</v>
      </c>
      <c r="B384" s="16">
        <v>45732</v>
      </c>
      <c r="C384" s="8" t="s">
        <v>173</v>
      </c>
      <c r="D384" s="8" t="str">
        <f>PROPER(TRIM(Sales_Data!D384))</f>
        <v>Italy</v>
      </c>
      <c r="E384" s="8" t="s">
        <v>56</v>
      </c>
      <c r="F384" s="8" t="s">
        <v>57</v>
      </c>
      <c r="G384" s="91">
        <v>39</v>
      </c>
      <c r="H384" s="9">
        <v>36.340000000000003</v>
      </c>
      <c r="I384" s="87">
        <f>PRODUCT(Table15[[#This Row],[Quantity]],Table15[[#This Row],[Unit_Price]])</f>
        <v>1417.2600000000002</v>
      </c>
      <c r="J384" s="9">
        <v>67</v>
      </c>
      <c r="K384" s="47">
        <v>375.26</v>
      </c>
      <c r="L384" s="8" t="s">
        <v>38</v>
      </c>
      <c r="M384" s="8" t="s">
        <v>27</v>
      </c>
      <c r="N384" s="8" t="s">
        <v>28</v>
      </c>
      <c r="O384" s="91">
        <f>VLOOKUP(E384,Product_Master!$B$2:$F$11,5,FALSE)</f>
        <v>25</v>
      </c>
      <c r="P384" s="91">
        <f>PRODUCT(Table15[[#This Row],[Quantity]],Table15[[#This Row],[Unit_Cost]])</f>
        <v>975</v>
      </c>
      <c r="Q384" s="72">
        <f>(Table15[[#This Row],[Profit]]/Table15[[#This Row],[Total_Sales]])</f>
        <v>0.264778516292</v>
      </c>
      <c r="R384" s="22"/>
      <c r="S384" s="22"/>
      <c r="T384" s="22"/>
      <c r="U384" s="22"/>
    </row>
    <row r="385" spans="1:21" x14ac:dyDescent="0.25">
      <c r="A385" s="7" t="s">
        <v>538</v>
      </c>
      <c r="B385" s="16">
        <v>45428</v>
      </c>
      <c r="C385" s="8" t="s">
        <v>54</v>
      </c>
      <c r="D385" s="8" t="str">
        <f>PROPER(TRIM(Sales_Data!D385))</f>
        <v>China</v>
      </c>
      <c r="E385" s="8" t="s">
        <v>60</v>
      </c>
      <c r="F385" s="8" t="s">
        <v>52</v>
      </c>
      <c r="G385" s="91">
        <v>16</v>
      </c>
      <c r="H385" s="9">
        <v>24.33</v>
      </c>
      <c r="I385" s="87">
        <f>PRODUCT(Table15[[#This Row],[Quantity]],Table15[[#This Row],[Unit_Price]])</f>
        <v>389.28</v>
      </c>
      <c r="J385" s="9">
        <v>22.33</v>
      </c>
      <c r="K385" s="47">
        <v>118.95</v>
      </c>
      <c r="L385" s="8" t="s">
        <v>19</v>
      </c>
      <c r="M385" s="8" t="s">
        <v>32</v>
      </c>
      <c r="N385" s="8" t="s">
        <v>58</v>
      </c>
      <c r="O385" s="91">
        <f>VLOOKUP(E385,Product_Master!$B$2:$F$11,5,FALSE)</f>
        <v>15.5</v>
      </c>
      <c r="P385" s="91">
        <f>PRODUCT(Table15[[#This Row],[Quantity]],Table15[[#This Row],[Unit_Cost]])</f>
        <v>248</v>
      </c>
      <c r="Q385" s="72">
        <f>(Table15[[#This Row],[Profit]]/Table15[[#This Row],[Total_Sales]])</f>
        <v>0.30556411837237979</v>
      </c>
      <c r="R385" s="22"/>
      <c r="S385" s="22"/>
      <c r="T385" s="22"/>
      <c r="U385" s="22"/>
    </row>
    <row r="386" spans="1:21" x14ac:dyDescent="0.25">
      <c r="A386" s="7" t="s">
        <v>539</v>
      </c>
      <c r="B386" s="16">
        <v>45685</v>
      </c>
      <c r="C386" s="8" t="s">
        <v>300</v>
      </c>
      <c r="D386" s="8" t="str">
        <f>PROPER(TRIM(Sales_Data!D386))</f>
        <v>Uae</v>
      </c>
      <c r="E386" s="8" t="s">
        <v>60</v>
      </c>
      <c r="F386" s="8" t="s">
        <v>52</v>
      </c>
      <c r="G386" s="91">
        <v>40</v>
      </c>
      <c r="H386" s="9">
        <v>22.28</v>
      </c>
      <c r="I386" s="87">
        <f>PRODUCT(Table15[[#This Row],[Quantity]],Table15[[#This Row],[Unit_Price]])</f>
        <v>891.2</v>
      </c>
      <c r="J386" s="9">
        <v>32.729999999999997</v>
      </c>
      <c r="K386" s="47">
        <v>238.47</v>
      </c>
      <c r="L386" s="8" t="s">
        <v>19</v>
      </c>
      <c r="M386" s="8" t="s">
        <v>27</v>
      </c>
      <c r="N386" s="8" t="s">
        <v>58</v>
      </c>
      <c r="O386" s="91">
        <f>VLOOKUP(E386,Product_Master!$B$2:$F$11,5,FALSE)</f>
        <v>15.5</v>
      </c>
      <c r="P386" s="91">
        <f>PRODUCT(Table15[[#This Row],[Quantity]],Table15[[#This Row],[Unit_Cost]])</f>
        <v>620</v>
      </c>
      <c r="Q386" s="72">
        <f>(Table15[[#This Row],[Profit]]/Table15[[#This Row],[Total_Sales]])</f>
        <v>0.26758303411131057</v>
      </c>
      <c r="R386" s="22"/>
      <c r="S386" s="22"/>
      <c r="T386" s="22"/>
      <c r="U386" s="22"/>
    </row>
    <row r="387" spans="1:21" x14ac:dyDescent="0.25">
      <c r="A387" s="7" t="s">
        <v>540</v>
      </c>
      <c r="B387" s="16">
        <v>45506</v>
      </c>
      <c r="C387" s="8" t="s">
        <v>105</v>
      </c>
      <c r="D387" s="8" t="str">
        <f>PROPER(TRIM(Sales_Data!D387))</f>
        <v>Japan</v>
      </c>
      <c r="E387" s="8" t="s">
        <v>63</v>
      </c>
      <c r="F387" s="8" t="s">
        <v>37</v>
      </c>
      <c r="G387" s="91">
        <v>45</v>
      </c>
      <c r="H387" s="9">
        <v>21.71</v>
      </c>
      <c r="I387" s="87">
        <f>PRODUCT(Table15[[#This Row],[Quantity]],Table15[[#This Row],[Unit_Price]])</f>
        <v>976.95</v>
      </c>
      <c r="J387" s="9">
        <v>51.6</v>
      </c>
      <c r="K387" s="47">
        <v>351.6</v>
      </c>
      <c r="L387" s="8" t="s">
        <v>19</v>
      </c>
      <c r="M387" s="8" t="s">
        <v>20</v>
      </c>
      <c r="N387" s="8" t="s">
        <v>58</v>
      </c>
      <c r="O387" s="91">
        <f>VLOOKUP(E387,Product_Master!$B$2:$F$11,5,FALSE)</f>
        <v>12.75</v>
      </c>
      <c r="P387" s="91">
        <f>PRODUCT(Table15[[#This Row],[Quantity]],Table15[[#This Row],[Unit_Cost]])</f>
        <v>573.75</v>
      </c>
      <c r="Q387" s="72">
        <f>(Table15[[#This Row],[Profit]]/Table15[[#This Row],[Total_Sales]])</f>
        <v>0.35989559342852756</v>
      </c>
      <c r="R387" s="22"/>
      <c r="S387" s="22"/>
      <c r="T387" s="22"/>
      <c r="U387" s="22"/>
    </row>
    <row r="388" spans="1:21" x14ac:dyDescent="0.25">
      <c r="A388" s="7" t="s">
        <v>541</v>
      </c>
      <c r="B388" s="16">
        <v>45525</v>
      </c>
      <c r="C388" s="8" t="s">
        <v>181</v>
      </c>
      <c r="D388" s="8" t="str">
        <f>PROPER(TRIM(Sales_Data!D388))</f>
        <v>Germany</v>
      </c>
      <c r="E388" s="8" t="s">
        <v>56</v>
      </c>
      <c r="F388" s="8" t="s">
        <v>57</v>
      </c>
      <c r="G388" s="91">
        <v>8</v>
      </c>
      <c r="H388" s="9">
        <v>31.07</v>
      </c>
      <c r="I388" s="87">
        <f>PRODUCT(Table15[[#This Row],[Quantity]],Table15[[#This Row],[Unit_Price]])</f>
        <v>248.56</v>
      </c>
      <c r="J388" s="9">
        <v>10.97</v>
      </c>
      <c r="K388" s="47">
        <v>37.590000000000003</v>
      </c>
      <c r="L388" s="8" t="s">
        <v>19</v>
      </c>
      <c r="M388" s="8" t="s">
        <v>27</v>
      </c>
      <c r="N388" s="8" t="s">
        <v>28</v>
      </c>
      <c r="O388" s="91">
        <f>VLOOKUP(E388,Product_Master!$B$2:$F$11,5,FALSE)</f>
        <v>25</v>
      </c>
      <c r="P388" s="91">
        <f>PRODUCT(Table15[[#This Row],[Quantity]],Table15[[#This Row],[Unit_Cost]])</f>
        <v>200</v>
      </c>
      <c r="Q388" s="72">
        <f>(Table15[[#This Row],[Profit]]/Table15[[#This Row],[Total_Sales]])</f>
        <v>0.15123109108464758</v>
      </c>
      <c r="R388" s="22"/>
      <c r="S388" s="22"/>
      <c r="T388" s="22"/>
      <c r="U388" s="22"/>
    </row>
    <row r="389" spans="1:21" x14ac:dyDescent="0.25">
      <c r="A389" s="7" t="s">
        <v>542</v>
      </c>
      <c r="B389" s="16">
        <v>45339</v>
      </c>
      <c r="C389" s="8" t="s">
        <v>231</v>
      </c>
      <c r="D389" s="8" t="str">
        <f>PROPER(TRIM(Sales_Data!D389))</f>
        <v>France</v>
      </c>
      <c r="E389" s="8" t="s">
        <v>63</v>
      </c>
      <c r="F389" s="8" t="s">
        <v>37</v>
      </c>
      <c r="G389" s="91">
        <v>47</v>
      </c>
      <c r="H389" s="9">
        <v>21.93</v>
      </c>
      <c r="I389" s="87">
        <f>PRODUCT(Table15[[#This Row],[Quantity]],Table15[[#This Row],[Unit_Price]])</f>
        <v>1030.71</v>
      </c>
      <c r="J389" s="9">
        <v>70.989999999999995</v>
      </c>
      <c r="K389" s="47">
        <v>360.47</v>
      </c>
      <c r="L389" s="8" t="s">
        <v>38</v>
      </c>
      <c r="M389" s="8" t="s">
        <v>20</v>
      </c>
      <c r="N389" s="8" t="s">
        <v>28</v>
      </c>
      <c r="O389" s="91">
        <f>VLOOKUP(E389,Product_Master!$B$2:$F$11,5,FALSE)</f>
        <v>12.75</v>
      </c>
      <c r="P389" s="91">
        <f>PRODUCT(Table15[[#This Row],[Quantity]],Table15[[#This Row],[Unit_Cost]])</f>
        <v>599.25</v>
      </c>
      <c r="Q389" s="72">
        <f>(Table15[[#This Row],[Profit]]/Table15[[#This Row],[Total_Sales]])</f>
        <v>0.3497297979062976</v>
      </c>
      <c r="R389" s="22"/>
      <c r="S389" s="22"/>
      <c r="T389" s="22"/>
      <c r="U389" s="22"/>
    </row>
    <row r="390" spans="1:21" x14ac:dyDescent="0.25">
      <c r="A390" s="7" t="s">
        <v>543</v>
      </c>
      <c r="B390" s="16">
        <v>45486</v>
      </c>
      <c r="C390" s="8" t="s">
        <v>102</v>
      </c>
      <c r="D390" s="8" t="str">
        <f>PROPER(TRIM(Sales_Data!D390))</f>
        <v>France</v>
      </c>
      <c r="E390" s="8" t="s">
        <v>63</v>
      </c>
      <c r="F390" s="8" t="s">
        <v>37</v>
      </c>
      <c r="G390" s="91">
        <v>46</v>
      </c>
      <c r="H390" s="9">
        <v>21.46</v>
      </c>
      <c r="I390" s="87">
        <f>PRODUCT(Table15[[#This Row],[Quantity]],Table15[[#This Row],[Unit_Price]])</f>
        <v>987.16000000000008</v>
      </c>
      <c r="J390" s="9">
        <v>21.64</v>
      </c>
      <c r="K390" s="47">
        <v>379.02</v>
      </c>
      <c r="L390" s="8" t="s">
        <v>26</v>
      </c>
      <c r="M390" s="8" t="s">
        <v>20</v>
      </c>
      <c r="N390" s="8" t="s">
        <v>28</v>
      </c>
      <c r="O390" s="91">
        <f>VLOOKUP(E390,Product_Master!$B$2:$F$11,5,FALSE)</f>
        <v>12.75</v>
      </c>
      <c r="P390" s="91">
        <f>PRODUCT(Table15[[#This Row],[Quantity]],Table15[[#This Row],[Unit_Cost]])</f>
        <v>586.5</v>
      </c>
      <c r="Q390" s="72">
        <f>(Table15[[#This Row],[Profit]]/Table15[[#This Row],[Total_Sales]])</f>
        <v>0.38394991693342512</v>
      </c>
      <c r="R390" s="22"/>
      <c r="S390" s="22"/>
      <c r="T390" s="22"/>
      <c r="U390" s="22"/>
    </row>
    <row r="391" spans="1:21" x14ac:dyDescent="0.25">
      <c r="A391" s="7" t="s">
        <v>544</v>
      </c>
      <c r="B391" s="16">
        <v>45701</v>
      </c>
      <c r="C391" s="8" t="s">
        <v>76</v>
      </c>
      <c r="D391" s="8" t="str">
        <f>PROPER(TRIM(Sales_Data!D391))</f>
        <v>Usa</v>
      </c>
      <c r="E391" s="8" t="s">
        <v>83</v>
      </c>
      <c r="F391" s="8" t="s">
        <v>52</v>
      </c>
      <c r="G391" s="91">
        <v>45</v>
      </c>
      <c r="H391" s="9">
        <v>47.1</v>
      </c>
      <c r="I391" s="87">
        <f>PRODUCT(Table15[[#This Row],[Quantity]],Table15[[#This Row],[Unit_Price]])</f>
        <v>2119.5</v>
      </c>
      <c r="J391" s="9">
        <v>120.16</v>
      </c>
      <c r="K391" s="47">
        <v>739.34</v>
      </c>
      <c r="L391" s="8" t="s">
        <v>26</v>
      </c>
      <c r="M391" s="8" t="s">
        <v>27</v>
      </c>
      <c r="N391" s="8" t="s">
        <v>21</v>
      </c>
      <c r="O391" s="91">
        <f>VLOOKUP(E391,Product_Master!$B$2:$F$11,5,FALSE)</f>
        <v>28</v>
      </c>
      <c r="P391" s="91">
        <f>PRODUCT(Table15[[#This Row],[Quantity]],Table15[[#This Row],[Unit_Cost]])</f>
        <v>1260</v>
      </c>
      <c r="Q391" s="72">
        <f>(Table15[[#This Row],[Profit]]/Table15[[#This Row],[Total_Sales]])</f>
        <v>0.34882755366831802</v>
      </c>
      <c r="R391" s="22"/>
      <c r="S391" s="22"/>
      <c r="T391" s="22"/>
      <c r="U391" s="22"/>
    </row>
    <row r="392" spans="1:21" x14ac:dyDescent="0.25">
      <c r="A392" s="7" t="s">
        <v>545</v>
      </c>
      <c r="B392" s="16">
        <v>45731</v>
      </c>
      <c r="C392" s="8" t="s">
        <v>15</v>
      </c>
      <c r="D392" s="8" t="str">
        <f>PROPER(TRIM(Sales_Data!D392))</f>
        <v>India</v>
      </c>
      <c r="E392" s="8" t="s">
        <v>17</v>
      </c>
      <c r="F392" s="8" t="s">
        <v>18</v>
      </c>
      <c r="G392" s="91">
        <v>2</v>
      </c>
      <c r="H392" s="9">
        <v>58.32</v>
      </c>
      <c r="I392" s="87">
        <f>PRODUCT(Table15[[#This Row],[Quantity]],Table15[[#This Row],[Unit_Price]])</f>
        <v>116.64</v>
      </c>
      <c r="J392" s="9">
        <v>8.99</v>
      </c>
      <c r="K392" s="47">
        <v>37.65</v>
      </c>
      <c r="L392" s="8" t="s">
        <v>19</v>
      </c>
      <c r="M392" s="8" t="s">
        <v>27</v>
      </c>
      <c r="N392" s="8" t="s">
        <v>58</v>
      </c>
      <c r="O392" s="91">
        <f>VLOOKUP(E392,Product_Master!$B$2:$F$11,5,FALSE)</f>
        <v>35</v>
      </c>
      <c r="P392" s="91">
        <f>PRODUCT(Table15[[#This Row],[Quantity]],Table15[[#This Row],[Unit_Cost]])</f>
        <v>70</v>
      </c>
      <c r="Q392" s="72">
        <f>(Table15[[#This Row],[Profit]]/Table15[[#This Row],[Total_Sales]])</f>
        <v>0.32278806584362141</v>
      </c>
      <c r="R392" s="22"/>
      <c r="S392" s="22"/>
      <c r="T392" s="22"/>
      <c r="U392" s="22"/>
    </row>
    <row r="393" spans="1:21" x14ac:dyDescent="0.25">
      <c r="A393" s="7" t="s">
        <v>546</v>
      </c>
      <c r="B393" s="16">
        <v>45338</v>
      </c>
      <c r="C393" s="8" t="s">
        <v>300</v>
      </c>
      <c r="D393" s="8" t="str">
        <f>PROPER(TRIM(Sales_Data!D393))</f>
        <v>France</v>
      </c>
      <c r="E393" s="8" t="s">
        <v>17</v>
      </c>
      <c r="F393" s="8" t="s">
        <v>18</v>
      </c>
      <c r="G393" s="91">
        <v>31</v>
      </c>
      <c r="H393" s="9">
        <v>61.34</v>
      </c>
      <c r="I393" s="87">
        <f>PRODUCT(Table15[[#This Row],[Quantity]],Table15[[#This Row],[Unit_Price]])</f>
        <v>1901.5400000000002</v>
      </c>
      <c r="J393" s="9">
        <v>147.43</v>
      </c>
      <c r="K393" s="47">
        <v>669.11</v>
      </c>
      <c r="L393" s="8" t="s">
        <v>26</v>
      </c>
      <c r="M393" s="8" t="s">
        <v>20</v>
      </c>
      <c r="N393" s="8" t="s">
        <v>28</v>
      </c>
      <c r="O393" s="91">
        <f>VLOOKUP(E393,Product_Master!$B$2:$F$11,5,FALSE)</f>
        <v>35</v>
      </c>
      <c r="P393" s="91">
        <f>PRODUCT(Table15[[#This Row],[Quantity]],Table15[[#This Row],[Unit_Cost]])</f>
        <v>1085</v>
      </c>
      <c r="Q393" s="72">
        <f>(Table15[[#This Row],[Profit]]/Table15[[#This Row],[Total_Sales]])</f>
        <v>0.35187795155505536</v>
      </c>
      <c r="R393" s="22"/>
      <c r="S393" s="22"/>
      <c r="T393" s="22"/>
      <c r="U393" s="22"/>
    </row>
    <row r="394" spans="1:21" x14ac:dyDescent="0.25">
      <c r="A394" s="7" t="s">
        <v>547</v>
      </c>
      <c r="B394" s="16">
        <v>45359</v>
      </c>
      <c r="C394" s="8" t="s">
        <v>166</v>
      </c>
      <c r="D394" s="8" t="str">
        <f>PROPER(TRIM(Sales_Data!D394))</f>
        <v>Canada</v>
      </c>
      <c r="E394" s="8" t="s">
        <v>56</v>
      </c>
      <c r="F394" s="8" t="s">
        <v>57</v>
      </c>
      <c r="G394" s="91">
        <v>15</v>
      </c>
      <c r="H394" s="9">
        <v>43.9</v>
      </c>
      <c r="I394" s="87">
        <f>PRODUCT(Table15[[#This Row],[Quantity]],Table15[[#This Row],[Unit_Price]])</f>
        <v>658.5</v>
      </c>
      <c r="J394" s="9">
        <v>36.479999999999997</v>
      </c>
      <c r="K394" s="47">
        <v>247.02</v>
      </c>
      <c r="L394" s="8" t="s">
        <v>38</v>
      </c>
      <c r="M394" s="8" t="s">
        <v>27</v>
      </c>
      <c r="N394" s="8" t="s">
        <v>21</v>
      </c>
      <c r="O394" s="91">
        <f>VLOOKUP(E394,Product_Master!$B$2:$F$11,5,FALSE)</f>
        <v>25</v>
      </c>
      <c r="P394" s="91">
        <f>PRODUCT(Table15[[#This Row],[Quantity]],Table15[[#This Row],[Unit_Cost]])</f>
        <v>375</v>
      </c>
      <c r="Q394" s="72">
        <f>(Table15[[#This Row],[Profit]]/Table15[[#This Row],[Total_Sales]])</f>
        <v>0.37512528473804102</v>
      </c>
      <c r="R394" s="22"/>
      <c r="S394" s="22"/>
      <c r="T394" s="22"/>
      <c r="U394" s="22"/>
    </row>
    <row r="395" spans="1:21" x14ac:dyDescent="0.25">
      <c r="A395" s="7" t="s">
        <v>548</v>
      </c>
      <c r="B395" s="16">
        <v>45626</v>
      </c>
      <c r="C395" s="8" t="s">
        <v>166</v>
      </c>
      <c r="D395" s="8" t="str">
        <f>PROPER(TRIM(Sales_Data!D395))</f>
        <v>Italy</v>
      </c>
      <c r="E395" s="8" t="s">
        <v>63</v>
      </c>
      <c r="F395" s="8" t="s">
        <v>37</v>
      </c>
      <c r="G395" s="91">
        <v>4</v>
      </c>
      <c r="H395" s="9">
        <v>20.53</v>
      </c>
      <c r="I395" s="87">
        <f>PRODUCT(Table15[[#This Row],[Quantity]],Table15[[#This Row],[Unit_Price]])</f>
        <v>82.12</v>
      </c>
      <c r="J395" s="9">
        <v>4.05</v>
      </c>
      <c r="K395" s="47">
        <v>27.07</v>
      </c>
      <c r="L395" s="8" t="s">
        <v>19</v>
      </c>
      <c r="M395" s="8" t="s">
        <v>32</v>
      </c>
      <c r="N395" s="8" t="s">
        <v>28</v>
      </c>
      <c r="O395" s="91">
        <f>VLOOKUP(E395,Product_Master!$B$2:$F$11,5,FALSE)</f>
        <v>12.75</v>
      </c>
      <c r="P395" s="91">
        <f>PRODUCT(Table15[[#This Row],[Quantity]],Table15[[#This Row],[Unit_Cost]])</f>
        <v>51</v>
      </c>
      <c r="Q395" s="72">
        <f>(Table15[[#This Row],[Profit]]/Table15[[#This Row],[Total_Sales]])</f>
        <v>0.32963955187530442</v>
      </c>
      <c r="R395" s="22"/>
      <c r="S395" s="22"/>
      <c r="T395" s="22"/>
      <c r="U395" s="22"/>
    </row>
    <row r="396" spans="1:21" x14ac:dyDescent="0.25">
      <c r="A396" s="7" t="s">
        <v>549</v>
      </c>
      <c r="B396" s="16">
        <v>45492</v>
      </c>
      <c r="C396" s="8" t="s">
        <v>149</v>
      </c>
      <c r="D396" s="8" t="str">
        <f>PROPER(TRIM(Sales_Data!D396))</f>
        <v>Australia</v>
      </c>
      <c r="E396" s="8" t="s">
        <v>48</v>
      </c>
      <c r="F396" s="8" t="s">
        <v>37</v>
      </c>
      <c r="G396" s="91">
        <v>6</v>
      </c>
      <c r="H396" s="9">
        <v>24.7</v>
      </c>
      <c r="I396" s="87">
        <f>PRODUCT(Table15[[#This Row],[Quantity]],Table15[[#This Row],[Unit_Price]])</f>
        <v>148.19999999999999</v>
      </c>
      <c r="J396" s="9">
        <v>3.76</v>
      </c>
      <c r="K396" s="47">
        <v>24.44</v>
      </c>
      <c r="L396" s="8" t="s">
        <v>38</v>
      </c>
      <c r="M396" s="8" t="s">
        <v>20</v>
      </c>
      <c r="N396" s="8" t="s">
        <v>130</v>
      </c>
      <c r="O396" s="91">
        <f>VLOOKUP(E396,Product_Master!$B$2:$F$11,5,FALSE)</f>
        <v>20</v>
      </c>
      <c r="P396" s="91">
        <f>PRODUCT(Table15[[#This Row],[Quantity]],Table15[[#This Row],[Unit_Cost]])</f>
        <v>120</v>
      </c>
      <c r="Q396" s="72">
        <f>(Table15[[#This Row],[Profit]]/Table15[[#This Row],[Total_Sales]])</f>
        <v>0.1649122807017544</v>
      </c>
      <c r="R396" s="22"/>
      <c r="S396" s="22"/>
      <c r="T396" s="22"/>
      <c r="U396" s="22"/>
    </row>
    <row r="397" spans="1:21" x14ac:dyDescent="0.25">
      <c r="A397" s="7" t="s">
        <v>550</v>
      </c>
      <c r="B397" s="16">
        <v>45645</v>
      </c>
      <c r="C397" s="8" t="s">
        <v>330</v>
      </c>
      <c r="D397" s="8" t="str">
        <f>PROPER(TRIM(Sales_Data!D397))</f>
        <v>Brazil</v>
      </c>
      <c r="E397" s="8" t="s">
        <v>63</v>
      </c>
      <c r="F397" s="8" t="s">
        <v>37</v>
      </c>
      <c r="G397" s="91">
        <v>19</v>
      </c>
      <c r="H397" s="9">
        <v>19.170000000000002</v>
      </c>
      <c r="I397" s="87">
        <f>PRODUCT(Table15[[#This Row],[Quantity]],Table15[[#This Row],[Unit_Price]])</f>
        <v>364.23</v>
      </c>
      <c r="J397" s="9">
        <v>15.16</v>
      </c>
      <c r="K397" s="47">
        <v>106.82</v>
      </c>
      <c r="L397" s="8" t="s">
        <v>26</v>
      </c>
      <c r="M397" s="8" t="s">
        <v>27</v>
      </c>
      <c r="N397" s="8" t="s">
        <v>39</v>
      </c>
      <c r="O397" s="91">
        <f>VLOOKUP(E397,Product_Master!$B$2:$F$11,5,FALSE)</f>
        <v>12.75</v>
      </c>
      <c r="P397" s="91">
        <f>PRODUCT(Table15[[#This Row],[Quantity]],Table15[[#This Row],[Unit_Cost]])</f>
        <v>242.25</v>
      </c>
      <c r="Q397" s="72">
        <f>(Table15[[#This Row],[Profit]]/Table15[[#This Row],[Total_Sales]])</f>
        <v>0.29327622656014052</v>
      </c>
      <c r="R397" s="22"/>
      <c r="S397" s="22"/>
      <c r="T397" s="22"/>
      <c r="U397" s="22"/>
    </row>
    <row r="398" spans="1:21" x14ac:dyDescent="0.25">
      <c r="A398" s="7" t="s">
        <v>551</v>
      </c>
      <c r="B398" s="16">
        <v>45425</v>
      </c>
      <c r="C398" s="8" t="s">
        <v>399</v>
      </c>
      <c r="D398" s="8" t="str">
        <f>PROPER(TRIM(Sales_Data!D398))</f>
        <v>China</v>
      </c>
      <c r="E398" s="8" t="s">
        <v>43</v>
      </c>
      <c r="F398" s="8" t="s">
        <v>44</v>
      </c>
      <c r="G398" s="91">
        <v>2</v>
      </c>
      <c r="H398" s="9">
        <v>55.28</v>
      </c>
      <c r="I398" s="87">
        <f>PRODUCT(Table15[[#This Row],[Quantity]],Table15[[#This Row],[Unit_Price]])</f>
        <v>110.56</v>
      </c>
      <c r="J398" s="9">
        <v>5.37</v>
      </c>
      <c r="K398" s="47">
        <v>25.19</v>
      </c>
      <c r="L398" s="8" t="s">
        <v>38</v>
      </c>
      <c r="M398" s="8" t="s">
        <v>27</v>
      </c>
      <c r="N398" s="8" t="s">
        <v>58</v>
      </c>
      <c r="O398" s="91">
        <f>VLOOKUP(E398,Product_Master!$B$2:$F$11,5,FALSE)</f>
        <v>40</v>
      </c>
      <c r="P398" s="91">
        <f>PRODUCT(Table15[[#This Row],[Quantity]],Table15[[#This Row],[Unit_Cost]])</f>
        <v>80</v>
      </c>
      <c r="Q398" s="72">
        <f>(Table15[[#This Row],[Profit]]/Table15[[#This Row],[Total_Sales]])</f>
        <v>0.22784008683068019</v>
      </c>
      <c r="R398" s="22"/>
      <c r="S398" s="22"/>
      <c r="T398" s="22"/>
      <c r="U398" s="22"/>
    </row>
    <row r="399" spans="1:21" x14ac:dyDescent="0.25">
      <c r="A399" s="7" t="s">
        <v>552</v>
      </c>
      <c r="B399" s="16">
        <v>45444</v>
      </c>
      <c r="C399" s="8" t="s">
        <v>211</v>
      </c>
      <c r="D399" s="8" t="str">
        <f>PROPER(TRIM(Sales_Data!D399))</f>
        <v>Brazil</v>
      </c>
      <c r="E399" s="8" t="s">
        <v>56</v>
      </c>
      <c r="F399" s="8" t="s">
        <v>57</v>
      </c>
      <c r="G399" s="91">
        <v>49</v>
      </c>
      <c r="H399" s="9">
        <v>43.91</v>
      </c>
      <c r="I399" s="87">
        <f>PRODUCT(Table15[[#This Row],[Quantity]],Table15[[#This Row],[Unit_Price]])</f>
        <v>2151.5899999999997</v>
      </c>
      <c r="J399" s="9">
        <v>63.55</v>
      </c>
      <c r="K399" s="47">
        <v>863.04</v>
      </c>
      <c r="L399" s="8" t="s">
        <v>19</v>
      </c>
      <c r="M399" s="8" t="s">
        <v>27</v>
      </c>
      <c r="N399" s="8" t="s">
        <v>39</v>
      </c>
      <c r="O399" s="91">
        <f>VLOOKUP(E399,Product_Master!$B$2:$F$11,5,FALSE)</f>
        <v>25</v>
      </c>
      <c r="P399" s="91">
        <f>PRODUCT(Table15[[#This Row],[Quantity]],Table15[[#This Row],[Unit_Cost]])</f>
        <v>1225</v>
      </c>
      <c r="Q399" s="72">
        <f>(Table15[[#This Row],[Profit]]/Table15[[#This Row],[Total_Sales]])</f>
        <v>0.40111731324276467</v>
      </c>
      <c r="R399" s="22"/>
      <c r="S399" s="22"/>
      <c r="T399" s="22"/>
      <c r="U399" s="22"/>
    </row>
    <row r="400" spans="1:21" x14ac:dyDescent="0.25">
      <c r="A400" s="7" t="s">
        <v>553</v>
      </c>
      <c r="B400" s="16">
        <v>45407</v>
      </c>
      <c r="C400" s="8" t="s">
        <v>193</v>
      </c>
      <c r="D400" s="8" t="str">
        <f>PROPER(TRIM(Sales_Data!D400))</f>
        <v>Brazil</v>
      </c>
      <c r="E400" s="8" t="s">
        <v>56</v>
      </c>
      <c r="F400" s="8" t="s">
        <v>57</v>
      </c>
      <c r="G400" s="91">
        <v>29</v>
      </c>
      <c r="H400" s="9">
        <v>41.84</v>
      </c>
      <c r="I400" s="87">
        <f>PRODUCT(Table15[[#This Row],[Quantity]],Table15[[#This Row],[Unit_Price]])</f>
        <v>1213.3600000000001</v>
      </c>
      <c r="J400" s="9">
        <v>56.83</v>
      </c>
      <c r="K400" s="47">
        <v>431.53</v>
      </c>
      <c r="L400" s="8" t="s">
        <v>38</v>
      </c>
      <c r="M400" s="8" t="s">
        <v>32</v>
      </c>
      <c r="N400" s="8" t="s">
        <v>39</v>
      </c>
      <c r="O400" s="91">
        <f>VLOOKUP(E400,Product_Master!$B$2:$F$11,5,FALSE)</f>
        <v>25</v>
      </c>
      <c r="P400" s="91">
        <f>PRODUCT(Table15[[#This Row],[Quantity]],Table15[[#This Row],[Unit_Cost]])</f>
        <v>725</v>
      </c>
      <c r="Q400" s="72">
        <f>(Table15[[#This Row],[Profit]]/Table15[[#This Row],[Total_Sales]])</f>
        <v>0.35564877694995706</v>
      </c>
      <c r="R400" s="22"/>
      <c r="S400" s="22"/>
      <c r="T400" s="22"/>
      <c r="U400" s="22"/>
    </row>
    <row r="401" spans="1:21" x14ac:dyDescent="0.25">
      <c r="A401" s="7" t="s">
        <v>554</v>
      </c>
      <c r="B401" s="16">
        <v>45454</v>
      </c>
      <c r="C401" s="8" t="s">
        <v>176</v>
      </c>
      <c r="D401" s="8" t="str">
        <f>PROPER(TRIM(Sales_Data!D401))</f>
        <v>South Africa</v>
      </c>
      <c r="E401" s="8" t="s">
        <v>60</v>
      </c>
      <c r="F401" s="8" t="s">
        <v>52</v>
      </c>
      <c r="G401" s="91">
        <v>43</v>
      </c>
      <c r="H401" s="9">
        <v>27.41</v>
      </c>
      <c r="I401" s="87">
        <f>PRODUCT(Table15[[#This Row],[Quantity]],Table15[[#This Row],[Unit_Price]])</f>
        <v>1178.6300000000001</v>
      </c>
      <c r="J401" s="9">
        <v>55.82</v>
      </c>
      <c r="K401" s="47">
        <v>456.31</v>
      </c>
      <c r="L401" s="8" t="s">
        <v>38</v>
      </c>
      <c r="M401" s="8" t="s">
        <v>27</v>
      </c>
      <c r="N401" s="8" t="s">
        <v>87</v>
      </c>
      <c r="O401" s="91">
        <f>VLOOKUP(E401,Product_Master!$B$2:$F$11,5,FALSE)</f>
        <v>15.5</v>
      </c>
      <c r="P401" s="91">
        <f>PRODUCT(Table15[[#This Row],[Quantity]],Table15[[#This Row],[Unit_Cost]])</f>
        <v>666.5</v>
      </c>
      <c r="Q401" s="72">
        <f>(Table15[[#This Row],[Profit]]/Table15[[#This Row],[Total_Sales]])</f>
        <v>0.38715288088713162</v>
      </c>
      <c r="R401" s="22"/>
      <c r="S401" s="22"/>
      <c r="T401" s="22"/>
      <c r="U401" s="22"/>
    </row>
    <row r="402" spans="1:21" x14ac:dyDescent="0.25">
      <c r="A402" s="7" t="s">
        <v>555</v>
      </c>
      <c r="B402" s="16">
        <v>45532</v>
      </c>
      <c r="C402" s="8" t="s">
        <v>473</v>
      </c>
      <c r="D402" s="8" t="str">
        <f>PROPER(TRIM(Sales_Data!D402))</f>
        <v>Mexico</v>
      </c>
      <c r="E402" s="8" t="s">
        <v>48</v>
      </c>
      <c r="F402" s="8" t="s">
        <v>37</v>
      </c>
      <c r="G402" s="91">
        <v>28</v>
      </c>
      <c r="H402" s="9">
        <v>31.84</v>
      </c>
      <c r="I402" s="87">
        <f>PRODUCT(Table15[[#This Row],[Quantity]],Table15[[#This Row],[Unit_Price]])</f>
        <v>891.52</v>
      </c>
      <c r="J402" s="9">
        <v>54.24</v>
      </c>
      <c r="K402" s="47">
        <v>277.27999999999997</v>
      </c>
      <c r="L402" s="8" t="s">
        <v>19</v>
      </c>
      <c r="M402" s="8" t="s">
        <v>27</v>
      </c>
      <c r="N402" s="8" t="s">
        <v>21</v>
      </c>
      <c r="O402" s="91">
        <f>VLOOKUP(E402,Product_Master!$B$2:$F$11,5,FALSE)</f>
        <v>20</v>
      </c>
      <c r="P402" s="91">
        <f>PRODUCT(Table15[[#This Row],[Quantity]],Table15[[#This Row],[Unit_Cost]])</f>
        <v>560</v>
      </c>
      <c r="Q402" s="72">
        <f>(Table15[[#This Row],[Profit]]/Table15[[#This Row],[Total_Sales]])</f>
        <v>0.31101938262742279</v>
      </c>
      <c r="R402" s="22"/>
      <c r="S402" s="22"/>
      <c r="T402" s="22"/>
      <c r="U402" s="22"/>
    </row>
    <row r="403" spans="1:21" x14ac:dyDescent="0.25">
      <c r="A403" s="7" t="s">
        <v>556</v>
      </c>
      <c r="B403" s="16">
        <v>45653</v>
      </c>
      <c r="C403" s="8" t="s">
        <v>291</v>
      </c>
      <c r="D403" s="8" t="str">
        <f>PROPER(TRIM(Sales_Data!D403))</f>
        <v>China</v>
      </c>
      <c r="E403" s="8" t="s">
        <v>56</v>
      </c>
      <c r="F403" s="8" t="s">
        <v>57</v>
      </c>
      <c r="G403" s="91">
        <v>42</v>
      </c>
      <c r="H403" s="9">
        <v>35.840000000000003</v>
      </c>
      <c r="I403" s="87">
        <f>PRODUCT(Table15[[#This Row],[Quantity]],Table15[[#This Row],[Unit_Price]])</f>
        <v>1505.2800000000002</v>
      </c>
      <c r="J403" s="9">
        <v>60.65</v>
      </c>
      <c r="K403" s="47">
        <v>394.63</v>
      </c>
      <c r="L403" s="8" t="s">
        <v>38</v>
      </c>
      <c r="M403" s="8" t="s">
        <v>27</v>
      </c>
      <c r="N403" s="8" t="s">
        <v>58</v>
      </c>
      <c r="O403" s="91">
        <f>VLOOKUP(E403,Product_Master!$B$2:$F$11,5,FALSE)</f>
        <v>25</v>
      </c>
      <c r="P403" s="91">
        <f>PRODUCT(Table15[[#This Row],[Quantity]],Table15[[#This Row],[Unit_Cost]])</f>
        <v>1050</v>
      </c>
      <c r="Q403" s="72">
        <f>(Table15[[#This Row],[Profit]]/Table15[[#This Row],[Total_Sales]])</f>
        <v>0.26216384991496594</v>
      </c>
      <c r="R403" s="22"/>
      <c r="S403" s="22"/>
      <c r="T403" s="22"/>
      <c r="U403" s="22"/>
    </row>
    <row r="404" spans="1:21" x14ac:dyDescent="0.25">
      <c r="A404" s="7" t="s">
        <v>557</v>
      </c>
      <c r="B404" s="16">
        <v>45554</v>
      </c>
      <c r="C404" s="8" t="s">
        <v>62</v>
      </c>
      <c r="D404" s="8" t="str">
        <f>PROPER(TRIM(Sales_Data!D404))</f>
        <v>Singapore</v>
      </c>
      <c r="E404" s="8" t="s">
        <v>51</v>
      </c>
      <c r="F404" s="8" t="s">
        <v>52</v>
      </c>
      <c r="G404" s="91">
        <v>22</v>
      </c>
      <c r="H404" s="9">
        <v>30.55</v>
      </c>
      <c r="I404" s="87">
        <f>PRODUCT(Table15[[#This Row],[Quantity]],Table15[[#This Row],[Unit_Price]])</f>
        <v>672.1</v>
      </c>
      <c r="J404" s="9">
        <v>46.8</v>
      </c>
      <c r="K404" s="47">
        <v>130.30000000000001</v>
      </c>
      <c r="L404" s="8" t="s">
        <v>26</v>
      </c>
      <c r="M404" s="8" t="s">
        <v>32</v>
      </c>
      <c r="N404" s="8" t="s">
        <v>58</v>
      </c>
      <c r="O404" s="91">
        <f>VLOOKUP(E404,Product_Master!$B$2:$F$11,5,FALSE)</f>
        <v>22.5</v>
      </c>
      <c r="P404" s="91">
        <f>PRODUCT(Table15[[#This Row],[Quantity]],Table15[[#This Row],[Unit_Cost]])</f>
        <v>495</v>
      </c>
      <c r="Q404" s="72">
        <f>(Table15[[#This Row],[Profit]]/Table15[[#This Row],[Total_Sales]])</f>
        <v>0.19386995982740665</v>
      </c>
      <c r="R404" s="22"/>
      <c r="S404" s="22"/>
      <c r="T404" s="22"/>
      <c r="U404" s="22"/>
    </row>
    <row r="405" spans="1:21" x14ac:dyDescent="0.25">
      <c r="A405" s="7" t="s">
        <v>558</v>
      </c>
      <c r="B405" s="16">
        <v>45752</v>
      </c>
      <c r="C405" s="8" t="s">
        <v>221</v>
      </c>
      <c r="D405" s="8" t="str">
        <f>PROPER(TRIM(Sales_Data!D405))</f>
        <v>Japan</v>
      </c>
      <c r="E405" s="8" t="s">
        <v>83</v>
      </c>
      <c r="F405" s="8" t="s">
        <v>52</v>
      </c>
      <c r="G405" s="91">
        <v>13</v>
      </c>
      <c r="H405" s="9">
        <v>45.16</v>
      </c>
      <c r="I405" s="87">
        <f>PRODUCT(Table15[[#This Row],[Quantity]],Table15[[#This Row],[Unit_Price]])</f>
        <v>587.07999999999993</v>
      </c>
      <c r="J405" s="9">
        <v>29.68</v>
      </c>
      <c r="K405" s="47">
        <v>193.4</v>
      </c>
      <c r="L405" s="8" t="s">
        <v>26</v>
      </c>
      <c r="M405" s="8" t="s">
        <v>27</v>
      </c>
      <c r="N405" s="8" t="s">
        <v>58</v>
      </c>
      <c r="O405" s="91">
        <f>VLOOKUP(E405,Product_Master!$B$2:$F$11,5,FALSE)</f>
        <v>28</v>
      </c>
      <c r="P405" s="91">
        <f>PRODUCT(Table15[[#This Row],[Quantity]],Table15[[#This Row],[Unit_Cost]])</f>
        <v>364</v>
      </c>
      <c r="Q405" s="72">
        <f>(Table15[[#This Row],[Profit]]/Table15[[#This Row],[Total_Sales]])</f>
        <v>0.32942699461742869</v>
      </c>
      <c r="R405" s="22"/>
      <c r="S405" s="22"/>
      <c r="T405" s="22"/>
      <c r="U405" s="22"/>
    </row>
    <row r="406" spans="1:21" x14ac:dyDescent="0.25">
      <c r="A406" s="7" t="s">
        <v>559</v>
      </c>
      <c r="B406" s="16">
        <v>45465</v>
      </c>
      <c r="C406" s="8" t="s">
        <v>142</v>
      </c>
      <c r="D406" s="8" t="str">
        <f>PROPER(TRIM(Sales_Data!D406))</f>
        <v>Australia</v>
      </c>
      <c r="E406" s="8" t="s">
        <v>17</v>
      </c>
      <c r="F406" s="8" t="s">
        <v>18</v>
      </c>
      <c r="G406" s="91">
        <v>40</v>
      </c>
      <c r="H406" s="9">
        <v>45.23</v>
      </c>
      <c r="I406" s="87">
        <f>PRODUCT(Table15[[#This Row],[Quantity]],Table15[[#This Row],[Unit_Price]])</f>
        <v>1809.1999999999998</v>
      </c>
      <c r="J406" s="9">
        <v>136.25</v>
      </c>
      <c r="K406" s="47">
        <v>272.95</v>
      </c>
      <c r="L406" s="8" t="s">
        <v>38</v>
      </c>
      <c r="M406" s="8" t="s">
        <v>32</v>
      </c>
      <c r="N406" s="8" t="s">
        <v>130</v>
      </c>
      <c r="O406" s="91">
        <f>VLOOKUP(E406,Product_Master!$B$2:$F$11,5,FALSE)</f>
        <v>35</v>
      </c>
      <c r="P406" s="91">
        <f>PRODUCT(Table15[[#This Row],[Quantity]],Table15[[#This Row],[Unit_Cost]])</f>
        <v>1400</v>
      </c>
      <c r="Q406" s="72">
        <f>(Table15[[#This Row],[Profit]]/Table15[[#This Row],[Total_Sales]])</f>
        <v>0.1508677868671236</v>
      </c>
      <c r="R406" s="22"/>
      <c r="S406" s="22"/>
      <c r="T406" s="22"/>
      <c r="U406" s="22"/>
    </row>
    <row r="407" spans="1:21" x14ac:dyDescent="0.25">
      <c r="A407" s="7" t="s">
        <v>560</v>
      </c>
      <c r="B407" s="16">
        <v>45310</v>
      </c>
      <c r="C407" s="8" t="s">
        <v>257</v>
      </c>
      <c r="D407" s="8" t="str">
        <f>PROPER(TRIM(Sales_Data!D407))</f>
        <v>Japan</v>
      </c>
      <c r="E407" s="8" t="s">
        <v>25</v>
      </c>
      <c r="F407" s="8" t="s">
        <v>18</v>
      </c>
      <c r="G407" s="91">
        <v>41</v>
      </c>
      <c r="H407" s="9">
        <v>22.78</v>
      </c>
      <c r="I407" s="87">
        <f>PRODUCT(Table15[[#This Row],[Quantity]],Table15[[#This Row],[Unit_Price]])</f>
        <v>933.98</v>
      </c>
      <c r="J407" s="9">
        <v>38.369999999999997</v>
      </c>
      <c r="K407" s="47">
        <v>157.61000000000001</v>
      </c>
      <c r="L407" s="8" t="s">
        <v>26</v>
      </c>
      <c r="M407" s="8" t="s">
        <v>20</v>
      </c>
      <c r="N407" s="8" t="s">
        <v>58</v>
      </c>
      <c r="O407" s="91">
        <f>VLOOKUP(E407,Product_Master!$B$2:$F$11,5,FALSE)</f>
        <v>18</v>
      </c>
      <c r="P407" s="91">
        <f>PRODUCT(Table15[[#This Row],[Quantity]],Table15[[#This Row],[Unit_Cost]])</f>
        <v>738</v>
      </c>
      <c r="Q407" s="72">
        <f>(Table15[[#This Row],[Profit]]/Table15[[#This Row],[Total_Sales]])</f>
        <v>0.16875093685089618</v>
      </c>
      <c r="R407" s="22"/>
      <c r="S407" s="22"/>
      <c r="T407" s="22"/>
      <c r="U407" s="22"/>
    </row>
    <row r="408" spans="1:21" x14ac:dyDescent="0.25">
      <c r="A408" s="7" t="s">
        <v>561</v>
      </c>
      <c r="B408" s="16">
        <v>45498</v>
      </c>
      <c r="C408" s="8" t="s">
        <v>102</v>
      </c>
      <c r="D408" s="8" t="str">
        <f>PROPER(TRIM(Sales_Data!D408))</f>
        <v>France</v>
      </c>
      <c r="E408" s="8" t="s">
        <v>60</v>
      </c>
      <c r="F408" s="8" t="s">
        <v>52</v>
      </c>
      <c r="G408" s="91">
        <v>34</v>
      </c>
      <c r="H408" s="9">
        <v>24.21</v>
      </c>
      <c r="I408" s="87">
        <f>PRODUCT(Table15[[#This Row],[Quantity]],Table15[[#This Row],[Unit_Price]])</f>
        <v>823.14</v>
      </c>
      <c r="J408" s="9">
        <v>58.25</v>
      </c>
      <c r="K408" s="47">
        <v>237.89</v>
      </c>
      <c r="L408" s="8" t="s">
        <v>19</v>
      </c>
      <c r="M408" s="8" t="s">
        <v>20</v>
      </c>
      <c r="N408" s="8" t="s">
        <v>28</v>
      </c>
      <c r="O408" s="91">
        <f>VLOOKUP(E408,Product_Master!$B$2:$F$11,5,FALSE)</f>
        <v>15.5</v>
      </c>
      <c r="P408" s="91">
        <f>PRODUCT(Table15[[#This Row],[Quantity]],Table15[[#This Row],[Unit_Cost]])</f>
        <v>527</v>
      </c>
      <c r="Q408" s="72">
        <f>(Table15[[#This Row],[Profit]]/Table15[[#This Row],[Total_Sales]])</f>
        <v>0.28900308574483075</v>
      </c>
      <c r="R408" s="22"/>
      <c r="S408" s="22"/>
      <c r="T408" s="22"/>
      <c r="U408" s="22"/>
    </row>
    <row r="409" spans="1:21" x14ac:dyDescent="0.25">
      <c r="A409" s="7" t="s">
        <v>562</v>
      </c>
      <c r="B409" s="16">
        <v>45762</v>
      </c>
      <c r="C409" s="8" t="s">
        <v>115</v>
      </c>
      <c r="D409" s="8" t="str">
        <f>PROPER(TRIM(Sales_Data!D409))</f>
        <v>Uk</v>
      </c>
      <c r="E409" s="8" t="s">
        <v>48</v>
      </c>
      <c r="F409" s="8" t="s">
        <v>37</v>
      </c>
      <c r="G409" s="91">
        <v>46</v>
      </c>
      <c r="H409" s="9">
        <v>34.64</v>
      </c>
      <c r="I409" s="87">
        <f>PRODUCT(Table15[[#This Row],[Quantity]],Table15[[#This Row],[Unit_Price]])</f>
        <v>1593.44</v>
      </c>
      <c r="J409" s="9">
        <v>45.93</v>
      </c>
      <c r="K409" s="47">
        <v>627.51</v>
      </c>
      <c r="L409" s="8" t="s">
        <v>38</v>
      </c>
      <c r="M409" s="8" t="s">
        <v>20</v>
      </c>
      <c r="N409" s="8" t="s">
        <v>28</v>
      </c>
      <c r="O409" s="91">
        <f>VLOOKUP(E409,Product_Master!$B$2:$F$11,5,FALSE)</f>
        <v>20</v>
      </c>
      <c r="P409" s="91">
        <f>PRODUCT(Table15[[#This Row],[Quantity]],Table15[[#This Row],[Unit_Cost]])</f>
        <v>920</v>
      </c>
      <c r="Q409" s="72">
        <f>(Table15[[#This Row],[Profit]]/Table15[[#This Row],[Total_Sales]])</f>
        <v>0.39380836429360377</v>
      </c>
      <c r="R409" s="22"/>
      <c r="S409" s="22"/>
      <c r="T409" s="22"/>
      <c r="U409" s="22"/>
    </row>
    <row r="410" spans="1:21" x14ac:dyDescent="0.25">
      <c r="A410" s="7" t="s">
        <v>563</v>
      </c>
      <c r="B410" s="16">
        <v>45308</v>
      </c>
      <c r="C410" s="8" t="s">
        <v>142</v>
      </c>
      <c r="D410" s="8" t="str">
        <f>PROPER(TRIM(Sales_Data!D410))</f>
        <v>Canada</v>
      </c>
      <c r="E410" s="8" t="s">
        <v>48</v>
      </c>
      <c r="F410" s="8" t="s">
        <v>37</v>
      </c>
      <c r="G410" s="91">
        <v>10</v>
      </c>
      <c r="H410" s="9">
        <v>27.06</v>
      </c>
      <c r="I410" s="87">
        <f>PRODUCT(Table15[[#This Row],[Quantity]],Table15[[#This Row],[Unit_Price]])</f>
        <v>270.59999999999997</v>
      </c>
      <c r="J410" s="9">
        <v>15.35</v>
      </c>
      <c r="K410" s="47">
        <v>55.25</v>
      </c>
      <c r="L410" s="8" t="s">
        <v>19</v>
      </c>
      <c r="M410" s="8" t="s">
        <v>32</v>
      </c>
      <c r="N410" s="8" t="s">
        <v>21</v>
      </c>
      <c r="O410" s="91">
        <f>VLOOKUP(E410,Product_Master!$B$2:$F$11,5,FALSE)</f>
        <v>20</v>
      </c>
      <c r="P410" s="91">
        <f>PRODUCT(Table15[[#This Row],[Quantity]],Table15[[#This Row],[Unit_Cost]])</f>
        <v>200</v>
      </c>
      <c r="Q410" s="72">
        <f>(Table15[[#This Row],[Profit]]/Table15[[#This Row],[Total_Sales]])</f>
        <v>0.20417590539541761</v>
      </c>
      <c r="R410" s="22"/>
      <c r="S410" s="22"/>
      <c r="T410" s="22"/>
      <c r="U410" s="22"/>
    </row>
    <row r="411" spans="1:21" x14ac:dyDescent="0.25">
      <c r="A411" s="7" t="s">
        <v>564</v>
      </c>
      <c r="B411" s="16">
        <v>45575</v>
      </c>
      <c r="C411" s="8" t="s">
        <v>139</v>
      </c>
      <c r="D411" s="8" t="str">
        <f>PROPER(TRIM(Sales_Data!D411))</f>
        <v>Uk</v>
      </c>
      <c r="E411" s="8" t="s">
        <v>25</v>
      </c>
      <c r="F411" s="8" t="s">
        <v>18</v>
      </c>
      <c r="G411" s="91">
        <v>11</v>
      </c>
      <c r="H411" s="9">
        <v>27.74</v>
      </c>
      <c r="I411" s="87">
        <f>PRODUCT(Table15[[#This Row],[Quantity]],Table15[[#This Row],[Unit_Price]])</f>
        <v>305.14</v>
      </c>
      <c r="J411" s="9">
        <v>10.81</v>
      </c>
      <c r="K411" s="47">
        <v>96.33</v>
      </c>
      <c r="L411" s="8" t="s">
        <v>26</v>
      </c>
      <c r="M411" s="8" t="s">
        <v>32</v>
      </c>
      <c r="N411" s="8" t="s">
        <v>28</v>
      </c>
      <c r="O411" s="91">
        <f>VLOOKUP(E411,Product_Master!$B$2:$F$11,5,FALSE)</f>
        <v>18</v>
      </c>
      <c r="P411" s="91">
        <f>PRODUCT(Table15[[#This Row],[Quantity]],Table15[[#This Row],[Unit_Cost]])</f>
        <v>198</v>
      </c>
      <c r="Q411" s="72">
        <f>(Table15[[#This Row],[Profit]]/Table15[[#This Row],[Total_Sales]])</f>
        <v>0.31569115815691157</v>
      </c>
      <c r="R411" s="22"/>
      <c r="S411" s="22"/>
      <c r="T411" s="22"/>
      <c r="U411" s="22"/>
    </row>
    <row r="412" spans="1:21" x14ac:dyDescent="0.25">
      <c r="A412" s="7" t="s">
        <v>565</v>
      </c>
      <c r="B412" s="16">
        <v>45305</v>
      </c>
      <c r="C412" s="8" t="s">
        <v>97</v>
      </c>
      <c r="D412" s="8" t="str">
        <f>PROPER(TRIM(Sales_Data!D412))</f>
        <v>Canada</v>
      </c>
      <c r="E412" s="8" t="s">
        <v>83</v>
      </c>
      <c r="F412" s="8" t="s">
        <v>52</v>
      </c>
      <c r="G412" s="91">
        <v>29</v>
      </c>
      <c r="H412" s="9">
        <v>38.08</v>
      </c>
      <c r="I412" s="87">
        <f>PRODUCT(Table15[[#This Row],[Quantity]],Table15[[#This Row],[Unit_Price]])</f>
        <v>1104.32</v>
      </c>
      <c r="J412" s="9">
        <v>25.63</v>
      </c>
      <c r="K412" s="47">
        <v>266.69</v>
      </c>
      <c r="L412" s="8" t="s">
        <v>26</v>
      </c>
      <c r="M412" s="8" t="s">
        <v>32</v>
      </c>
      <c r="N412" s="8" t="s">
        <v>21</v>
      </c>
      <c r="O412" s="91">
        <f>VLOOKUP(E412,Product_Master!$B$2:$F$11,5,FALSE)</f>
        <v>28</v>
      </c>
      <c r="P412" s="91">
        <f>PRODUCT(Table15[[#This Row],[Quantity]],Table15[[#This Row],[Unit_Cost]])</f>
        <v>812</v>
      </c>
      <c r="Q412" s="72">
        <f>(Table15[[#This Row],[Profit]]/Table15[[#This Row],[Total_Sales]])</f>
        <v>0.24149702984642135</v>
      </c>
      <c r="R412" s="22"/>
      <c r="S412" s="22"/>
      <c r="T412" s="22"/>
      <c r="U412" s="22"/>
    </row>
    <row r="413" spans="1:21" x14ac:dyDescent="0.25">
      <c r="A413" s="7" t="s">
        <v>566</v>
      </c>
      <c r="B413" s="16">
        <v>45749</v>
      </c>
      <c r="C413" s="8" t="s">
        <v>119</v>
      </c>
      <c r="D413" s="8" t="str">
        <f>PROPER(TRIM(Sales_Data!D413))</f>
        <v>Canada</v>
      </c>
      <c r="E413" s="8" t="s">
        <v>83</v>
      </c>
      <c r="F413" s="8" t="s">
        <v>52</v>
      </c>
      <c r="G413" s="91">
        <v>18</v>
      </c>
      <c r="H413" s="9">
        <v>43.65</v>
      </c>
      <c r="I413" s="87">
        <f>PRODUCT(Table15[[#This Row],[Quantity]],Table15[[#This Row],[Unit_Price]])</f>
        <v>785.69999999999993</v>
      </c>
      <c r="J413" s="9">
        <v>54.52</v>
      </c>
      <c r="K413" s="47">
        <v>227.18</v>
      </c>
      <c r="L413" s="8" t="s">
        <v>26</v>
      </c>
      <c r="M413" s="8" t="s">
        <v>20</v>
      </c>
      <c r="N413" s="8" t="s">
        <v>21</v>
      </c>
      <c r="O413" s="91">
        <f>VLOOKUP(E413,Product_Master!$B$2:$F$11,5,FALSE)</f>
        <v>28</v>
      </c>
      <c r="P413" s="91">
        <f>PRODUCT(Table15[[#This Row],[Quantity]],Table15[[#This Row],[Unit_Cost]])</f>
        <v>504</v>
      </c>
      <c r="Q413" s="72">
        <f>(Table15[[#This Row],[Profit]]/Table15[[#This Row],[Total_Sales]])</f>
        <v>0.28914343897161771</v>
      </c>
      <c r="R413" s="22"/>
      <c r="S413" s="22"/>
      <c r="T413" s="22"/>
      <c r="U413" s="22"/>
    </row>
    <row r="414" spans="1:21" x14ac:dyDescent="0.25">
      <c r="A414" s="7" t="s">
        <v>567</v>
      </c>
      <c r="B414" s="16">
        <v>45335</v>
      </c>
      <c r="C414" s="8" t="s">
        <v>354</v>
      </c>
      <c r="D414" s="8" t="str">
        <f>PROPER(TRIM(Sales_Data!D414))</f>
        <v>France</v>
      </c>
      <c r="E414" s="8" t="s">
        <v>17</v>
      </c>
      <c r="F414" s="8" t="s">
        <v>18</v>
      </c>
      <c r="G414" s="91">
        <v>49</v>
      </c>
      <c r="H414" s="9">
        <v>51.97</v>
      </c>
      <c r="I414" s="87">
        <f>PRODUCT(Table15[[#This Row],[Quantity]],Table15[[#This Row],[Unit_Price]])</f>
        <v>2546.5299999999997</v>
      </c>
      <c r="J414" s="9">
        <v>112.26</v>
      </c>
      <c r="K414" s="47">
        <v>719.27</v>
      </c>
      <c r="L414" s="8" t="s">
        <v>26</v>
      </c>
      <c r="M414" s="8" t="s">
        <v>27</v>
      </c>
      <c r="N414" s="8" t="s">
        <v>28</v>
      </c>
      <c r="O414" s="91">
        <f>VLOOKUP(E414,Product_Master!$B$2:$F$11,5,FALSE)</f>
        <v>35</v>
      </c>
      <c r="P414" s="91">
        <f>PRODUCT(Table15[[#This Row],[Quantity]],Table15[[#This Row],[Unit_Cost]])</f>
        <v>1715</v>
      </c>
      <c r="Q414" s="72">
        <f>(Table15[[#This Row],[Profit]]/Table15[[#This Row],[Total_Sales]])</f>
        <v>0.28245102158623697</v>
      </c>
      <c r="R414" s="22"/>
      <c r="S414" s="22"/>
      <c r="T414" s="22"/>
      <c r="U414" s="22"/>
    </row>
    <row r="415" spans="1:21" x14ac:dyDescent="0.25">
      <c r="A415" s="7" t="s">
        <v>568</v>
      </c>
      <c r="B415" s="16">
        <v>45680</v>
      </c>
      <c r="C415" s="8" t="s">
        <v>123</v>
      </c>
      <c r="D415" s="8" t="str">
        <f>PROPER(TRIM(Sales_Data!D415))</f>
        <v>Singapore</v>
      </c>
      <c r="E415" s="8" t="s">
        <v>56</v>
      </c>
      <c r="F415" s="8" t="s">
        <v>57</v>
      </c>
      <c r="G415" s="91">
        <v>13</v>
      </c>
      <c r="H415" s="9">
        <v>36.85</v>
      </c>
      <c r="I415" s="87">
        <f>PRODUCT(Table15[[#This Row],[Quantity]],Table15[[#This Row],[Unit_Price]])</f>
        <v>479.05</v>
      </c>
      <c r="J415" s="9">
        <v>10.15</v>
      </c>
      <c r="K415" s="47">
        <v>143.9</v>
      </c>
      <c r="L415" s="8" t="s">
        <v>19</v>
      </c>
      <c r="M415" s="8" t="s">
        <v>32</v>
      </c>
      <c r="N415" s="8" t="s">
        <v>58</v>
      </c>
      <c r="O415" s="91">
        <f>VLOOKUP(E415,Product_Master!$B$2:$F$11,5,FALSE)</f>
        <v>25</v>
      </c>
      <c r="P415" s="91">
        <f>PRODUCT(Table15[[#This Row],[Quantity]],Table15[[#This Row],[Unit_Cost]])</f>
        <v>325</v>
      </c>
      <c r="Q415" s="72">
        <f>(Table15[[#This Row],[Profit]]/Table15[[#This Row],[Total_Sales]])</f>
        <v>0.30038618098319592</v>
      </c>
      <c r="R415" s="22"/>
      <c r="S415" s="22"/>
      <c r="T415" s="22"/>
      <c r="U415" s="22"/>
    </row>
    <row r="416" spans="1:21" x14ac:dyDescent="0.25">
      <c r="A416" s="7" t="s">
        <v>569</v>
      </c>
      <c r="B416" s="16">
        <v>45443</v>
      </c>
      <c r="C416" s="8" t="s">
        <v>73</v>
      </c>
      <c r="D416" s="8" t="str">
        <f>PROPER(TRIM(Sales_Data!D416))</f>
        <v>Canada</v>
      </c>
      <c r="E416" s="8" t="s">
        <v>36</v>
      </c>
      <c r="F416" s="8" t="s">
        <v>37</v>
      </c>
      <c r="G416" s="91">
        <v>33</v>
      </c>
      <c r="H416" s="9">
        <v>38.520000000000003</v>
      </c>
      <c r="I416" s="87">
        <f>PRODUCT(Table15[[#This Row],[Quantity]],Table15[[#This Row],[Unit_Price]])</f>
        <v>1271.1600000000001</v>
      </c>
      <c r="J416" s="9">
        <v>81.459999999999994</v>
      </c>
      <c r="K416" s="47">
        <v>133.69999999999999</v>
      </c>
      <c r="L416" s="8" t="s">
        <v>19</v>
      </c>
      <c r="M416" s="8" t="s">
        <v>20</v>
      </c>
      <c r="N416" s="8" t="s">
        <v>21</v>
      </c>
      <c r="O416" s="91">
        <f>VLOOKUP(E416,Product_Master!$B$2:$F$11,5,FALSE)</f>
        <v>32</v>
      </c>
      <c r="P416" s="91">
        <f>PRODUCT(Table15[[#This Row],[Quantity]],Table15[[#This Row],[Unit_Cost]])</f>
        <v>1056</v>
      </c>
      <c r="Q416" s="72">
        <f>(Table15[[#This Row],[Profit]]/Table15[[#This Row],[Total_Sales]])</f>
        <v>0.10517952106737152</v>
      </c>
      <c r="R416" s="22"/>
      <c r="S416" s="22"/>
      <c r="T416" s="22"/>
      <c r="U416" s="22"/>
    </row>
    <row r="417" spans="1:21" x14ac:dyDescent="0.25">
      <c r="A417" s="7" t="s">
        <v>570</v>
      </c>
      <c r="B417" s="16">
        <v>45769</v>
      </c>
      <c r="C417" s="8" t="s">
        <v>240</v>
      </c>
      <c r="D417" s="8" t="str">
        <f>PROPER(TRIM(Sales_Data!D417))</f>
        <v>China</v>
      </c>
      <c r="E417" s="8" t="s">
        <v>60</v>
      </c>
      <c r="F417" s="8" t="s">
        <v>52</v>
      </c>
      <c r="G417" s="91">
        <v>41</v>
      </c>
      <c r="H417" s="9">
        <v>26.98</v>
      </c>
      <c r="I417" s="87">
        <f>PRODUCT(Table15[[#This Row],[Quantity]],Table15[[#This Row],[Unit_Price]])</f>
        <v>1106.18</v>
      </c>
      <c r="J417" s="9">
        <v>51.77</v>
      </c>
      <c r="K417" s="47">
        <v>418.91</v>
      </c>
      <c r="L417" s="8" t="s">
        <v>38</v>
      </c>
      <c r="M417" s="8" t="s">
        <v>27</v>
      </c>
      <c r="N417" s="8" t="s">
        <v>58</v>
      </c>
      <c r="O417" s="91">
        <f>VLOOKUP(E417,Product_Master!$B$2:$F$11,5,FALSE)</f>
        <v>15.5</v>
      </c>
      <c r="P417" s="91">
        <f>PRODUCT(Table15[[#This Row],[Quantity]],Table15[[#This Row],[Unit_Cost]])</f>
        <v>635.5</v>
      </c>
      <c r="Q417" s="72">
        <f>(Table15[[#This Row],[Profit]]/Table15[[#This Row],[Total_Sales]])</f>
        <v>0.37869966913160608</v>
      </c>
      <c r="R417" s="22"/>
      <c r="S417" s="22"/>
      <c r="T417" s="22"/>
      <c r="U417" s="22"/>
    </row>
    <row r="418" spans="1:21" x14ac:dyDescent="0.25">
      <c r="A418" s="7" t="s">
        <v>571</v>
      </c>
      <c r="B418" s="16">
        <v>45347</v>
      </c>
      <c r="C418" s="8" t="s">
        <v>97</v>
      </c>
      <c r="D418" s="8" t="str">
        <f>PROPER(TRIM(Sales_Data!D418))</f>
        <v>France</v>
      </c>
      <c r="E418" s="8" t="s">
        <v>60</v>
      </c>
      <c r="F418" s="8" t="s">
        <v>52</v>
      </c>
      <c r="G418" s="91">
        <v>4</v>
      </c>
      <c r="H418" s="9">
        <v>23.56</v>
      </c>
      <c r="I418" s="87">
        <f>PRODUCT(Table15[[#This Row],[Quantity]],Table15[[#This Row],[Unit_Price]])</f>
        <v>94.24</v>
      </c>
      <c r="J418" s="9">
        <v>7.03</v>
      </c>
      <c r="K418" s="47">
        <v>25.21</v>
      </c>
      <c r="L418" s="8" t="s">
        <v>38</v>
      </c>
      <c r="M418" s="8" t="s">
        <v>32</v>
      </c>
      <c r="N418" s="8" t="s">
        <v>28</v>
      </c>
      <c r="O418" s="91">
        <f>VLOOKUP(E418,Product_Master!$B$2:$F$11,5,FALSE)</f>
        <v>15.5</v>
      </c>
      <c r="P418" s="91">
        <f>PRODUCT(Table15[[#This Row],[Quantity]],Table15[[#This Row],[Unit_Cost]])</f>
        <v>62</v>
      </c>
      <c r="Q418" s="72">
        <f>(Table15[[#This Row],[Profit]]/Table15[[#This Row],[Total_Sales]])</f>
        <v>0.26750848896434637</v>
      </c>
      <c r="R418" s="22"/>
      <c r="S418" s="22"/>
      <c r="T418" s="22"/>
      <c r="U418" s="22"/>
    </row>
    <row r="419" spans="1:21" x14ac:dyDescent="0.25">
      <c r="A419" s="7" t="s">
        <v>572</v>
      </c>
      <c r="B419" s="16">
        <v>45494</v>
      </c>
      <c r="C419" s="8" t="s">
        <v>297</v>
      </c>
      <c r="D419" s="8" t="str">
        <f>PROPER(TRIM(Sales_Data!D419))</f>
        <v>India</v>
      </c>
      <c r="E419" s="8" t="s">
        <v>36</v>
      </c>
      <c r="F419" s="8" t="s">
        <v>37</v>
      </c>
      <c r="G419" s="91">
        <v>17</v>
      </c>
      <c r="H419" s="9">
        <v>57.14</v>
      </c>
      <c r="I419" s="87">
        <f>PRODUCT(Table15[[#This Row],[Quantity]],Table15[[#This Row],[Unit_Price]])</f>
        <v>971.38</v>
      </c>
      <c r="J419" s="9">
        <v>70.010000000000005</v>
      </c>
      <c r="K419" s="47">
        <v>357.37</v>
      </c>
      <c r="L419" s="8" t="s">
        <v>38</v>
      </c>
      <c r="M419" s="8" t="s">
        <v>27</v>
      </c>
      <c r="N419" s="8" t="s">
        <v>58</v>
      </c>
      <c r="O419" s="91">
        <f>VLOOKUP(E419,Product_Master!$B$2:$F$11,5,FALSE)</f>
        <v>32</v>
      </c>
      <c r="P419" s="91">
        <f>PRODUCT(Table15[[#This Row],[Quantity]],Table15[[#This Row],[Unit_Cost]])</f>
        <v>544</v>
      </c>
      <c r="Q419" s="72">
        <f>(Table15[[#This Row],[Profit]]/Table15[[#This Row],[Total_Sales]])</f>
        <v>0.36789927731680705</v>
      </c>
      <c r="R419" s="22"/>
      <c r="S419" s="22"/>
      <c r="T419" s="22"/>
      <c r="U419" s="22"/>
    </row>
    <row r="420" spans="1:21" x14ac:dyDescent="0.25">
      <c r="A420" s="7" t="s">
        <v>573</v>
      </c>
      <c r="B420" s="16">
        <v>45705</v>
      </c>
      <c r="C420" s="8" t="s">
        <v>113</v>
      </c>
      <c r="D420" s="8" t="str">
        <f>PROPER(TRIM(Sales_Data!D420))</f>
        <v>Australia</v>
      </c>
      <c r="E420" s="8" t="s">
        <v>56</v>
      </c>
      <c r="F420" s="8" t="s">
        <v>57</v>
      </c>
      <c r="G420" s="91">
        <v>44</v>
      </c>
      <c r="H420" s="9">
        <v>38.14</v>
      </c>
      <c r="I420" s="87">
        <f>PRODUCT(Table15[[#This Row],[Quantity]],Table15[[#This Row],[Unit_Price]])</f>
        <v>1678.16</v>
      </c>
      <c r="J420" s="9">
        <v>124.49</v>
      </c>
      <c r="K420" s="47">
        <v>453.67</v>
      </c>
      <c r="L420" s="8" t="s">
        <v>38</v>
      </c>
      <c r="M420" s="8" t="s">
        <v>20</v>
      </c>
      <c r="N420" s="8" t="s">
        <v>130</v>
      </c>
      <c r="O420" s="91">
        <f>VLOOKUP(E420,Product_Master!$B$2:$F$11,5,FALSE)</f>
        <v>25</v>
      </c>
      <c r="P420" s="91">
        <f>PRODUCT(Table15[[#This Row],[Quantity]],Table15[[#This Row],[Unit_Cost]])</f>
        <v>1100</v>
      </c>
      <c r="Q420" s="72">
        <f>(Table15[[#This Row],[Profit]]/Table15[[#This Row],[Total_Sales]])</f>
        <v>0.27033775087000045</v>
      </c>
      <c r="R420" s="22"/>
      <c r="S420" s="22"/>
      <c r="T420" s="22"/>
      <c r="U420" s="22"/>
    </row>
    <row r="421" spans="1:21" x14ac:dyDescent="0.25">
      <c r="A421" s="7" t="s">
        <v>574</v>
      </c>
      <c r="B421" s="16">
        <v>45482</v>
      </c>
      <c r="C421" s="8" t="s">
        <v>102</v>
      </c>
      <c r="D421" s="8" t="str">
        <f>PROPER(TRIM(Sales_Data!D421))</f>
        <v>South Africa</v>
      </c>
      <c r="E421" s="8" t="s">
        <v>25</v>
      </c>
      <c r="F421" s="8" t="s">
        <v>18</v>
      </c>
      <c r="G421" s="91">
        <v>14</v>
      </c>
      <c r="H421" s="9">
        <v>24</v>
      </c>
      <c r="I421" s="87">
        <f>PRODUCT(Table15[[#This Row],[Quantity]],Table15[[#This Row],[Unit_Price]])</f>
        <v>336</v>
      </c>
      <c r="J421" s="9">
        <v>22.88</v>
      </c>
      <c r="K421" s="47">
        <v>61.12</v>
      </c>
      <c r="L421" s="8" t="s">
        <v>26</v>
      </c>
      <c r="M421" s="8" t="s">
        <v>27</v>
      </c>
      <c r="N421" s="8" t="s">
        <v>87</v>
      </c>
      <c r="O421" s="91">
        <f>VLOOKUP(E421,Product_Master!$B$2:$F$11,5,FALSE)</f>
        <v>18</v>
      </c>
      <c r="P421" s="91">
        <f>PRODUCT(Table15[[#This Row],[Quantity]],Table15[[#This Row],[Unit_Cost]])</f>
        <v>252</v>
      </c>
      <c r="Q421" s="72">
        <f>(Table15[[#This Row],[Profit]]/Table15[[#This Row],[Total_Sales]])</f>
        <v>0.1819047619047619</v>
      </c>
      <c r="R421" s="22"/>
      <c r="S421" s="22"/>
      <c r="T421" s="22"/>
      <c r="U421" s="22"/>
    </row>
    <row r="422" spans="1:21" x14ac:dyDescent="0.25">
      <c r="A422" s="7" t="s">
        <v>575</v>
      </c>
      <c r="B422" s="16">
        <v>45346</v>
      </c>
      <c r="C422" s="8" t="s">
        <v>76</v>
      </c>
      <c r="D422" s="8" t="str">
        <f>PROPER(TRIM(Sales_Data!D422))</f>
        <v>China</v>
      </c>
      <c r="E422" s="8" t="s">
        <v>60</v>
      </c>
      <c r="F422" s="8" t="s">
        <v>52</v>
      </c>
      <c r="G422" s="91">
        <v>50</v>
      </c>
      <c r="H422" s="9">
        <v>26.91</v>
      </c>
      <c r="I422" s="87">
        <f>PRODUCT(Table15[[#This Row],[Quantity]],Table15[[#This Row],[Unit_Price]])</f>
        <v>1345.5</v>
      </c>
      <c r="J422" s="9">
        <v>91.7</v>
      </c>
      <c r="K422" s="47">
        <v>478.8</v>
      </c>
      <c r="L422" s="8" t="s">
        <v>38</v>
      </c>
      <c r="M422" s="8" t="s">
        <v>20</v>
      </c>
      <c r="N422" s="8" t="s">
        <v>58</v>
      </c>
      <c r="O422" s="91">
        <f>VLOOKUP(E422,Product_Master!$B$2:$F$11,5,FALSE)</f>
        <v>15.5</v>
      </c>
      <c r="P422" s="91">
        <f>PRODUCT(Table15[[#This Row],[Quantity]],Table15[[#This Row],[Unit_Cost]])</f>
        <v>775</v>
      </c>
      <c r="Q422" s="72">
        <f>(Table15[[#This Row],[Profit]]/Table15[[#This Row],[Total_Sales]])</f>
        <v>0.35585284280936458</v>
      </c>
      <c r="R422" s="22"/>
      <c r="S422" s="22"/>
      <c r="T422" s="22"/>
      <c r="U422" s="22"/>
    </row>
    <row r="423" spans="1:21" x14ac:dyDescent="0.25">
      <c r="A423" s="7" t="s">
        <v>576</v>
      </c>
      <c r="B423" s="16">
        <v>45790</v>
      </c>
      <c r="C423" s="8" t="s">
        <v>286</v>
      </c>
      <c r="D423" s="8" t="str">
        <f>PROPER(TRIM(Sales_Data!D423))</f>
        <v>Italy</v>
      </c>
      <c r="E423" s="8" t="s">
        <v>43</v>
      </c>
      <c r="F423" s="8" t="s">
        <v>44</v>
      </c>
      <c r="G423" s="91">
        <v>7</v>
      </c>
      <c r="H423" s="9">
        <v>59.41</v>
      </c>
      <c r="I423" s="87">
        <f>PRODUCT(Table15[[#This Row],[Quantity]],Table15[[#This Row],[Unit_Price]])</f>
        <v>415.87</v>
      </c>
      <c r="J423" s="9">
        <v>25.51</v>
      </c>
      <c r="K423" s="47">
        <v>110.36</v>
      </c>
      <c r="L423" s="8" t="s">
        <v>19</v>
      </c>
      <c r="M423" s="8" t="s">
        <v>32</v>
      </c>
      <c r="N423" s="8" t="s">
        <v>28</v>
      </c>
      <c r="O423" s="91">
        <f>VLOOKUP(E423,Product_Master!$B$2:$F$11,5,FALSE)</f>
        <v>40</v>
      </c>
      <c r="P423" s="91">
        <f>PRODUCT(Table15[[#This Row],[Quantity]],Table15[[#This Row],[Unit_Cost]])</f>
        <v>280</v>
      </c>
      <c r="Q423" s="72">
        <f>(Table15[[#This Row],[Profit]]/Table15[[#This Row],[Total_Sales]])</f>
        <v>0.26537139009786714</v>
      </c>
      <c r="R423" s="22"/>
      <c r="S423" s="22"/>
      <c r="T423" s="22"/>
      <c r="U423" s="22"/>
    </row>
    <row r="424" spans="1:21" x14ac:dyDescent="0.25">
      <c r="A424" s="7" t="s">
        <v>577</v>
      </c>
      <c r="B424" s="16">
        <v>45301</v>
      </c>
      <c r="C424" s="8" t="s">
        <v>249</v>
      </c>
      <c r="D424" s="8" t="str">
        <f>PROPER(TRIM(Sales_Data!D424))</f>
        <v>Japan</v>
      </c>
      <c r="E424" s="8" t="s">
        <v>56</v>
      </c>
      <c r="F424" s="8" t="s">
        <v>57</v>
      </c>
      <c r="G424" s="91">
        <v>48</v>
      </c>
      <c r="H424" s="9">
        <v>37.31</v>
      </c>
      <c r="I424" s="87">
        <f>PRODUCT(Table15[[#This Row],[Quantity]],Table15[[#This Row],[Unit_Price]])</f>
        <v>1790.88</v>
      </c>
      <c r="J424" s="9">
        <v>67.45</v>
      </c>
      <c r="K424" s="47">
        <v>523.42999999999995</v>
      </c>
      <c r="L424" s="8" t="s">
        <v>19</v>
      </c>
      <c r="M424" s="8" t="s">
        <v>27</v>
      </c>
      <c r="N424" s="8" t="s">
        <v>58</v>
      </c>
      <c r="O424" s="91">
        <f>VLOOKUP(E424,Product_Master!$B$2:$F$11,5,FALSE)</f>
        <v>25</v>
      </c>
      <c r="P424" s="91">
        <f>PRODUCT(Table15[[#This Row],[Quantity]],Table15[[#This Row],[Unit_Cost]])</f>
        <v>1200</v>
      </c>
      <c r="Q424" s="72">
        <f>(Table15[[#This Row],[Profit]]/Table15[[#This Row],[Total_Sales]])</f>
        <v>0.29227530599481816</v>
      </c>
      <c r="R424" s="22"/>
      <c r="S424" s="22"/>
      <c r="T424" s="22"/>
      <c r="U424" s="22"/>
    </row>
    <row r="425" spans="1:21" x14ac:dyDescent="0.25">
      <c r="A425" s="7" t="s">
        <v>578</v>
      </c>
      <c r="B425" s="16">
        <v>45476</v>
      </c>
      <c r="C425" s="8" t="s">
        <v>179</v>
      </c>
      <c r="D425" s="8" t="str">
        <f>PROPER(TRIM(Sales_Data!D425))</f>
        <v>Uae</v>
      </c>
      <c r="E425" s="8" t="s">
        <v>43</v>
      </c>
      <c r="F425" s="8" t="s">
        <v>44</v>
      </c>
      <c r="G425" s="91">
        <v>38</v>
      </c>
      <c r="H425" s="9">
        <v>52.91</v>
      </c>
      <c r="I425" s="87">
        <f>PRODUCT(Table15[[#This Row],[Quantity]],Table15[[#This Row],[Unit_Price]])</f>
        <v>2010.58</v>
      </c>
      <c r="J425" s="9">
        <v>94.22</v>
      </c>
      <c r="K425" s="47">
        <v>396.36</v>
      </c>
      <c r="L425" s="8" t="s">
        <v>19</v>
      </c>
      <c r="M425" s="8" t="s">
        <v>20</v>
      </c>
      <c r="N425" s="8" t="s">
        <v>58</v>
      </c>
      <c r="O425" s="91">
        <f>VLOOKUP(E425,Product_Master!$B$2:$F$11,5,FALSE)</f>
        <v>40</v>
      </c>
      <c r="P425" s="91">
        <f>PRODUCT(Table15[[#This Row],[Quantity]],Table15[[#This Row],[Unit_Cost]])</f>
        <v>1520</v>
      </c>
      <c r="Q425" s="72">
        <f>(Table15[[#This Row],[Profit]]/Table15[[#This Row],[Total_Sales]])</f>
        <v>0.19713714450556558</v>
      </c>
      <c r="R425" s="22"/>
      <c r="S425" s="22"/>
      <c r="T425" s="22"/>
      <c r="U425" s="22"/>
    </row>
    <row r="426" spans="1:21" x14ac:dyDescent="0.25">
      <c r="A426" s="7" t="s">
        <v>579</v>
      </c>
      <c r="B426" s="16">
        <v>45792</v>
      </c>
      <c r="C426" s="8" t="s">
        <v>67</v>
      </c>
      <c r="D426" s="8" t="str">
        <f>PROPER(TRIM(Sales_Data!D426))</f>
        <v>Uk</v>
      </c>
      <c r="E426" s="8" t="s">
        <v>25</v>
      </c>
      <c r="F426" s="8" t="s">
        <v>18</v>
      </c>
      <c r="G426" s="91">
        <v>14</v>
      </c>
      <c r="H426" s="9">
        <v>27.09</v>
      </c>
      <c r="I426" s="87">
        <f>PRODUCT(Table15[[#This Row],[Quantity]],Table15[[#This Row],[Unit_Price]])</f>
        <v>379.26</v>
      </c>
      <c r="J426" s="9">
        <v>14.42</v>
      </c>
      <c r="K426" s="47">
        <v>112.84</v>
      </c>
      <c r="L426" s="8" t="s">
        <v>38</v>
      </c>
      <c r="M426" s="8" t="s">
        <v>32</v>
      </c>
      <c r="N426" s="8" t="s">
        <v>28</v>
      </c>
      <c r="O426" s="91">
        <f>VLOOKUP(E426,Product_Master!$B$2:$F$11,5,FALSE)</f>
        <v>18</v>
      </c>
      <c r="P426" s="91">
        <f>PRODUCT(Table15[[#This Row],[Quantity]],Table15[[#This Row],[Unit_Cost]])</f>
        <v>252</v>
      </c>
      <c r="Q426" s="72">
        <f>(Table15[[#This Row],[Profit]]/Table15[[#This Row],[Total_Sales]])</f>
        <v>0.29752676264304173</v>
      </c>
      <c r="R426" s="22"/>
      <c r="S426" s="22"/>
      <c r="T426" s="22"/>
      <c r="U426" s="22"/>
    </row>
    <row r="427" spans="1:21" x14ac:dyDescent="0.25">
      <c r="A427" s="7" t="s">
        <v>580</v>
      </c>
      <c r="B427" s="16">
        <v>45350</v>
      </c>
      <c r="C427" s="8" t="s">
        <v>113</v>
      </c>
      <c r="D427" s="8" t="str">
        <f>PROPER(TRIM(Sales_Data!D427))</f>
        <v>Japan</v>
      </c>
      <c r="E427" s="8" t="s">
        <v>51</v>
      </c>
      <c r="F427" s="8" t="s">
        <v>52</v>
      </c>
      <c r="G427" s="91">
        <v>41</v>
      </c>
      <c r="H427" s="9">
        <v>30.52</v>
      </c>
      <c r="I427" s="87">
        <f>PRODUCT(Table15[[#This Row],[Quantity]],Table15[[#This Row],[Unit_Price]])</f>
        <v>1251.32</v>
      </c>
      <c r="J427" s="9">
        <v>56.88</v>
      </c>
      <c r="K427" s="47">
        <v>271.94</v>
      </c>
      <c r="L427" s="8" t="s">
        <v>19</v>
      </c>
      <c r="M427" s="8" t="s">
        <v>32</v>
      </c>
      <c r="N427" s="8" t="s">
        <v>58</v>
      </c>
      <c r="O427" s="91">
        <f>VLOOKUP(E427,Product_Master!$B$2:$F$11,5,FALSE)</f>
        <v>22.5</v>
      </c>
      <c r="P427" s="91">
        <f>PRODUCT(Table15[[#This Row],[Quantity]],Table15[[#This Row],[Unit_Cost]])</f>
        <v>922.5</v>
      </c>
      <c r="Q427" s="72">
        <f>(Table15[[#This Row],[Profit]]/Table15[[#This Row],[Total_Sales]])</f>
        <v>0.21732250743215165</v>
      </c>
      <c r="R427" s="22"/>
      <c r="S427" s="22"/>
      <c r="T427" s="22"/>
      <c r="U427" s="22"/>
    </row>
    <row r="428" spans="1:21" x14ac:dyDescent="0.25">
      <c r="A428" s="7" t="s">
        <v>581</v>
      </c>
      <c r="B428" s="16">
        <v>45424</v>
      </c>
      <c r="C428" s="8" t="s">
        <v>231</v>
      </c>
      <c r="D428" s="8" t="str">
        <f>PROPER(TRIM(Sales_Data!D428))</f>
        <v>Canada</v>
      </c>
      <c r="E428" s="8" t="s">
        <v>83</v>
      </c>
      <c r="F428" s="8" t="s">
        <v>52</v>
      </c>
      <c r="G428" s="91">
        <v>23</v>
      </c>
      <c r="H428" s="9">
        <v>40.94</v>
      </c>
      <c r="I428" s="87">
        <f>PRODUCT(Table15[[#This Row],[Quantity]],Table15[[#This Row],[Unit_Price]])</f>
        <v>941.61999999999989</v>
      </c>
      <c r="J428" s="9">
        <v>71.66</v>
      </c>
      <c r="K428" s="47">
        <v>225.96</v>
      </c>
      <c r="L428" s="8" t="s">
        <v>26</v>
      </c>
      <c r="M428" s="8" t="s">
        <v>32</v>
      </c>
      <c r="N428" s="8" t="s">
        <v>21</v>
      </c>
      <c r="O428" s="91">
        <f>VLOOKUP(E428,Product_Master!$B$2:$F$11,5,FALSE)</f>
        <v>28</v>
      </c>
      <c r="P428" s="91">
        <f>PRODUCT(Table15[[#This Row],[Quantity]],Table15[[#This Row],[Unit_Cost]])</f>
        <v>644</v>
      </c>
      <c r="Q428" s="72">
        <f>(Table15[[#This Row],[Profit]]/Table15[[#This Row],[Total_Sales]])</f>
        <v>0.2399694144134577</v>
      </c>
      <c r="R428" s="22"/>
      <c r="S428" s="22"/>
      <c r="T428" s="22"/>
      <c r="U428" s="22"/>
    </row>
    <row r="429" spans="1:21" x14ac:dyDescent="0.25">
      <c r="A429" s="7" t="s">
        <v>582</v>
      </c>
      <c r="B429" s="16">
        <v>45457</v>
      </c>
      <c r="C429" s="8" t="s">
        <v>297</v>
      </c>
      <c r="D429" s="8" t="str">
        <f>PROPER(TRIM(Sales_Data!D429))</f>
        <v>Germany</v>
      </c>
      <c r="E429" s="8" t="s">
        <v>83</v>
      </c>
      <c r="F429" s="8" t="s">
        <v>52</v>
      </c>
      <c r="G429" s="91">
        <v>34</v>
      </c>
      <c r="H429" s="9">
        <v>41.77</v>
      </c>
      <c r="I429" s="87">
        <f>PRODUCT(Table15[[#This Row],[Quantity]],Table15[[#This Row],[Unit_Price]])</f>
        <v>1420.18</v>
      </c>
      <c r="J429" s="9">
        <v>112.45</v>
      </c>
      <c r="K429" s="47">
        <v>355.73</v>
      </c>
      <c r="L429" s="8" t="s">
        <v>26</v>
      </c>
      <c r="M429" s="8" t="s">
        <v>32</v>
      </c>
      <c r="N429" s="8" t="s">
        <v>28</v>
      </c>
      <c r="O429" s="91">
        <f>VLOOKUP(E429,Product_Master!$B$2:$F$11,5,FALSE)</f>
        <v>28</v>
      </c>
      <c r="P429" s="91">
        <f>PRODUCT(Table15[[#This Row],[Quantity]],Table15[[#This Row],[Unit_Cost]])</f>
        <v>952</v>
      </c>
      <c r="Q429" s="72">
        <f>(Table15[[#This Row],[Profit]]/Table15[[#This Row],[Total_Sales]])</f>
        <v>0.25048233322536578</v>
      </c>
      <c r="R429" s="22"/>
      <c r="S429" s="22"/>
      <c r="T429" s="22"/>
      <c r="U429" s="22"/>
    </row>
    <row r="430" spans="1:21" x14ac:dyDescent="0.25">
      <c r="A430" s="7" t="s">
        <v>583</v>
      </c>
      <c r="B430" s="16">
        <v>45529</v>
      </c>
      <c r="C430" s="8" t="s">
        <v>102</v>
      </c>
      <c r="D430" s="8" t="str">
        <f>PROPER(TRIM(Sales_Data!D430))</f>
        <v>India</v>
      </c>
      <c r="E430" s="8" t="s">
        <v>43</v>
      </c>
      <c r="F430" s="8" t="s">
        <v>44</v>
      </c>
      <c r="G430" s="91">
        <v>32</v>
      </c>
      <c r="H430" s="9">
        <v>69.98</v>
      </c>
      <c r="I430" s="87">
        <f>PRODUCT(Table15[[#This Row],[Quantity]],Table15[[#This Row],[Unit_Price]])</f>
        <v>2239.36</v>
      </c>
      <c r="J430" s="9">
        <v>133.51</v>
      </c>
      <c r="K430" s="47">
        <v>825.85</v>
      </c>
      <c r="L430" s="8" t="s">
        <v>38</v>
      </c>
      <c r="M430" s="8" t="s">
        <v>20</v>
      </c>
      <c r="N430" s="8" t="s">
        <v>58</v>
      </c>
      <c r="O430" s="91">
        <f>VLOOKUP(E430,Product_Master!$B$2:$F$11,5,FALSE)</f>
        <v>40</v>
      </c>
      <c r="P430" s="91">
        <f>PRODUCT(Table15[[#This Row],[Quantity]],Table15[[#This Row],[Unit_Cost]])</f>
        <v>1280</v>
      </c>
      <c r="Q430" s="72">
        <f>(Table15[[#This Row],[Profit]]/Table15[[#This Row],[Total_Sales]])</f>
        <v>0.3687884038296656</v>
      </c>
      <c r="R430" s="22"/>
      <c r="S430" s="22"/>
      <c r="T430" s="22"/>
      <c r="U430" s="22"/>
    </row>
    <row r="431" spans="1:21" x14ac:dyDescent="0.25">
      <c r="A431" s="7" t="s">
        <v>584</v>
      </c>
      <c r="B431" s="16">
        <v>45292</v>
      </c>
      <c r="C431" s="8" t="s">
        <v>166</v>
      </c>
      <c r="D431" s="8" t="str">
        <f>PROPER(TRIM(Sales_Data!D431))</f>
        <v>Uk</v>
      </c>
      <c r="E431" s="8" t="s">
        <v>17</v>
      </c>
      <c r="F431" s="8" t="s">
        <v>18</v>
      </c>
      <c r="G431" s="91">
        <v>25</v>
      </c>
      <c r="H431" s="9">
        <v>42.91</v>
      </c>
      <c r="I431" s="87">
        <f>PRODUCT(Table15[[#This Row],[Quantity]],Table15[[#This Row],[Unit_Price]])</f>
        <v>1072.75</v>
      </c>
      <c r="J431" s="9">
        <v>80.02</v>
      </c>
      <c r="K431" s="47">
        <v>117.73</v>
      </c>
      <c r="L431" s="8" t="s">
        <v>26</v>
      </c>
      <c r="M431" s="8" t="s">
        <v>27</v>
      </c>
      <c r="N431" s="8" t="s">
        <v>28</v>
      </c>
      <c r="O431" s="91">
        <f>VLOOKUP(E431,Product_Master!$B$2:$F$11,5,FALSE)</f>
        <v>35</v>
      </c>
      <c r="P431" s="91">
        <f>PRODUCT(Table15[[#This Row],[Quantity]],Table15[[#This Row],[Unit_Cost]])</f>
        <v>875</v>
      </c>
      <c r="Q431" s="72">
        <f>(Table15[[#This Row],[Profit]]/Table15[[#This Row],[Total_Sales]])</f>
        <v>0.10974597995805174</v>
      </c>
      <c r="R431" s="22"/>
      <c r="S431" s="22"/>
      <c r="T431" s="22"/>
      <c r="U431" s="22"/>
    </row>
    <row r="432" spans="1:21" x14ac:dyDescent="0.25">
      <c r="A432" s="7" t="s">
        <v>585</v>
      </c>
      <c r="B432" s="16">
        <v>45644</v>
      </c>
      <c r="C432" s="8" t="s">
        <v>408</v>
      </c>
      <c r="D432" s="8" t="str">
        <f>PROPER(TRIM(Sales_Data!D432))</f>
        <v>Canada</v>
      </c>
      <c r="E432" s="8" t="s">
        <v>63</v>
      </c>
      <c r="F432" s="8" t="s">
        <v>37</v>
      </c>
      <c r="G432" s="91">
        <v>7</v>
      </c>
      <c r="H432" s="9">
        <v>22.6</v>
      </c>
      <c r="I432" s="87">
        <f>PRODUCT(Table15[[#This Row],[Quantity]],Table15[[#This Row],[Unit_Price]])</f>
        <v>158.20000000000002</v>
      </c>
      <c r="J432" s="9">
        <v>7.04</v>
      </c>
      <c r="K432" s="47">
        <v>61.91</v>
      </c>
      <c r="L432" s="8" t="s">
        <v>38</v>
      </c>
      <c r="M432" s="8" t="s">
        <v>20</v>
      </c>
      <c r="N432" s="8" t="s">
        <v>21</v>
      </c>
      <c r="O432" s="91">
        <f>VLOOKUP(E432,Product_Master!$B$2:$F$11,5,FALSE)</f>
        <v>12.75</v>
      </c>
      <c r="P432" s="91">
        <f>PRODUCT(Table15[[#This Row],[Quantity]],Table15[[#This Row],[Unit_Cost]])</f>
        <v>89.25</v>
      </c>
      <c r="Q432" s="72">
        <f>(Table15[[#This Row],[Profit]]/Table15[[#This Row],[Total_Sales]])</f>
        <v>0.39134007585335012</v>
      </c>
      <c r="R432" s="22"/>
      <c r="S432" s="22"/>
      <c r="T432" s="22"/>
      <c r="U432" s="22"/>
    </row>
    <row r="433" spans="1:21" x14ac:dyDescent="0.25">
      <c r="A433" s="7" t="s">
        <v>586</v>
      </c>
      <c r="B433" s="16">
        <v>45470</v>
      </c>
      <c r="C433" s="8" t="s">
        <v>89</v>
      </c>
      <c r="D433" s="8" t="str">
        <f>PROPER(TRIM(Sales_Data!D433))</f>
        <v>Usa</v>
      </c>
      <c r="E433" s="8" t="s">
        <v>63</v>
      </c>
      <c r="F433" s="8" t="s">
        <v>37</v>
      </c>
      <c r="G433" s="91">
        <v>48</v>
      </c>
      <c r="H433" s="9">
        <v>19.5</v>
      </c>
      <c r="I433" s="87">
        <f>PRODUCT(Table15[[#This Row],[Quantity]],Table15[[#This Row],[Unit_Price]])</f>
        <v>936</v>
      </c>
      <c r="J433" s="9">
        <v>70.069999999999993</v>
      </c>
      <c r="K433" s="47">
        <v>253.93</v>
      </c>
      <c r="L433" s="8" t="s">
        <v>19</v>
      </c>
      <c r="M433" s="8" t="s">
        <v>27</v>
      </c>
      <c r="N433" s="8" t="s">
        <v>21</v>
      </c>
      <c r="O433" s="91">
        <f>VLOOKUP(E433,Product_Master!$B$2:$F$11,5,FALSE)</f>
        <v>12.75</v>
      </c>
      <c r="P433" s="91">
        <f>PRODUCT(Table15[[#This Row],[Quantity]],Table15[[#This Row],[Unit_Cost]])</f>
        <v>612</v>
      </c>
      <c r="Q433" s="72">
        <f>(Table15[[#This Row],[Profit]]/Table15[[#This Row],[Total_Sales]])</f>
        <v>0.27129273504273504</v>
      </c>
      <c r="R433" s="22"/>
      <c r="S433" s="22"/>
      <c r="T433" s="22"/>
      <c r="U433" s="22"/>
    </row>
    <row r="434" spans="1:21" x14ac:dyDescent="0.25">
      <c r="A434" s="7" t="s">
        <v>587</v>
      </c>
      <c r="B434" s="16">
        <v>45546</v>
      </c>
      <c r="C434" s="8" t="s">
        <v>30</v>
      </c>
      <c r="D434" s="8" t="str">
        <f>PROPER(TRIM(Sales_Data!D434))</f>
        <v>Australia</v>
      </c>
      <c r="E434" s="8" t="s">
        <v>43</v>
      </c>
      <c r="F434" s="8" t="s">
        <v>44</v>
      </c>
      <c r="G434" s="91">
        <v>32</v>
      </c>
      <c r="H434" s="9">
        <v>49.97</v>
      </c>
      <c r="I434" s="87">
        <f>PRODUCT(Table15[[#This Row],[Quantity]],Table15[[#This Row],[Unit_Price]])</f>
        <v>1599.04</v>
      </c>
      <c r="J434" s="9">
        <v>43.1</v>
      </c>
      <c r="K434" s="47">
        <v>275.94</v>
      </c>
      <c r="L434" s="8" t="s">
        <v>26</v>
      </c>
      <c r="M434" s="8" t="s">
        <v>32</v>
      </c>
      <c r="N434" s="8" t="s">
        <v>130</v>
      </c>
      <c r="O434" s="91">
        <f>VLOOKUP(E434,Product_Master!$B$2:$F$11,5,FALSE)</f>
        <v>40</v>
      </c>
      <c r="P434" s="91">
        <f>PRODUCT(Table15[[#This Row],[Quantity]],Table15[[#This Row],[Unit_Cost]])</f>
        <v>1280</v>
      </c>
      <c r="Q434" s="72">
        <f>(Table15[[#This Row],[Profit]]/Table15[[#This Row],[Total_Sales]])</f>
        <v>0.17256603962377426</v>
      </c>
      <c r="R434" s="22"/>
      <c r="S434" s="22"/>
      <c r="T434" s="22"/>
      <c r="U434" s="22"/>
    </row>
    <row r="435" spans="1:21" x14ac:dyDescent="0.25">
      <c r="A435" s="7" t="s">
        <v>588</v>
      </c>
      <c r="B435" s="16">
        <v>45661</v>
      </c>
      <c r="C435" s="8" t="s">
        <v>15</v>
      </c>
      <c r="D435" s="8" t="str">
        <f>PROPER(TRIM(Sales_Data!D435))</f>
        <v>France</v>
      </c>
      <c r="E435" s="8" t="s">
        <v>60</v>
      </c>
      <c r="F435" s="8" t="s">
        <v>52</v>
      </c>
      <c r="G435" s="91">
        <v>41</v>
      </c>
      <c r="H435" s="9">
        <v>25.62</v>
      </c>
      <c r="I435" s="87">
        <f>PRODUCT(Table15[[#This Row],[Quantity]],Table15[[#This Row],[Unit_Price]])</f>
        <v>1050.42</v>
      </c>
      <c r="J435" s="9">
        <v>79.2</v>
      </c>
      <c r="K435" s="47">
        <v>335.72</v>
      </c>
      <c r="L435" s="8" t="s">
        <v>19</v>
      </c>
      <c r="M435" s="8" t="s">
        <v>27</v>
      </c>
      <c r="N435" s="8" t="s">
        <v>28</v>
      </c>
      <c r="O435" s="91">
        <f>VLOOKUP(E435,Product_Master!$B$2:$F$11,5,FALSE)</f>
        <v>15.5</v>
      </c>
      <c r="P435" s="91">
        <f>PRODUCT(Table15[[#This Row],[Quantity]],Table15[[#This Row],[Unit_Cost]])</f>
        <v>635.5</v>
      </c>
      <c r="Q435" s="72">
        <f>(Table15[[#This Row],[Profit]]/Table15[[#This Row],[Total_Sales]])</f>
        <v>0.31960549113687858</v>
      </c>
      <c r="R435" s="22"/>
      <c r="S435" s="22"/>
      <c r="T435" s="22"/>
      <c r="U435" s="22"/>
    </row>
    <row r="436" spans="1:21" x14ac:dyDescent="0.25">
      <c r="A436" s="7" t="s">
        <v>589</v>
      </c>
      <c r="B436" s="16">
        <v>45339</v>
      </c>
      <c r="C436" s="8" t="s">
        <v>293</v>
      </c>
      <c r="D436" s="8" t="str">
        <f>PROPER(TRIM(Sales_Data!D436))</f>
        <v>Usa</v>
      </c>
      <c r="E436" s="8" t="s">
        <v>63</v>
      </c>
      <c r="F436" s="8" t="s">
        <v>37</v>
      </c>
      <c r="G436" s="91">
        <v>46</v>
      </c>
      <c r="H436" s="9">
        <v>16.78</v>
      </c>
      <c r="I436" s="87">
        <f>PRODUCT(Table15[[#This Row],[Quantity]],Table15[[#This Row],[Unit_Price]])</f>
        <v>771.88000000000011</v>
      </c>
      <c r="J436" s="9">
        <v>18.04</v>
      </c>
      <c r="K436" s="47">
        <v>167.34</v>
      </c>
      <c r="L436" s="8" t="s">
        <v>38</v>
      </c>
      <c r="M436" s="8" t="s">
        <v>32</v>
      </c>
      <c r="N436" s="8" t="s">
        <v>21</v>
      </c>
      <c r="O436" s="91">
        <f>VLOOKUP(E436,Product_Master!$B$2:$F$11,5,FALSE)</f>
        <v>12.75</v>
      </c>
      <c r="P436" s="91">
        <f>PRODUCT(Table15[[#This Row],[Quantity]],Table15[[#This Row],[Unit_Cost]])</f>
        <v>586.5</v>
      </c>
      <c r="Q436" s="72">
        <f>(Table15[[#This Row],[Profit]]/Table15[[#This Row],[Total_Sales]])</f>
        <v>0.21679535679121104</v>
      </c>
      <c r="R436" s="22"/>
      <c r="S436" s="22"/>
      <c r="T436" s="22"/>
      <c r="U436" s="22"/>
    </row>
    <row r="437" spans="1:21" x14ac:dyDescent="0.25">
      <c r="A437" s="7" t="s">
        <v>590</v>
      </c>
      <c r="B437" s="16">
        <v>45325</v>
      </c>
      <c r="C437" s="8" t="s">
        <v>319</v>
      </c>
      <c r="D437" s="8" t="str">
        <f>PROPER(TRIM(Sales_Data!D437))</f>
        <v>Italy</v>
      </c>
      <c r="E437" s="8" t="s">
        <v>36</v>
      </c>
      <c r="F437" s="8" t="s">
        <v>37</v>
      </c>
      <c r="G437" s="91">
        <v>16</v>
      </c>
      <c r="H437" s="9">
        <v>42.18</v>
      </c>
      <c r="I437" s="87">
        <f>PRODUCT(Table15[[#This Row],[Quantity]],Table15[[#This Row],[Unit_Price]])</f>
        <v>674.88</v>
      </c>
      <c r="J437" s="9">
        <v>19.100000000000001</v>
      </c>
      <c r="K437" s="47">
        <v>143.78</v>
      </c>
      <c r="L437" s="8" t="s">
        <v>19</v>
      </c>
      <c r="M437" s="8" t="s">
        <v>32</v>
      </c>
      <c r="N437" s="8" t="s">
        <v>28</v>
      </c>
      <c r="O437" s="91">
        <f>VLOOKUP(E437,Product_Master!$B$2:$F$11,5,FALSE)</f>
        <v>32</v>
      </c>
      <c r="P437" s="91">
        <f>PRODUCT(Table15[[#This Row],[Quantity]],Table15[[#This Row],[Unit_Cost]])</f>
        <v>512</v>
      </c>
      <c r="Q437" s="72">
        <f>(Table15[[#This Row],[Profit]]/Table15[[#This Row],[Total_Sales]])</f>
        <v>0.21304528212422949</v>
      </c>
      <c r="R437" s="22"/>
      <c r="S437" s="22"/>
      <c r="T437" s="22"/>
      <c r="U437" s="22"/>
    </row>
    <row r="438" spans="1:21" x14ac:dyDescent="0.25">
      <c r="A438" s="7" t="s">
        <v>591</v>
      </c>
      <c r="B438" s="16">
        <v>45518</v>
      </c>
      <c r="C438" s="8" t="s">
        <v>67</v>
      </c>
      <c r="D438" s="8" t="str">
        <f>PROPER(TRIM(Sales_Data!D438))</f>
        <v>France</v>
      </c>
      <c r="E438" s="8" t="s">
        <v>56</v>
      </c>
      <c r="F438" s="8" t="s">
        <v>57</v>
      </c>
      <c r="G438" s="91">
        <v>12</v>
      </c>
      <c r="H438" s="9">
        <v>34.97</v>
      </c>
      <c r="I438" s="87">
        <f>PRODUCT(Table15[[#This Row],[Quantity]],Table15[[#This Row],[Unit_Price]])</f>
        <v>419.64</v>
      </c>
      <c r="J438" s="9">
        <v>28.48</v>
      </c>
      <c r="K438" s="47">
        <v>91.16</v>
      </c>
      <c r="L438" s="8" t="s">
        <v>19</v>
      </c>
      <c r="M438" s="8" t="s">
        <v>20</v>
      </c>
      <c r="N438" s="8" t="s">
        <v>28</v>
      </c>
      <c r="O438" s="91">
        <f>VLOOKUP(E438,Product_Master!$B$2:$F$11,5,FALSE)</f>
        <v>25</v>
      </c>
      <c r="P438" s="91">
        <f>PRODUCT(Table15[[#This Row],[Quantity]],Table15[[#This Row],[Unit_Cost]])</f>
        <v>300</v>
      </c>
      <c r="Q438" s="72">
        <f>(Table15[[#This Row],[Profit]]/Table15[[#This Row],[Total_Sales]])</f>
        <v>0.21723381946430273</v>
      </c>
      <c r="R438" s="22"/>
      <c r="S438" s="22"/>
      <c r="T438" s="22"/>
      <c r="U438" s="22"/>
    </row>
    <row r="439" spans="1:21" x14ac:dyDescent="0.25">
      <c r="A439" s="7" t="s">
        <v>592</v>
      </c>
      <c r="B439" s="16">
        <v>45649</v>
      </c>
      <c r="C439" s="8" t="s">
        <v>137</v>
      </c>
      <c r="D439" s="8" t="str">
        <f>PROPER(TRIM(Sales_Data!D439))</f>
        <v>Brazil</v>
      </c>
      <c r="E439" s="8" t="s">
        <v>48</v>
      </c>
      <c r="F439" s="8" t="s">
        <v>37</v>
      </c>
      <c r="G439" s="91">
        <v>31</v>
      </c>
      <c r="H439" s="9">
        <v>33.619999999999997</v>
      </c>
      <c r="I439" s="87">
        <f>PRODUCT(Table15[[#This Row],[Quantity]],Table15[[#This Row],[Unit_Price]])</f>
        <v>1042.22</v>
      </c>
      <c r="J439" s="9">
        <v>26.33</v>
      </c>
      <c r="K439" s="47">
        <v>395.89</v>
      </c>
      <c r="L439" s="8" t="s">
        <v>38</v>
      </c>
      <c r="M439" s="8" t="s">
        <v>32</v>
      </c>
      <c r="N439" s="8" t="s">
        <v>39</v>
      </c>
      <c r="O439" s="91">
        <f>VLOOKUP(E439,Product_Master!$B$2:$F$11,5,FALSE)</f>
        <v>20</v>
      </c>
      <c r="P439" s="91">
        <f>PRODUCT(Table15[[#This Row],[Quantity]],Table15[[#This Row],[Unit_Cost]])</f>
        <v>620</v>
      </c>
      <c r="Q439" s="72">
        <f>(Table15[[#This Row],[Profit]]/Table15[[#This Row],[Total_Sales]])</f>
        <v>0.37985262228704109</v>
      </c>
      <c r="R439" s="22"/>
      <c r="S439" s="22"/>
      <c r="T439" s="22"/>
      <c r="U439" s="22"/>
    </row>
    <row r="440" spans="1:21" x14ac:dyDescent="0.25">
      <c r="A440" s="7" t="s">
        <v>593</v>
      </c>
      <c r="B440" s="16">
        <v>45614</v>
      </c>
      <c r="C440" s="8" t="s">
        <v>421</v>
      </c>
      <c r="D440" s="8" t="str">
        <f>PROPER(TRIM(Sales_Data!D440))</f>
        <v>Uae</v>
      </c>
      <c r="E440" s="8" t="s">
        <v>51</v>
      </c>
      <c r="F440" s="8" t="s">
        <v>52</v>
      </c>
      <c r="G440" s="91">
        <v>40</v>
      </c>
      <c r="H440" s="9">
        <v>30.56</v>
      </c>
      <c r="I440" s="87">
        <f>PRODUCT(Table15[[#This Row],[Quantity]],Table15[[#This Row],[Unit_Price]])</f>
        <v>1222.3999999999999</v>
      </c>
      <c r="J440" s="9">
        <v>26.42</v>
      </c>
      <c r="K440" s="47">
        <v>295.98</v>
      </c>
      <c r="L440" s="8" t="s">
        <v>19</v>
      </c>
      <c r="M440" s="8" t="s">
        <v>20</v>
      </c>
      <c r="N440" s="8" t="s">
        <v>58</v>
      </c>
      <c r="O440" s="91">
        <f>VLOOKUP(E440,Product_Master!$B$2:$F$11,5,FALSE)</f>
        <v>22.5</v>
      </c>
      <c r="P440" s="91">
        <f>PRODUCT(Table15[[#This Row],[Quantity]],Table15[[#This Row],[Unit_Cost]])</f>
        <v>900</v>
      </c>
      <c r="Q440" s="72">
        <f>(Table15[[#This Row],[Profit]]/Table15[[#This Row],[Total_Sales]])</f>
        <v>0.24213023560209429</v>
      </c>
      <c r="R440" s="22"/>
      <c r="S440" s="22"/>
      <c r="T440" s="22"/>
      <c r="U440" s="22"/>
    </row>
    <row r="441" spans="1:21" x14ac:dyDescent="0.25">
      <c r="A441" s="7" t="s">
        <v>594</v>
      </c>
      <c r="B441" s="16">
        <v>45679</v>
      </c>
      <c r="C441" s="8" t="s">
        <v>142</v>
      </c>
      <c r="D441" s="8" t="str">
        <f>PROPER(TRIM(Sales_Data!D441))</f>
        <v>Germany</v>
      </c>
      <c r="E441" s="8" t="s">
        <v>17</v>
      </c>
      <c r="F441" s="8" t="s">
        <v>18</v>
      </c>
      <c r="G441" s="91">
        <v>15</v>
      </c>
      <c r="H441" s="9">
        <v>61.93</v>
      </c>
      <c r="I441" s="87">
        <f>PRODUCT(Table15[[#This Row],[Quantity]],Table15[[#This Row],[Unit_Price]])</f>
        <v>928.95</v>
      </c>
      <c r="J441" s="9">
        <v>25.68</v>
      </c>
      <c r="K441" s="47">
        <v>378.27</v>
      </c>
      <c r="L441" s="8" t="s">
        <v>26</v>
      </c>
      <c r="M441" s="8" t="s">
        <v>32</v>
      </c>
      <c r="N441" s="8" t="s">
        <v>28</v>
      </c>
      <c r="O441" s="91">
        <f>VLOOKUP(E441,Product_Master!$B$2:$F$11,5,FALSE)</f>
        <v>35</v>
      </c>
      <c r="P441" s="91">
        <f>PRODUCT(Table15[[#This Row],[Quantity]],Table15[[#This Row],[Unit_Cost]])</f>
        <v>525</v>
      </c>
      <c r="Q441" s="72">
        <f>(Table15[[#This Row],[Profit]]/Table15[[#This Row],[Total_Sales]])</f>
        <v>0.407201679315356</v>
      </c>
      <c r="R441" s="22"/>
      <c r="S441" s="22"/>
      <c r="T441" s="22"/>
      <c r="U441" s="22"/>
    </row>
    <row r="442" spans="1:21" x14ac:dyDescent="0.25">
      <c r="A442" s="7" t="s">
        <v>595</v>
      </c>
      <c r="B442" s="16">
        <v>45298</v>
      </c>
      <c r="C442" s="8" t="s">
        <v>121</v>
      </c>
      <c r="D442" s="8" t="str">
        <f>PROPER(TRIM(Sales_Data!D442))</f>
        <v>China</v>
      </c>
      <c r="E442" s="8" t="s">
        <v>48</v>
      </c>
      <c r="F442" s="8" t="s">
        <v>37</v>
      </c>
      <c r="G442" s="91">
        <v>20</v>
      </c>
      <c r="H442" s="9">
        <v>35.770000000000003</v>
      </c>
      <c r="I442" s="87">
        <f>PRODUCT(Table15[[#This Row],[Quantity]],Table15[[#This Row],[Unit_Price]])</f>
        <v>715.40000000000009</v>
      </c>
      <c r="J442" s="9">
        <v>39.229999999999997</v>
      </c>
      <c r="K442" s="47">
        <v>276.17</v>
      </c>
      <c r="L442" s="8" t="s">
        <v>19</v>
      </c>
      <c r="M442" s="8" t="s">
        <v>20</v>
      </c>
      <c r="N442" s="8" t="s">
        <v>58</v>
      </c>
      <c r="O442" s="91">
        <f>VLOOKUP(E442,Product_Master!$B$2:$F$11,5,FALSE)</f>
        <v>20</v>
      </c>
      <c r="P442" s="91">
        <f>PRODUCT(Table15[[#This Row],[Quantity]],Table15[[#This Row],[Unit_Cost]])</f>
        <v>400</v>
      </c>
      <c r="Q442" s="72">
        <f>(Table15[[#This Row],[Profit]]/Table15[[#This Row],[Total_Sales]])</f>
        <v>0.38603578417668433</v>
      </c>
      <c r="R442" s="22"/>
      <c r="S442" s="22"/>
      <c r="T442" s="22"/>
      <c r="U442" s="22"/>
    </row>
    <row r="443" spans="1:21" x14ac:dyDescent="0.25">
      <c r="A443" s="7" t="s">
        <v>596</v>
      </c>
      <c r="B443" s="16">
        <v>45444</v>
      </c>
      <c r="C443" s="8" t="s">
        <v>246</v>
      </c>
      <c r="D443" s="8" t="str">
        <f>PROPER(TRIM(Sales_Data!D443))</f>
        <v>Uk</v>
      </c>
      <c r="E443" s="8" t="s">
        <v>63</v>
      </c>
      <c r="F443" s="8" t="s">
        <v>37</v>
      </c>
      <c r="G443" s="91">
        <v>21</v>
      </c>
      <c r="H443" s="9">
        <v>22.48</v>
      </c>
      <c r="I443" s="87">
        <f>PRODUCT(Table15[[#This Row],[Quantity]],Table15[[#This Row],[Unit_Price]])</f>
        <v>472.08</v>
      </c>
      <c r="J443" s="9">
        <v>12.96</v>
      </c>
      <c r="K443" s="47">
        <v>191.37</v>
      </c>
      <c r="L443" s="8" t="s">
        <v>26</v>
      </c>
      <c r="M443" s="8" t="s">
        <v>20</v>
      </c>
      <c r="N443" s="8" t="s">
        <v>28</v>
      </c>
      <c r="O443" s="91">
        <f>VLOOKUP(E443,Product_Master!$B$2:$F$11,5,FALSE)</f>
        <v>12.75</v>
      </c>
      <c r="P443" s="91">
        <f>PRODUCT(Table15[[#This Row],[Quantity]],Table15[[#This Row],[Unit_Cost]])</f>
        <v>267.75</v>
      </c>
      <c r="Q443" s="72">
        <f>(Table15[[#This Row],[Profit]]/Table15[[#This Row],[Total_Sales]])</f>
        <v>0.40537620742247077</v>
      </c>
      <c r="R443" s="22"/>
      <c r="S443" s="22"/>
      <c r="T443" s="22"/>
      <c r="U443" s="22"/>
    </row>
    <row r="444" spans="1:21" x14ac:dyDescent="0.25">
      <c r="A444" s="7" t="s">
        <v>597</v>
      </c>
      <c r="B444" s="16">
        <v>45681</v>
      </c>
      <c r="C444" s="8" t="s">
        <v>274</v>
      </c>
      <c r="D444" s="8" t="str">
        <f>PROPER(TRIM(Sales_Data!D444))</f>
        <v>China</v>
      </c>
      <c r="E444" s="8" t="s">
        <v>25</v>
      </c>
      <c r="F444" s="8" t="s">
        <v>18</v>
      </c>
      <c r="G444" s="91">
        <v>8</v>
      </c>
      <c r="H444" s="9">
        <v>27.53</v>
      </c>
      <c r="I444" s="87">
        <f>PRODUCT(Table15[[#This Row],[Quantity]],Table15[[#This Row],[Unit_Price]])</f>
        <v>220.24</v>
      </c>
      <c r="J444" s="9">
        <v>12.66</v>
      </c>
      <c r="K444" s="47">
        <v>63.58</v>
      </c>
      <c r="L444" s="8" t="s">
        <v>26</v>
      </c>
      <c r="M444" s="8" t="s">
        <v>27</v>
      </c>
      <c r="N444" s="8" t="s">
        <v>58</v>
      </c>
      <c r="O444" s="91">
        <f>VLOOKUP(E444,Product_Master!$B$2:$F$11,5,FALSE)</f>
        <v>18</v>
      </c>
      <c r="P444" s="91">
        <f>PRODUCT(Table15[[#This Row],[Quantity]],Table15[[#This Row],[Unit_Cost]])</f>
        <v>144</v>
      </c>
      <c r="Q444" s="72">
        <f>(Table15[[#This Row],[Profit]]/Table15[[#This Row],[Total_Sales]])</f>
        <v>0.28868507083181982</v>
      </c>
      <c r="R444" s="22"/>
      <c r="S444" s="22"/>
      <c r="T444" s="22"/>
      <c r="U444" s="22"/>
    </row>
    <row r="445" spans="1:21" x14ac:dyDescent="0.25">
      <c r="A445" s="7" t="s">
        <v>598</v>
      </c>
      <c r="B445" s="16">
        <v>45563</v>
      </c>
      <c r="C445" s="8" t="s">
        <v>226</v>
      </c>
      <c r="D445" s="8" t="str">
        <f>PROPER(TRIM(Sales_Data!D445))</f>
        <v>India</v>
      </c>
      <c r="E445" s="8" t="s">
        <v>51</v>
      </c>
      <c r="F445" s="8" t="s">
        <v>52</v>
      </c>
      <c r="G445" s="91">
        <v>35</v>
      </c>
      <c r="H445" s="9">
        <v>39.65</v>
      </c>
      <c r="I445" s="87">
        <f>PRODUCT(Table15[[#This Row],[Quantity]],Table15[[#This Row],[Unit_Price]])</f>
        <v>1387.75</v>
      </c>
      <c r="J445" s="9">
        <v>60.95</v>
      </c>
      <c r="K445" s="47">
        <v>539.29999999999995</v>
      </c>
      <c r="L445" s="8" t="s">
        <v>38</v>
      </c>
      <c r="M445" s="8" t="s">
        <v>27</v>
      </c>
      <c r="N445" s="8" t="s">
        <v>58</v>
      </c>
      <c r="O445" s="91">
        <f>VLOOKUP(E445,Product_Master!$B$2:$F$11,5,FALSE)</f>
        <v>22.5</v>
      </c>
      <c r="P445" s="91">
        <f>PRODUCT(Table15[[#This Row],[Quantity]],Table15[[#This Row],[Unit_Cost]])</f>
        <v>787.5</v>
      </c>
      <c r="Q445" s="72">
        <f>(Table15[[#This Row],[Profit]]/Table15[[#This Row],[Total_Sales]])</f>
        <v>0.38861466402450007</v>
      </c>
      <c r="R445" s="22"/>
      <c r="S445" s="22"/>
      <c r="T445" s="22"/>
      <c r="U445" s="22"/>
    </row>
    <row r="446" spans="1:21" x14ac:dyDescent="0.25">
      <c r="A446" s="7" t="s">
        <v>599</v>
      </c>
      <c r="B446" s="16">
        <v>45340</v>
      </c>
      <c r="C446" s="8" t="s">
        <v>181</v>
      </c>
      <c r="D446" s="8" t="str">
        <f>PROPER(TRIM(Sales_Data!D446))</f>
        <v>South Africa</v>
      </c>
      <c r="E446" s="8" t="s">
        <v>60</v>
      </c>
      <c r="F446" s="8" t="s">
        <v>52</v>
      </c>
      <c r="G446" s="91">
        <v>50</v>
      </c>
      <c r="H446" s="9">
        <v>23.68</v>
      </c>
      <c r="I446" s="87">
        <f>PRODUCT(Table15[[#This Row],[Quantity]],Table15[[#This Row],[Unit_Price]])</f>
        <v>1184</v>
      </c>
      <c r="J446" s="9">
        <v>46.62</v>
      </c>
      <c r="K446" s="47">
        <v>362.38</v>
      </c>
      <c r="L446" s="8" t="s">
        <v>26</v>
      </c>
      <c r="M446" s="8" t="s">
        <v>27</v>
      </c>
      <c r="N446" s="8" t="s">
        <v>87</v>
      </c>
      <c r="O446" s="91">
        <f>VLOOKUP(E446,Product_Master!$B$2:$F$11,5,FALSE)</f>
        <v>15.5</v>
      </c>
      <c r="P446" s="91">
        <f>PRODUCT(Table15[[#This Row],[Quantity]],Table15[[#This Row],[Unit_Cost]])</f>
        <v>775</v>
      </c>
      <c r="Q446" s="72">
        <f>(Table15[[#This Row],[Profit]]/Table15[[#This Row],[Total_Sales]])</f>
        <v>0.30606418918918921</v>
      </c>
      <c r="R446" s="22"/>
      <c r="S446" s="22"/>
      <c r="T446" s="22"/>
      <c r="U446" s="22"/>
    </row>
    <row r="447" spans="1:21" x14ac:dyDescent="0.25">
      <c r="A447" s="7" t="s">
        <v>600</v>
      </c>
      <c r="B447" s="16">
        <v>45698</v>
      </c>
      <c r="C447" s="8" t="s">
        <v>183</v>
      </c>
      <c r="D447" s="8" t="str">
        <f>PROPER(TRIM(Sales_Data!D447))</f>
        <v>Uae</v>
      </c>
      <c r="E447" s="8" t="s">
        <v>63</v>
      </c>
      <c r="F447" s="8" t="s">
        <v>37</v>
      </c>
      <c r="G447" s="91">
        <v>5</v>
      </c>
      <c r="H447" s="9">
        <v>19.809999999999999</v>
      </c>
      <c r="I447" s="87">
        <f>PRODUCT(Table15[[#This Row],[Quantity]],Table15[[#This Row],[Unit_Price]])</f>
        <v>99.05</v>
      </c>
      <c r="J447" s="9">
        <v>5.91</v>
      </c>
      <c r="K447" s="47">
        <v>29.39</v>
      </c>
      <c r="L447" s="8" t="s">
        <v>26</v>
      </c>
      <c r="M447" s="8" t="s">
        <v>32</v>
      </c>
      <c r="N447" s="8" t="s">
        <v>58</v>
      </c>
      <c r="O447" s="91">
        <f>VLOOKUP(E447,Product_Master!$B$2:$F$11,5,FALSE)</f>
        <v>12.75</v>
      </c>
      <c r="P447" s="91">
        <f>PRODUCT(Table15[[#This Row],[Quantity]],Table15[[#This Row],[Unit_Cost]])</f>
        <v>63.75</v>
      </c>
      <c r="Q447" s="72">
        <f>(Table15[[#This Row],[Profit]]/Table15[[#This Row],[Total_Sales]])</f>
        <v>0.2967188288743059</v>
      </c>
      <c r="R447" s="22"/>
      <c r="S447" s="22"/>
      <c r="T447" s="22"/>
      <c r="U447" s="22"/>
    </row>
    <row r="448" spans="1:21" x14ac:dyDescent="0.25">
      <c r="A448" s="7" t="s">
        <v>601</v>
      </c>
      <c r="B448" s="16">
        <v>45425</v>
      </c>
      <c r="C448" s="8" t="s">
        <v>76</v>
      </c>
      <c r="D448" s="8" t="str">
        <f>PROPER(TRIM(Sales_Data!D448))</f>
        <v>Brazil</v>
      </c>
      <c r="E448" s="8" t="s">
        <v>63</v>
      </c>
      <c r="F448" s="8" t="s">
        <v>37</v>
      </c>
      <c r="G448" s="91">
        <v>27</v>
      </c>
      <c r="H448" s="9">
        <v>18.03</v>
      </c>
      <c r="I448" s="87">
        <f>PRODUCT(Table15[[#This Row],[Quantity]],Table15[[#This Row],[Unit_Price]])</f>
        <v>486.81000000000006</v>
      </c>
      <c r="J448" s="9">
        <v>36.630000000000003</v>
      </c>
      <c r="K448" s="47">
        <v>105.93</v>
      </c>
      <c r="L448" s="8" t="s">
        <v>19</v>
      </c>
      <c r="M448" s="8" t="s">
        <v>32</v>
      </c>
      <c r="N448" s="8" t="s">
        <v>39</v>
      </c>
      <c r="O448" s="91">
        <f>VLOOKUP(E448,Product_Master!$B$2:$F$11,5,FALSE)</f>
        <v>12.75</v>
      </c>
      <c r="P448" s="91">
        <f>PRODUCT(Table15[[#This Row],[Quantity]],Table15[[#This Row],[Unit_Cost]])</f>
        <v>344.25</v>
      </c>
      <c r="Q448" s="72">
        <f>(Table15[[#This Row],[Profit]]/Table15[[#This Row],[Total_Sales]])</f>
        <v>0.21760029580329079</v>
      </c>
      <c r="R448" s="22"/>
      <c r="S448" s="22"/>
      <c r="T448" s="22"/>
      <c r="U448" s="22"/>
    </row>
    <row r="449" spans="1:21" x14ac:dyDescent="0.25">
      <c r="A449" s="7" t="s">
        <v>602</v>
      </c>
      <c r="B449" s="16">
        <v>45386</v>
      </c>
      <c r="C449" s="8" t="s">
        <v>261</v>
      </c>
      <c r="D449" s="8" t="str">
        <f>PROPER(TRIM(Sales_Data!D449))</f>
        <v>South Africa</v>
      </c>
      <c r="E449" s="8" t="s">
        <v>25</v>
      </c>
      <c r="F449" s="8" t="s">
        <v>18</v>
      </c>
      <c r="G449" s="91">
        <v>45</v>
      </c>
      <c r="H449" s="9">
        <v>26.93</v>
      </c>
      <c r="I449" s="87">
        <f>PRODUCT(Table15[[#This Row],[Quantity]],Table15[[#This Row],[Unit_Price]])</f>
        <v>1211.8499999999999</v>
      </c>
      <c r="J449" s="9">
        <v>62.85</v>
      </c>
      <c r="K449" s="47">
        <v>339</v>
      </c>
      <c r="L449" s="8" t="s">
        <v>26</v>
      </c>
      <c r="M449" s="8" t="s">
        <v>27</v>
      </c>
      <c r="N449" s="8" t="s">
        <v>87</v>
      </c>
      <c r="O449" s="91">
        <f>VLOOKUP(E449,Product_Master!$B$2:$F$11,5,FALSE)</f>
        <v>18</v>
      </c>
      <c r="P449" s="91">
        <f>PRODUCT(Table15[[#This Row],[Quantity]],Table15[[#This Row],[Unit_Cost]])</f>
        <v>810</v>
      </c>
      <c r="Q449" s="72">
        <f>(Table15[[#This Row],[Profit]]/Table15[[#This Row],[Total_Sales]])</f>
        <v>0.2797375912860503</v>
      </c>
      <c r="R449" s="22"/>
      <c r="S449" s="22"/>
      <c r="T449" s="22"/>
      <c r="U449" s="22"/>
    </row>
    <row r="450" spans="1:21" x14ac:dyDescent="0.25">
      <c r="A450" s="7" t="s">
        <v>603</v>
      </c>
      <c r="B450" s="16">
        <v>45455</v>
      </c>
      <c r="C450" s="8" t="s">
        <v>319</v>
      </c>
      <c r="D450" s="8" t="str">
        <f>PROPER(TRIM(Sales_Data!D450))</f>
        <v>Italy</v>
      </c>
      <c r="E450" s="8" t="s">
        <v>48</v>
      </c>
      <c r="F450" s="8" t="s">
        <v>37</v>
      </c>
      <c r="G450" s="91">
        <v>40</v>
      </c>
      <c r="H450" s="9">
        <v>32.54</v>
      </c>
      <c r="I450" s="87">
        <f>PRODUCT(Table15[[#This Row],[Quantity]],Table15[[#This Row],[Unit_Price]])</f>
        <v>1301.5999999999999</v>
      </c>
      <c r="J450" s="9">
        <v>47.06</v>
      </c>
      <c r="K450" s="47">
        <v>454.54</v>
      </c>
      <c r="L450" s="8" t="s">
        <v>19</v>
      </c>
      <c r="M450" s="8" t="s">
        <v>27</v>
      </c>
      <c r="N450" s="8" t="s">
        <v>28</v>
      </c>
      <c r="O450" s="91">
        <f>VLOOKUP(E450,Product_Master!$B$2:$F$11,5,FALSE)</f>
        <v>20</v>
      </c>
      <c r="P450" s="91">
        <f>PRODUCT(Table15[[#This Row],[Quantity]],Table15[[#This Row],[Unit_Cost]])</f>
        <v>800</v>
      </c>
      <c r="Q450" s="72">
        <f>(Table15[[#This Row],[Profit]]/Table15[[#This Row],[Total_Sales]])</f>
        <v>0.34921634910878924</v>
      </c>
      <c r="R450" s="22"/>
      <c r="S450" s="22"/>
      <c r="T450" s="22"/>
      <c r="U450" s="22"/>
    </row>
    <row r="451" spans="1:21" x14ac:dyDescent="0.25">
      <c r="A451" s="7" t="s">
        <v>604</v>
      </c>
      <c r="B451" s="16">
        <v>45790</v>
      </c>
      <c r="C451" s="8" t="s">
        <v>85</v>
      </c>
      <c r="D451" s="8" t="str">
        <f>PROPER(TRIM(Sales_Data!D451))</f>
        <v>India</v>
      </c>
      <c r="E451" s="8" t="s">
        <v>51</v>
      </c>
      <c r="F451" s="8" t="s">
        <v>52</v>
      </c>
      <c r="G451" s="91">
        <v>26</v>
      </c>
      <c r="H451" s="9">
        <v>35.32</v>
      </c>
      <c r="I451" s="87">
        <f>PRODUCT(Table15[[#This Row],[Quantity]],Table15[[#This Row],[Unit_Price]])</f>
        <v>918.32</v>
      </c>
      <c r="J451" s="9">
        <v>60.02</v>
      </c>
      <c r="K451" s="47">
        <v>273.3</v>
      </c>
      <c r="L451" s="8" t="s">
        <v>38</v>
      </c>
      <c r="M451" s="8" t="s">
        <v>20</v>
      </c>
      <c r="N451" s="8" t="s">
        <v>58</v>
      </c>
      <c r="O451" s="91">
        <f>VLOOKUP(E451,Product_Master!$B$2:$F$11,5,FALSE)</f>
        <v>22.5</v>
      </c>
      <c r="P451" s="91">
        <f>PRODUCT(Table15[[#This Row],[Quantity]],Table15[[#This Row],[Unit_Cost]])</f>
        <v>585</v>
      </c>
      <c r="Q451" s="72">
        <f>(Table15[[#This Row],[Profit]]/Table15[[#This Row],[Total_Sales]])</f>
        <v>0.29760867671399949</v>
      </c>
      <c r="R451" s="22"/>
      <c r="S451" s="22"/>
      <c r="T451" s="22"/>
      <c r="U451" s="22"/>
    </row>
    <row r="452" spans="1:21" x14ac:dyDescent="0.25">
      <c r="A452" s="7" t="s">
        <v>605</v>
      </c>
      <c r="B452" s="16">
        <v>45681</v>
      </c>
      <c r="C452" s="8" t="s">
        <v>93</v>
      </c>
      <c r="D452" s="8" t="str">
        <f>PROPER(TRIM(Sales_Data!D452))</f>
        <v>Brazil</v>
      </c>
      <c r="E452" s="8" t="s">
        <v>63</v>
      </c>
      <c r="F452" s="8" t="s">
        <v>37</v>
      </c>
      <c r="G452" s="91">
        <v>16</v>
      </c>
      <c r="H452" s="9">
        <v>16.440000000000001</v>
      </c>
      <c r="I452" s="87">
        <f>PRODUCT(Table15[[#This Row],[Quantity]],Table15[[#This Row],[Unit_Price]])</f>
        <v>263.04000000000002</v>
      </c>
      <c r="J452" s="9">
        <v>17.64</v>
      </c>
      <c r="K452" s="47">
        <v>41.4</v>
      </c>
      <c r="L452" s="8" t="s">
        <v>19</v>
      </c>
      <c r="M452" s="8" t="s">
        <v>20</v>
      </c>
      <c r="N452" s="8" t="s">
        <v>39</v>
      </c>
      <c r="O452" s="91">
        <f>VLOOKUP(E452,Product_Master!$B$2:$F$11,5,FALSE)</f>
        <v>12.75</v>
      </c>
      <c r="P452" s="91">
        <f>PRODUCT(Table15[[#This Row],[Quantity]],Table15[[#This Row],[Unit_Cost]])</f>
        <v>204</v>
      </c>
      <c r="Q452" s="72">
        <f>(Table15[[#This Row],[Profit]]/Table15[[#This Row],[Total_Sales]])</f>
        <v>0.1573905109489051</v>
      </c>
      <c r="R452" s="22"/>
      <c r="S452" s="22"/>
      <c r="T452" s="22"/>
      <c r="U452" s="22"/>
    </row>
    <row r="453" spans="1:21" x14ac:dyDescent="0.25">
      <c r="A453" s="7" t="s">
        <v>606</v>
      </c>
      <c r="B453" s="16">
        <v>45731</v>
      </c>
      <c r="C453" s="8" t="s">
        <v>226</v>
      </c>
      <c r="D453" s="8" t="str">
        <f>PROPER(TRIM(Sales_Data!D453))</f>
        <v>France</v>
      </c>
      <c r="E453" s="8" t="s">
        <v>83</v>
      </c>
      <c r="F453" s="8" t="s">
        <v>52</v>
      </c>
      <c r="G453" s="91">
        <v>39</v>
      </c>
      <c r="H453" s="9">
        <v>46.27</v>
      </c>
      <c r="I453" s="87">
        <f>PRODUCT(Table15[[#This Row],[Quantity]],Table15[[#This Row],[Unit_Price]])</f>
        <v>1804.5300000000002</v>
      </c>
      <c r="J453" s="9">
        <v>38.57</v>
      </c>
      <c r="K453" s="47">
        <v>673.96</v>
      </c>
      <c r="L453" s="8" t="s">
        <v>38</v>
      </c>
      <c r="M453" s="8" t="s">
        <v>32</v>
      </c>
      <c r="N453" s="8" t="s">
        <v>28</v>
      </c>
      <c r="O453" s="91">
        <f>VLOOKUP(E453,Product_Master!$B$2:$F$11,5,FALSE)</f>
        <v>28</v>
      </c>
      <c r="P453" s="91">
        <f>PRODUCT(Table15[[#This Row],[Quantity]],Table15[[#This Row],[Unit_Cost]])</f>
        <v>1092</v>
      </c>
      <c r="Q453" s="72">
        <f>(Table15[[#This Row],[Profit]]/Table15[[#This Row],[Total_Sales]])</f>
        <v>0.37348229178788933</v>
      </c>
      <c r="R453" s="22"/>
      <c r="S453" s="22"/>
      <c r="T453" s="22"/>
      <c r="U453" s="22"/>
    </row>
    <row r="454" spans="1:21" x14ac:dyDescent="0.25">
      <c r="A454" s="7" t="s">
        <v>607</v>
      </c>
      <c r="B454" s="16">
        <v>45584</v>
      </c>
      <c r="C454" s="8" t="s">
        <v>154</v>
      </c>
      <c r="D454" s="8" t="str">
        <f>PROPER(TRIM(Sales_Data!D454))</f>
        <v>Uk</v>
      </c>
      <c r="E454" s="8" t="s">
        <v>56</v>
      </c>
      <c r="F454" s="8" t="s">
        <v>57</v>
      </c>
      <c r="G454" s="91">
        <v>15</v>
      </c>
      <c r="H454" s="9">
        <v>33.22</v>
      </c>
      <c r="I454" s="87">
        <f>PRODUCT(Table15[[#This Row],[Quantity]],Table15[[#This Row],[Unit_Price]])</f>
        <v>498.29999999999995</v>
      </c>
      <c r="J454" s="9">
        <v>36.85</v>
      </c>
      <c r="K454" s="47">
        <v>86.45</v>
      </c>
      <c r="L454" s="8" t="s">
        <v>38</v>
      </c>
      <c r="M454" s="8" t="s">
        <v>32</v>
      </c>
      <c r="N454" s="8" t="s">
        <v>28</v>
      </c>
      <c r="O454" s="91">
        <f>VLOOKUP(E454,Product_Master!$B$2:$F$11,5,FALSE)</f>
        <v>25</v>
      </c>
      <c r="P454" s="91">
        <f>PRODUCT(Table15[[#This Row],[Quantity]],Table15[[#This Row],[Unit_Cost]])</f>
        <v>375</v>
      </c>
      <c r="Q454" s="72">
        <f>(Table15[[#This Row],[Profit]]/Table15[[#This Row],[Total_Sales]])</f>
        <v>0.17348986554284571</v>
      </c>
      <c r="R454" s="22"/>
      <c r="S454" s="22"/>
      <c r="T454" s="22"/>
      <c r="U454" s="22"/>
    </row>
    <row r="455" spans="1:21" x14ac:dyDescent="0.25">
      <c r="A455" s="7" t="s">
        <v>608</v>
      </c>
      <c r="B455" s="16">
        <v>45459</v>
      </c>
      <c r="C455" s="8" t="s">
        <v>207</v>
      </c>
      <c r="D455" s="8" t="str">
        <f>PROPER(TRIM(Sales_Data!D455))</f>
        <v>South Africa</v>
      </c>
      <c r="E455" s="8" t="s">
        <v>43</v>
      </c>
      <c r="F455" s="8" t="s">
        <v>44</v>
      </c>
      <c r="G455" s="91">
        <v>35</v>
      </c>
      <c r="H455" s="9">
        <v>71.02</v>
      </c>
      <c r="I455" s="87">
        <f>PRODUCT(Table15[[#This Row],[Quantity]],Table15[[#This Row],[Unit_Price]])</f>
        <v>2485.6999999999998</v>
      </c>
      <c r="J455" s="9">
        <v>137.22</v>
      </c>
      <c r="K455" s="47">
        <v>948.48</v>
      </c>
      <c r="L455" s="8" t="s">
        <v>26</v>
      </c>
      <c r="M455" s="8" t="s">
        <v>27</v>
      </c>
      <c r="N455" s="8" t="s">
        <v>87</v>
      </c>
      <c r="O455" s="91">
        <f>VLOOKUP(E455,Product_Master!$B$2:$F$11,5,FALSE)</f>
        <v>40</v>
      </c>
      <c r="P455" s="91">
        <f>PRODUCT(Table15[[#This Row],[Quantity]],Table15[[#This Row],[Unit_Cost]])</f>
        <v>1400</v>
      </c>
      <c r="Q455" s="72">
        <f>(Table15[[#This Row],[Profit]]/Table15[[#This Row],[Total_Sales]])</f>
        <v>0.38157460675061355</v>
      </c>
      <c r="R455" s="22"/>
      <c r="S455" s="22"/>
      <c r="T455" s="22"/>
      <c r="U455" s="22"/>
    </row>
    <row r="456" spans="1:21" x14ac:dyDescent="0.25">
      <c r="A456" s="7" t="s">
        <v>609</v>
      </c>
      <c r="B456" s="16">
        <v>45555</v>
      </c>
      <c r="C456" s="8" t="s">
        <v>102</v>
      </c>
      <c r="D456" s="8" t="str">
        <f>PROPER(TRIM(Sales_Data!D456))</f>
        <v>Uae</v>
      </c>
      <c r="E456" s="8" t="s">
        <v>83</v>
      </c>
      <c r="F456" s="8" t="s">
        <v>52</v>
      </c>
      <c r="G456" s="91">
        <v>2</v>
      </c>
      <c r="H456" s="9">
        <v>42.31</v>
      </c>
      <c r="I456" s="87">
        <f>PRODUCT(Table15[[#This Row],[Quantity]],Table15[[#This Row],[Unit_Price]])</f>
        <v>84.62</v>
      </c>
      <c r="J456" s="9">
        <v>4.28</v>
      </c>
      <c r="K456" s="47">
        <v>24.34</v>
      </c>
      <c r="L456" s="8" t="s">
        <v>26</v>
      </c>
      <c r="M456" s="8" t="s">
        <v>27</v>
      </c>
      <c r="N456" s="8" t="s">
        <v>58</v>
      </c>
      <c r="O456" s="91">
        <f>VLOOKUP(E456,Product_Master!$B$2:$F$11,5,FALSE)</f>
        <v>28</v>
      </c>
      <c r="P456" s="91">
        <f>PRODUCT(Table15[[#This Row],[Quantity]],Table15[[#This Row],[Unit_Cost]])</f>
        <v>56</v>
      </c>
      <c r="Q456" s="72">
        <f>(Table15[[#This Row],[Profit]]/Table15[[#This Row],[Total_Sales]])</f>
        <v>0.28763885606239659</v>
      </c>
      <c r="R456" s="22"/>
      <c r="S456" s="22"/>
      <c r="T456" s="22"/>
      <c r="U456" s="22"/>
    </row>
    <row r="457" spans="1:21" x14ac:dyDescent="0.25">
      <c r="A457" s="7" t="s">
        <v>610</v>
      </c>
      <c r="B457" s="16">
        <v>45771</v>
      </c>
      <c r="C457" s="8" t="s">
        <v>91</v>
      </c>
      <c r="D457" s="8" t="str">
        <f>PROPER(TRIM(Sales_Data!D457))</f>
        <v>Singapore</v>
      </c>
      <c r="E457" s="8" t="s">
        <v>56</v>
      </c>
      <c r="F457" s="8" t="s">
        <v>57</v>
      </c>
      <c r="G457" s="91">
        <v>8</v>
      </c>
      <c r="H457" s="9">
        <v>41.36</v>
      </c>
      <c r="I457" s="87">
        <f>PRODUCT(Table15[[#This Row],[Quantity]],Table15[[#This Row],[Unit_Price]])</f>
        <v>330.88</v>
      </c>
      <c r="J457" s="9">
        <v>11.78</v>
      </c>
      <c r="K457" s="47">
        <v>119.1</v>
      </c>
      <c r="L457" s="8" t="s">
        <v>19</v>
      </c>
      <c r="M457" s="8" t="s">
        <v>20</v>
      </c>
      <c r="N457" s="8" t="s">
        <v>58</v>
      </c>
      <c r="O457" s="91">
        <f>VLOOKUP(E457,Product_Master!$B$2:$F$11,5,FALSE)</f>
        <v>25</v>
      </c>
      <c r="P457" s="91">
        <f>PRODUCT(Table15[[#This Row],[Quantity]],Table15[[#This Row],[Unit_Cost]])</f>
        <v>200</v>
      </c>
      <c r="Q457" s="72">
        <f>(Table15[[#This Row],[Profit]]/Table15[[#This Row],[Total_Sales]])</f>
        <v>0.35994922630560927</v>
      </c>
      <c r="R457" s="22"/>
      <c r="S457" s="22"/>
      <c r="T457" s="22"/>
      <c r="U457" s="22"/>
    </row>
    <row r="458" spans="1:21" x14ac:dyDescent="0.25">
      <c r="A458" s="7" t="s">
        <v>611</v>
      </c>
      <c r="B458" s="16">
        <v>45551</v>
      </c>
      <c r="C458" s="8" t="s">
        <v>121</v>
      </c>
      <c r="D458" s="8" t="str">
        <f>PROPER(TRIM(Sales_Data!D458))</f>
        <v>Canada</v>
      </c>
      <c r="E458" s="8" t="s">
        <v>25</v>
      </c>
      <c r="F458" s="8" t="s">
        <v>18</v>
      </c>
      <c r="G458" s="91">
        <v>3</v>
      </c>
      <c r="H458" s="9">
        <v>31.39</v>
      </c>
      <c r="I458" s="87">
        <f>PRODUCT(Table15[[#This Row],[Quantity]],Table15[[#This Row],[Unit_Price]])</f>
        <v>94.17</v>
      </c>
      <c r="J458" s="9">
        <v>2.52</v>
      </c>
      <c r="K458" s="47">
        <v>37.65</v>
      </c>
      <c r="L458" s="8" t="s">
        <v>38</v>
      </c>
      <c r="M458" s="8" t="s">
        <v>32</v>
      </c>
      <c r="N458" s="8" t="s">
        <v>21</v>
      </c>
      <c r="O458" s="91">
        <f>VLOOKUP(E458,Product_Master!$B$2:$F$11,5,FALSE)</f>
        <v>18</v>
      </c>
      <c r="P458" s="91">
        <f>PRODUCT(Table15[[#This Row],[Quantity]],Table15[[#This Row],[Unit_Cost]])</f>
        <v>54</v>
      </c>
      <c r="Q458" s="72">
        <f>(Table15[[#This Row],[Profit]]/Table15[[#This Row],[Total_Sales]])</f>
        <v>0.39980885632366991</v>
      </c>
      <c r="R458" s="22"/>
      <c r="S458" s="22"/>
      <c r="T458" s="22"/>
      <c r="U458" s="22"/>
    </row>
    <row r="459" spans="1:21" x14ac:dyDescent="0.25">
      <c r="A459" s="7" t="s">
        <v>612</v>
      </c>
      <c r="B459" s="16">
        <v>45660</v>
      </c>
      <c r="C459" s="8" t="s">
        <v>145</v>
      </c>
      <c r="D459" s="8" t="str">
        <f>PROPER(TRIM(Sales_Data!D459))</f>
        <v>France</v>
      </c>
      <c r="E459" s="8" t="s">
        <v>51</v>
      </c>
      <c r="F459" s="8" t="s">
        <v>52</v>
      </c>
      <c r="G459" s="91">
        <v>48</v>
      </c>
      <c r="H459" s="9">
        <v>33.61</v>
      </c>
      <c r="I459" s="87">
        <f>PRODUCT(Table15[[#This Row],[Quantity]],Table15[[#This Row],[Unit_Price]])</f>
        <v>1613.28</v>
      </c>
      <c r="J459" s="9">
        <v>109.92</v>
      </c>
      <c r="K459" s="47">
        <v>423.36</v>
      </c>
      <c r="L459" s="8" t="s">
        <v>19</v>
      </c>
      <c r="M459" s="8" t="s">
        <v>32</v>
      </c>
      <c r="N459" s="8" t="s">
        <v>28</v>
      </c>
      <c r="O459" s="91">
        <f>VLOOKUP(E459,Product_Master!$B$2:$F$11,5,FALSE)</f>
        <v>22.5</v>
      </c>
      <c r="P459" s="91">
        <f>PRODUCT(Table15[[#This Row],[Quantity]],Table15[[#This Row],[Unit_Cost]])</f>
        <v>1080</v>
      </c>
      <c r="Q459" s="72">
        <f>(Table15[[#This Row],[Profit]]/Table15[[#This Row],[Total_Sales]])</f>
        <v>0.26242189824457007</v>
      </c>
      <c r="R459" s="22"/>
      <c r="S459" s="22"/>
      <c r="T459" s="22"/>
      <c r="U459" s="22"/>
    </row>
    <row r="460" spans="1:21" x14ac:dyDescent="0.25">
      <c r="A460" s="7" t="s">
        <v>613</v>
      </c>
      <c r="B460" s="16">
        <v>45328</v>
      </c>
      <c r="C460" s="8" t="s">
        <v>173</v>
      </c>
      <c r="D460" s="8" t="str">
        <f>PROPER(TRIM(Sales_Data!D460))</f>
        <v>Germany</v>
      </c>
      <c r="E460" s="8" t="s">
        <v>36</v>
      </c>
      <c r="F460" s="8" t="s">
        <v>37</v>
      </c>
      <c r="G460" s="91">
        <v>9</v>
      </c>
      <c r="H460" s="9">
        <v>50.29</v>
      </c>
      <c r="I460" s="87">
        <f>PRODUCT(Table15[[#This Row],[Quantity]],Table15[[#This Row],[Unit_Price]])</f>
        <v>452.61</v>
      </c>
      <c r="J460" s="9">
        <v>32.93</v>
      </c>
      <c r="K460" s="47">
        <v>131.68</v>
      </c>
      <c r="L460" s="8" t="s">
        <v>26</v>
      </c>
      <c r="M460" s="8" t="s">
        <v>32</v>
      </c>
      <c r="N460" s="8" t="s">
        <v>28</v>
      </c>
      <c r="O460" s="91">
        <f>VLOOKUP(E460,Product_Master!$B$2:$F$11,5,FALSE)</f>
        <v>32</v>
      </c>
      <c r="P460" s="91">
        <f>PRODUCT(Table15[[#This Row],[Quantity]],Table15[[#This Row],[Unit_Cost]])</f>
        <v>288</v>
      </c>
      <c r="Q460" s="72">
        <f>(Table15[[#This Row],[Profit]]/Table15[[#This Row],[Total_Sales]])</f>
        <v>0.29093480038001812</v>
      </c>
      <c r="R460" s="22"/>
      <c r="S460" s="22"/>
      <c r="T460" s="22"/>
      <c r="U460" s="22"/>
    </row>
    <row r="461" spans="1:21" x14ac:dyDescent="0.25">
      <c r="A461" s="7" t="s">
        <v>614</v>
      </c>
      <c r="B461" s="16">
        <v>45585</v>
      </c>
      <c r="C461" s="8" t="s">
        <v>145</v>
      </c>
      <c r="D461" s="8" t="str">
        <f>PROPER(TRIM(Sales_Data!D461))</f>
        <v>Usa</v>
      </c>
      <c r="E461" s="8" t="s">
        <v>51</v>
      </c>
      <c r="F461" s="8" t="s">
        <v>52</v>
      </c>
      <c r="G461" s="91">
        <v>12</v>
      </c>
      <c r="H461" s="9">
        <v>34.96</v>
      </c>
      <c r="I461" s="87">
        <f>PRODUCT(Table15[[#This Row],[Quantity]],Table15[[#This Row],[Unit_Price]])</f>
        <v>419.52</v>
      </c>
      <c r="J461" s="9">
        <v>15.43</v>
      </c>
      <c r="K461" s="47">
        <v>134.09</v>
      </c>
      <c r="L461" s="8" t="s">
        <v>26</v>
      </c>
      <c r="M461" s="8" t="s">
        <v>32</v>
      </c>
      <c r="N461" s="8" t="s">
        <v>21</v>
      </c>
      <c r="O461" s="91">
        <f>VLOOKUP(E461,Product_Master!$B$2:$F$11,5,FALSE)</f>
        <v>22.5</v>
      </c>
      <c r="P461" s="91">
        <f>PRODUCT(Table15[[#This Row],[Quantity]],Table15[[#This Row],[Unit_Cost]])</f>
        <v>270</v>
      </c>
      <c r="Q461" s="72">
        <f>(Table15[[#This Row],[Profit]]/Table15[[#This Row],[Total_Sales]])</f>
        <v>0.31962719298245618</v>
      </c>
      <c r="R461" s="22"/>
      <c r="S461" s="22"/>
      <c r="T461" s="22"/>
      <c r="U461" s="22"/>
    </row>
    <row r="462" spans="1:21" x14ac:dyDescent="0.25">
      <c r="A462" s="7" t="s">
        <v>615</v>
      </c>
      <c r="B462" s="16">
        <v>45710</v>
      </c>
      <c r="C462" s="8" t="s">
        <v>371</v>
      </c>
      <c r="D462" s="8" t="str">
        <f>PROPER(TRIM(Sales_Data!D462))</f>
        <v>Australia</v>
      </c>
      <c r="E462" s="8" t="s">
        <v>17</v>
      </c>
      <c r="F462" s="8" t="s">
        <v>18</v>
      </c>
      <c r="G462" s="91">
        <v>29</v>
      </c>
      <c r="H462" s="9">
        <v>52.72</v>
      </c>
      <c r="I462" s="87">
        <f>PRODUCT(Table15[[#This Row],[Quantity]],Table15[[#This Row],[Unit_Price]])</f>
        <v>1528.8799999999999</v>
      </c>
      <c r="J462" s="9">
        <v>96.91</v>
      </c>
      <c r="K462" s="47">
        <v>416.97</v>
      </c>
      <c r="L462" s="8" t="s">
        <v>26</v>
      </c>
      <c r="M462" s="8" t="s">
        <v>32</v>
      </c>
      <c r="N462" s="8" t="s">
        <v>130</v>
      </c>
      <c r="O462" s="91">
        <f>VLOOKUP(E462,Product_Master!$B$2:$F$11,5,FALSE)</f>
        <v>35</v>
      </c>
      <c r="P462" s="91">
        <f>PRODUCT(Table15[[#This Row],[Quantity]],Table15[[#This Row],[Unit_Cost]])</f>
        <v>1015</v>
      </c>
      <c r="Q462" s="72">
        <f>(Table15[[#This Row],[Profit]]/Table15[[#This Row],[Total_Sales]])</f>
        <v>0.27272905656428237</v>
      </c>
      <c r="R462" s="22"/>
      <c r="S462" s="22"/>
      <c r="T462" s="22"/>
      <c r="U462" s="22"/>
    </row>
    <row r="463" spans="1:21" x14ac:dyDescent="0.25">
      <c r="A463" s="7" t="s">
        <v>616</v>
      </c>
      <c r="B463" s="16">
        <v>45692</v>
      </c>
      <c r="C463" s="8" t="s">
        <v>330</v>
      </c>
      <c r="D463" s="8" t="str">
        <f>PROPER(TRIM(Sales_Data!D463))</f>
        <v>Canada</v>
      </c>
      <c r="E463" s="8" t="s">
        <v>60</v>
      </c>
      <c r="F463" s="8" t="s">
        <v>52</v>
      </c>
      <c r="G463" s="91">
        <v>39</v>
      </c>
      <c r="H463" s="9">
        <v>22.18</v>
      </c>
      <c r="I463" s="87">
        <f>PRODUCT(Table15[[#This Row],[Quantity]],Table15[[#This Row],[Unit_Price]])</f>
        <v>865.02</v>
      </c>
      <c r="J463" s="9">
        <v>26.23</v>
      </c>
      <c r="K463" s="47">
        <v>234.29</v>
      </c>
      <c r="L463" s="8" t="s">
        <v>19</v>
      </c>
      <c r="M463" s="8" t="s">
        <v>32</v>
      </c>
      <c r="N463" s="8" t="s">
        <v>21</v>
      </c>
      <c r="O463" s="91">
        <f>VLOOKUP(E463,Product_Master!$B$2:$F$11,5,FALSE)</f>
        <v>15.5</v>
      </c>
      <c r="P463" s="91">
        <f>PRODUCT(Table15[[#This Row],[Quantity]],Table15[[#This Row],[Unit_Cost]])</f>
        <v>604.5</v>
      </c>
      <c r="Q463" s="72">
        <f>(Table15[[#This Row],[Profit]]/Table15[[#This Row],[Total_Sales]])</f>
        <v>0.27084922891956253</v>
      </c>
      <c r="R463" s="22"/>
      <c r="S463" s="22"/>
      <c r="T463" s="22"/>
      <c r="U463" s="22"/>
    </row>
    <row r="464" spans="1:21" x14ac:dyDescent="0.25">
      <c r="A464" s="7" t="s">
        <v>617</v>
      </c>
      <c r="B464" s="16">
        <v>45716</v>
      </c>
      <c r="C464" s="8" t="s">
        <v>323</v>
      </c>
      <c r="D464" s="8" t="str">
        <f>PROPER(TRIM(Sales_Data!D464))</f>
        <v>Singapore</v>
      </c>
      <c r="E464" s="8" t="s">
        <v>60</v>
      </c>
      <c r="F464" s="8" t="s">
        <v>52</v>
      </c>
      <c r="G464" s="91">
        <v>11</v>
      </c>
      <c r="H464" s="9">
        <v>21.4</v>
      </c>
      <c r="I464" s="87">
        <f>PRODUCT(Table15[[#This Row],[Quantity]],Table15[[#This Row],[Unit_Price]])</f>
        <v>235.39999999999998</v>
      </c>
      <c r="J464" s="9">
        <v>11.64</v>
      </c>
      <c r="K464" s="47">
        <v>53.26</v>
      </c>
      <c r="L464" s="8" t="s">
        <v>19</v>
      </c>
      <c r="M464" s="8" t="s">
        <v>32</v>
      </c>
      <c r="N464" s="8" t="s">
        <v>58</v>
      </c>
      <c r="O464" s="91">
        <f>VLOOKUP(E464,Product_Master!$B$2:$F$11,5,FALSE)</f>
        <v>15.5</v>
      </c>
      <c r="P464" s="91">
        <f>PRODUCT(Table15[[#This Row],[Quantity]],Table15[[#This Row],[Unit_Cost]])</f>
        <v>170.5</v>
      </c>
      <c r="Q464" s="72">
        <f>(Table15[[#This Row],[Profit]]/Table15[[#This Row],[Total_Sales]])</f>
        <v>0.22625318606627018</v>
      </c>
      <c r="R464" s="22"/>
      <c r="S464" s="22"/>
      <c r="T464" s="22"/>
      <c r="U464" s="22"/>
    </row>
    <row r="465" spans="1:21" x14ac:dyDescent="0.25">
      <c r="A465" s="7" t="s">
        <v>618</v>
      </c>
      <c r="B465" s="16">
        <v>45397</v>
      </c>
      <c r="C465" s="8" t="s">
        <v>291</v>
      </c>
      <c r="D465" s="8" t="str">
        <f>PROPER(TRIM(Sales_Data!D465))</f>
        <v>Singapore</v>
      </c>
      <c r="E465" s="8" t="s">
        <v>56</v>
      </c>
      <c r="F465" s="8" t="s">
        <v>57</v>
      </c>
      <c r="G465" s="91">
        <v>21</v>
      </c>
      <c r="H465" s="9">
        <v>36.26</v>
      </c>
      <c r="I465" s="87">
        <f>PRODUCT(Table15[[#This Row],[Quantity]],Table15[[#This Row],[Unit_Price]])</f>
        <v>761.45999999999992</v>
      </c>
      <c r="J465" s="9">
        <v>56.99</v>
      </c>
      <c r="K465" s="47">
        <v>179.47</v>
      </c>
      <c r="L465" s="8" t="s">
        <v>26</v>
      </c>
      <c r="M465" s="8" t="s">
        <v>20</v>
      </c>
      <c r="N465" s="8" t="s">
        <v>58</v>
      </c>
      <c r="O465" s="91">
        <f>VLOOKUP(E465,Product_Master!$B$2:$F$11,5,FALSE)</f>
        <v>25</v>
      </c>
      <c r="P465" s="91">
        <f>PRODUCT(Table15[[#This Row],[Quantity]],Table15[[#This Row],[Unit_Cost]])</f>
        <v>525</v>
      </c>
      <c r="Q465" s="72">
        <f>(Table15[[#This Row],[Profit]]/Table15[[#This Row],[Total_Sales]])</f>
        <v>0.23569196018175612</v>
      </c>
      <c r="R465" s="22"/>
      <c r="S465" s="22"/>
      <c r="T465" s="22"/>
      <c r="U465" s="22"/>
    </row>
    <row r="466" spans="1:21" x14ac:dyDescent="0.25">
      <c r="A466" s="7" t="s">
        <v>619</v>
      </c>
      <c r="B466" s="16">
        <v>45582</v>
      </c>
      <c r="C466" s="8" t="s">
        <v>207</v>
      </c>
      <c r="D466" s="8" t="str">
        <f>PROPER(TRIM(Sales_Data!D466))</f>
        <v>China</v>
      </c>
      <c r="E466" s="8" t="s">
        <v>51</v>
      </c>
      <c r="F466" s="8" t="s">
        <v>52</v>
      </c>
      <c r="G466" s="91">
        <v>39</v>
      </c>
      <c r="H466" s="9">
        <v>35.409999999999997</v>
      </c>
      <c r="I466" s="87">
        <f>PRODUCT(Table15[[#This Row],[Quantity]],Table15[[#This Row],[Unit_Price]])</f>
        <v>1380.9899999999998</v>
      </c>
      <c r="J466" s="9">
        <v>84.56</v>
      </c>
      <c r="K466" s="47">
        <v>418.93</v>
      </c>
      <c r="L466" s="8" t="s">
        <v>26</v>
      </c>
      <c r="M466" s="8" t="s">
        <v>20</v>
      </c>
      <c r="N466" s="8" t="s">
        <v>58</v>
      </c>
      <c r="O466" s="91">
        <f>VLOOKUP(E466,Product_Master!$B$2:$F$11,5,FALSE)</f>
        <v>22.5</v>
      </c>
      <c r="P466" s="91">
        <f>PRODUCT(Table15[[#This Row],[Quantity]],Table15[[#This Row],[Unit_Cost]])</f>
        <v>877.5</v>
      </c>
      <c r="Q466" s="72">
        <f>(Table15[[#This Row],[Profit]]/Table15[[#This Row],[Total_Sales]])</f>
        <v>0.30335483964402354</v>
      </c>
      <c r="R466" s="22"/>
      <c r="S466" s="22"/>
      <c r="T466" s="22"/>
      <c r="U466" s="22"/>
    </row>
    <row r="467" spans="1:21" x14ac:dyDescent="0.25">
      <c r="A467" s="7" t="s">
        <v>620</v>
      </c>
      <c r="B467" s="16">
        <v>45396</v>
      </c>
      <c r="C467" s="8" t="s">
        <v>110</v>
      </c>
      <c r="D467" s="8" t="str">
        <f>PROPER(TRIM(Sales_Data!D467))</f>
        <v>China</v>
      </c>
      <c r="E467" s="8" t="s">
        <v>25</v>
      </c>
      <c r="F467" s="8" t="s">
        <v>18</v>
      </c>
      <c r="G467" s="91">
        <v>13</v>
      </c>
      <c r="H467" s="9">
        <v>27.35</v>
      </c>
      <c r="I467" s="87">
        <f>PRODUCT(Table15[[#This Row],[Quantity]],Table15[[#This Row],[Unit_Price]])</f>
        <v>355.55</v>
      </c>
      <c r="J467" s="9">
        <v>26.23</v>
      </c>
      <c r="K467" s="47">
        <v>95.32</v>
      </c>
      <c r="L467" s="8" t="s">
        <v>26</v>
      </c>
      <c r="M467" s="8" t="s">
        <v>32</v>
      </c>
      <c r="N467" s="8" t="s">
        <v>58</v>
      </c>
      <c r="O467" s="91">
        <f>VLOOKUP(E467,Product_Master!$B$2:$F$11,5,FALSE)</f>
        <v>18</v>
      </c>
      <c r="P467" s="91">
        <f>PRODUCT(Table15[[#This Row],[Quantity]],Table15[[#This Row],[Unit_Cost]])</f>
        <v>234</v>
      </c>
      <c r="Q467" s="72">
        <f>(Table15[[#This Row],[Profit]]/Table15[[#This Row],[Total_Sales]])</f>
        <v>0.26809168893263957</v>
      </c>
      <c r="R467" s="22"/>
      <c r="S467" s="22"/>
      <c r="T467" s="22"/>
      <c r="U467" s="22"/>
    </row>
    <row r="468" spans="1:21" x14ac:dyDescent="0.25">
      <c r="A468" s="7" t="s">
        <v>621</v>
      </c>
      <c r="B468" s="16">
        <v>45321</v>
      </c>
      <c r="C468" s="8" t="s">
        <v>91</v>
      </c>
      <c r="D468" s="8" t="str">
        <f>PROPER(TRIM(Sales_Data!D468))</f>
        <v>Brazil</v>
      </c>
      <c r="E468" s="8" t="s">
        <v>63</v>
      </c>
      <c r="F468" s="8" t="s">
        <v>37</v>
      </c>
      <c r="G468" s="91">
        <v>40</v>
      </c>
      <c r="H468" s="9">
        <v>21.08</v>
      </c>
      <c r="I468" s="87">
        <f>PRODUCT(Table15[[#This Row],[Quantity]],Table15[[#This Row],[Unit_Price]])</f>
        <v>843.19999999999993</v>
      </c>
      <c r="J468" s="9">
        <v>66.81</v>
      </c>
      <c r="K468" s="47">
        <v>266.39</v>
      </c>
      <c r="L468" s="8" t="s">
        <v>38</v>
      </c>
      <c r="M468" s="8" t="s">
        <v>27</v>
      </c>
      <c r="N468" s="8" t="s">
        <v>39</v>
      </c>
      <c r="O468" s="91">
        <f>VLOOKUP(E468,Product_Master!$B$2:$F$11,5,FALSE)</f>
        <v>12.75</v>
      </c>
      <c r="P468" s="91">
        <f>PRODUCT(Table15[[#This Row],[Quantity]],Table15[[#This Row],[Unit_Cost]])</f>
        <v>510</v>
      </c>
      <c r="Q468" s="72">
        <f>(Table15[[#This Row],[Profit]]/Table15[[#This Row],[Total_Sales]])</f>
        <v>0.3159274193548387</v>
      </c>
      <c r="R468" s="22"/>
      <c r="S468" s="22"/>
      <c r="T468" s="22"/>
      <c r="U468" s="22"/>
    </row>
    <row r="469" spans="1:21" x14ac:dyDescent="0.25">
      <c r="A469" s="7" t="s">
        <v>622</v>
      </c>
      <c r="B469" s="16">
        <v>45568</v>
      </c>
      <c r="C469" s="8" t="s">
        <v>371</v>
      </c>
      <c r="D469" s="8" t="str">
        <f>PROPER(TRIM(Sales_Data!D469))</f>
        <v>Mexico</v>
      </c>
      <c r="E469" s="8" t="s">
        <v>60</v>
      </c>
      <c r="F469" s="8" t="s">
        <v>52</v>
      </c>
      <c r="G469" s="91">
        <v>47</v>
      </c>
      <c r="H469" s="9">
        <v>27.54</v>
      </c>
      <c r="I469" s="87">
        <f>PRODUCT(Table15[[#This Row],[Quantity]],Table15[[#This Row],[Unit_Price]])</f>
        <v>1294.3799999999999</v>
      </c>
      <c r="J469" s="9">
        <v>62.78</v>
      </c>
      <c r="K469" s="47">
        <v>503.1</v>
      </c>
      <c r="L469" s="8" t="s">
        <v>19</v>
      </c>
      <c r="M469" s="8" t="s">
        <v>20</v>
      </c>
      <c r="N469" s="8" t="s">
        <v>21</v>
      </c>
      <c r="O469" s="91">
        <f>VLOOKUP(E469,Product_Master!$B$2:$F$11,5,FALSE)</f>
        <v>15.5</v>
      </c>
      <c r="P469" s="91">
        <f>PRODUCT(Table15[[#This Row],[Quantity]],Table15[[#This Row],[Unit_Cost]])</f>
        <v>728.5</v>
      </c>
      <c r="Q469" s="72">
        <f>(Table15[[#This Row],[Profit]]/Table15[[#This Row],[Total_Sales]])</f>
        <v>0.38868029481296068</v>
      </c>
      <c r="R469" s="22"/>
      <c r="S469" s="22"/>
      <c r="T469" s="22"/>
      <c r="U469" s="22"/>
    </row>
    <row r="470" spans="1:21" x14ac:dyDescent="0.25">
      <c r="A470" s="7" t="s">
        <v>623</v>
      </c>
      <c r="B470" s="16">
        <v>45356</v>
      </c>
      <c r="C470" s="8" t="s">
        <v>34</v>
      </c>
      <c r="D470" s="8" t="str">
        <f>PROPER(TRIM(Sales_Data!D470))</f>
        <v>India</v>
      </c>
      <c r="E470" s="8" t="s">
        <v>36</v>
      </c>
      <c r="F470" s="8" t="s">
        <v>37</v>
      </c>
      <c r="G470" s="91">
        <v>16</v>
      </c>
      <c r="H470" s="9">
        <v>45.08</v>
      </c>
      <c r="I470" s="87">
        <f>PRODUCT(Table15[[#This Row],[Quantity]],Table15[[#This Row],[Unit_Price]])</f>
        <v>721.28</v>
      </c>
      <c r="J470" s="9">
        <v>21.61</v>
      </c>
      <c r="K470" s="47">
        <v>187.67</v>
      </c>
      <c r="L470" s="8" t="s">
        <v>26</v>
      </c>
      <c r="M470" s="8" t="s">
        <v>32</v>
      </c>
      <c r="N470" s="8" t="s">
        <v>58</v>
      </c>
      <c r="O470" s="91">
        <f>VLOOKUP(E470,Product_Master!$B$2:$F$11,5,FALSE)</f>
        <v>32</v>
      </c>
      <c r="P470" s="91">
        <f>PRODUCT(Table15[[#This Row],[Quantity]],Table15[[#This Row],[Unit_Cost]])</f>
        <v>512</v>
      </c>
      <c r="Q470" s="72">
        <f>(Table15[[#This Row],[Profit]]/Table15[[#This Row],[Total_Sales]])</f>
        <v>0.26019021739130432</v>
      </c>
      <c r="R470" s="22"/>
      <c r="S470" s="22"/>
      <c r="T470" s="22"/>
      <c r="U470" s="22"/>
    </row>
    <row r="471" spans="1:21" x14ac:dyDescent="0.25">
      <c r="A471" s="7" t="s">
        <v>624</v>
      </c>
      <c r="B471" s="16">
        <v>45764</v>
      </c>
      <c r="C471" s="8" t="s">
        <v>123</v>
      </c>
      <c r="D471" s="8" t="str">
        <f>PROPER(TRIM(Sales_Data!D471))</f>
        <v>Uae</v>
      </c>
      <c r="E471" s="8" t="s">
        <v>51</v>
      </c>
      <c r="F471" s="8" t="s">
        <v>52</v>
      </c>
      <c r="G471" s="91">
        <v>37</v>
      </c>
      <c r="H471" s="9">
        <v>33.200000000000003</v>
      </c>
      <c r="I471" s="87">
        <f>PRODUCT(Table15[[#This Row],[Quantity]],Table15[[#This Row],[Unit_Price]])</f>
        <v>1228.4000000000001</v>
      </c>
      <c r="J471" s="9">
        <v>41.34</v>
      </c>
      <c r="K471" s="47">
        <v>354.56</v>
      </c>
      <c r="L471" s="8" t="s">
        <v>38</v>
      </c>
      <c r="M471" s="8" t="s">
        <v>27</v>
      </c>
      <c r="N471" s="8" t="s">
        <v>58</v>
      </c>
      <c r="O471" s="91">
        <f>VLOOKUP(E471,Product_Master!$B$2:$F$11,5,FALSE)</f>
        <v>22.5</v>
      </c>
      <c r="P471" s="91">
        <f>PRODUCT(Table15[[#This Row],[Quantity]],Table15[[#This Row],[Unit_Cost]])</f>
        <v>832.5</v>
      </c>
      <c r="Q471" s="72">
        <f>(Table15[[#This Row],[Profit]]/Table15[[#This Row],[Total_Sales]])</f>
        <v>0.28863562357538258</v>
      </c>
      <c r="R471" s="22"/>
      <c r="S471" s="22"/>
      <c r="T471" s="22"/>
      <c r="U471" s="22"/>
    </row>
    <row r="472" spans="1:21" x14ac:dyDescent="0.25">
      <c r="A472" s="7" t="s">
        <v>625</v>
      </c>
      <c r="B472" s="16">
        <v>45638</v>
      </c>
      <c r="C472" s="8" t="s">
        <v>15</v>
      </c>
      <c r="D472" s="8" t="str">
        <f>PROPER(TRIM(Sales_Data!D472))</f>
        <v>Uae</v>
      </c>
      <c r="E472" s="8" t="s">
        <v>25</v>
      </c>
      <c r="F472" s="8" t="s">
        <v>18</v>
      </c>
      <c r="G472" s="91">
        <v>8</v>
      </c>
      <c r="H472" s="9">
        <v>27.31</v>
      </c>
      <c r="I472" s="87">
        <f>PRODUCT(Table15[[#This Row],[Quantity]],Table15[[#This Row],[Unit_Price]])</f>
        <v>218.48</v>
      </c>
      <c r="J472" s="9">
        <v>9.51</v>
      </c>
      <c r="K472" s="47">
        <v>64.97</v>
      </c>
      <c r="L472" s="8" t="s">
        <v>38</v>
      </c>
      <c r="M472" s="8" t="s">
        <v>20</v>
      </c>
      <c r="N472" s="8" t="s">
        <v>58</v>
      </c>
      <c r="O472" s="91">
        <f>VLOOKUP(E472,Product_Master!$B$2:$F$11,5,FALSE)</f>
        <v>18</v>
      </c>
      <c r="P472" s="91">
        <f>PRODUCT(Table15[[#This Row],[Quantity]],Table15[[#This Row],[Unit_Cost]])</f>
        <v>144</v>
      </c>
      <c r="Q472" s="72">
        <f>(Table15[[#This Row],[Profit]]/Table15[[#This Row],[Total_Sales]])</f>
        <v>0.29737275723178325</v>
      </c>
      <c r="R472" s="22"/>
      <c r="S472" s="22"/>
      <c r="T472" s="22"/>
      <c r="U472" s="22"/>
    </row>
    <row r="473" spans="1:21" x14ac:dyDescent="0.25">
      <c r="A473" s="7" t="s">
        <v>626</v>
      </c>
      <c r="B473" s="16">
        <v>45405</v>
      </c>
      <c r="C473" s="8" t="s">
        <v>97</v>
      </c>
      <c r="D473" s="8" t="str">
        <f>PROPER(TRIM(Sales_Data!D473))</f>
        <v>South Africa</v>
      </c>
      <c r="E473" s="8" t="s">
        <v>25</v>
      </c>
      <c r="F473" s="8" t="s">
        <v>18</v>
      </c>
      <c r="G473" s="91">
        <v>19</v>
      </c>
      <c r="H473" s="9">
        <v>29.14</v>
      </c>
      <c r="I473" s="87">
        <f>PRODUCT(Table15[[#This Row],[Quantity]],Table15[[#This Row],[Unit_Price]])</f>
        <v>553.66</v>
      </c>
      <c r="J473" s="9">
        <v>19.7</v>
      </c>
      <c r="K473" s="47">
        <v>191.96</v>
      </c>
      <c r="L473" s="8" t="s">
        <v>19</v>
      </c>
      <c r="M473" s="8" t="s">
        <v>27</v>
      </c>
      <c r="N473" s="8" t="s">
        <v>87</v>
      </c>
      <c r="O473" s="91">
        <f>VLOOKUP(E473,Product_Master!$B$2:$F$11,5,FALSE)</f>
        <v>18</v>
      </c>
      <c r="P473" s="91">
        <f>PRODUCT(Table15[[#This Row],[Quantity]],Table15[[#This Row],[Unit_Cost]])</f>
        <v>342</v>
      </c>
      <c r="Q473" s="72">
        <f>(Table15[[#This Row],[Profit]]/Table15[[#This Row],[Total_Sales]])</f>
        <v>0.34671097785644622</v>
      </c>
      <c r="R473" s="22"/>
      <c r="S473" s="22"/>
      <c r="T473" s="22"/>
      <c r="U473" s="22"/>
    </row>
    <row r="474" spans="1:21" x14ac:dyDescent="0.25">
      <c r="A474" s="7" t="s">
        <v>627</v>
      </c>
      <c r="B474" s="16">
        <v>45563</v>
      </c>
      <c r="C474" s="8" t="s">
        <v>209</v>
      </c>
      <c r="D474" s="8" t="str">
        <f>PROPER(TRIM(Sales_Data!D474))</f>
        <v>Singapore</v>
      </c>
      <c r="E474" s="8" t="s">
        <v>17</v>
      </c>
      <c r="F474" s="8" t="s">
        <v>18</v>
      </c>
      <c r="G474" s="91">
        <v>6</v>
      </c>
      <c r="H474" s="9">
        <v>55.41</v>
      </c>
      <c r="I474" s="87">
        <f>PRODUCT(Table15[[#This Row],[Quantity]],Table15[[#This Row],[Unit_Price]])</f>
        <v>332.46</v>
      </c>
      <c r="J474" s="9">
        <v>15.57</v>
      </c>
      <c r="K474" s="47">
        <v>106.89</v>
      </c>
      <c r="L474" s="8" t="s">
        <v>19</v>
      </c>
      <c r="M474" s="8" t="s">
        <v>20</v>
      </c>
      <c r="N474" s="8" t="s">
        <v>58</v>
      </c>
      <c r="O474" s="91">
        <f>VLOOKUP(E474,Product_Master!$B$2:$F$11,5,FALSE)</f>
        <v>35</v>
      </c>
      <c r="P474" s="91">
        <f>PRODUCT(Table15[[#This Row],[Quantity]],Table15[[#This Row],[Unit_Cost]])</f>
        <v>210</v>
      </c>
      <c r="Q474" s="72">
        <f>(Table15[[#This Row],[Profit]]/Table15[[#This Row],[Total_Sales]])</f>
        <v>0.3215123623894604</v>
      </c>
      <c r="R474" s="22"/>
      <c r="S474" s="22"/>
      <c r="T474" s="22"/>
      <c r="U474" s="22"/>
    </row>
    <row r="475" spans="1:21" x14ac:dyDescent="0.25">
      <c r="A475" s="7" t="s">
        <v>628</v>
      </c>
      <c r="B475" s="16">
        <v>45763</v>
      </c>
      <c r="C475" s="8" t="s">
        <v>193</v>
      </c>
      <c r="D475" s="8" t="str">
        <f>PROPER(TRIM(Sales_Data!D475))</f>
        <v>Uae</v>
      </c>
      <c r="E475" s="8" t="s">
        <v>25</v>
      </c>
      <c r="F475" s="8" t="s">
        <v>18</v>
      </c>
      <c r="G475" s="91">
        <v>48</v>
      </c>
      <c r="H475" s="9">
        <v>29.07</v>
      </c>
      <c r="I475" s="87">
        <f>PRODUCT(Table15[[#This Row],[Quantity]],Table15[[#This Row],[Unit_Price]])</f>
        <v>1395.3600000000001</v>
      </c>
      <c r="J475" s="9">
        <v>70.38</v>
      </c>
      <c r="K475" s="47">
        <v>460.98</v>
      </c>
      <c r="L475" s="8" t="s">
        <v>26</v>
      </c>
      <c r="M475" s="8" t="s">
        <v>32</v>
      </c>
      <c r="N475" s="8" t="s">
        <v>58</v>
      </c>
      <c r="O475" s="91">
        <f>VLOOKUP(E475,Product_Master!$B$2:$F$11,5,FALSE)</f>
        <v>18</v>
      </c>
      <c r="P475" s="91">
        <f>PRODUCT(Table15[[#This Row],[Quantity]],Table15[[#This Row],[Unit_Cost]])</f>
        <v>864</v>
      </c>
      <c r="Q475" s="72">
        <f>(Table15[[#This Row],[Profit]]/Table15[[#This Row],[Total_Sales]])</f>
        <v>0.33036635706914341</v>
      </c>
      <c r="R475" s="22"/>
      <c r="S475" s="22"/>
      <c r="T475" s="22"/>
      <c r="U475" s="22"/>
    </row>
    <row r="476" spans="1:21" x14ac:dyDescent="0.25">
      <c r="A476" s="7" t="s">
        <v>629</v>
      </c>
      <c r="B476" s="16">
        <v>45419</v>
      </c>
      <c r="C476" s="8" t="s">
        <v>286</v>
      </c>
      <c r="D476" s="8" t="str">
        <f>PROPER(TRIM(Sales_Data!D476))</f>
        <v>Brazil</v>
      </c>
      <c r="E476" s="8" t="s">
        <v>51</v>
      </c>
      <c r="F476" s="8" t="s">
        <v>52</v>
      </c>
      <c r="G476" s="91">
        <v>26</v>
      </c>
      <c r="H476" s="9">
        <v>27.17</v>
      </c>
      <c r="I476" s="87">
        <f>PRODUCT(Table15[[#This Row],[Quantity]],Table15[[#This Row],[Unit_Price]])</f>
        <v>706.42000000000007</v>
      </c>
      <c r="J476" s="9">
        <v>33.94</v>
      </c>
      <c r="K476" s="47">
        <v>87.48</v>
      </c>
      <c r="L476" s="8" t="s">
        <v>38</v>
      </c>
      <c r="M476" s="8" t="s">
        <v>27</v>
      </c>
      <c r="N476" s="8" t="s">
        <v>39</v>
      </c>
      <c r="O476" s="91">
        <f>VLOOKUP(E476,Product_Master!$B$2:$F$11,5,FALSE)</f>
        <v>22.5</v>
      </c>
      <c r="P476" s="91">
        <f>PRODUCT(Table15[[#This Row],[Quantity]],Table15[[#This Row],[Unit_Cost]])</f>
        <v>585</v>
      </c>
      <c r="Q476" s="72">
        <f>(Table15[[#This Row],[Profit]]/Table15[[#This Row],[Total_Sales]])</f>
        <v>0.12383567849154893</v>
      </c>
      <c r="R476" s="22"/>
      <c r="S476" s="22"/>
      <c r="T476" s="22"/>
      <c r="U476" s="22"/>
    </row>
    <row r="477" spans="1:21" x14ac:dyDescent="0.25">
      <c r="A477" s="7" t="s">
        <v>630</v>
      </c>
      <c r="B477" s="16">
        <v>45425</v>
      </c>
      <c r="C477" s="8" t="s">
        <v>105</v>
      </c>
      <c r="D477" s="8" t="str">
        <f>PROPER(TRIM(Sales_Data!D477))</f>
        <v>Japan</v>
      </c>
      <c r="E477" s="8" t="s">
        <v>17</v>
      </c>
      <c r="F477" s="8" t="s">
        <v>18</v>
      </c>
      <c r="G477" s="91">
        <v>9</v>
      </c>
      <c r="H477" s="9">
        <v>48.76</v>
      </c>
      <c r="I477" s="87">
        <f>PRODUCT(Table15[[#This Row],[Quantity]],Table15[[#This Row],[Unit_Price]])</f>
        <v>438.84</v>
      </c>
      <c r="J477" s="9">
        <v>16.91</v>
      </c>
      <c r="K477" s="47">
        <v>106.93</v>
      </c>
      <c r="L477" s="8" t="s">
        <v>38</v>
      </c>
      <c r="M477" s="8" t="s">
        <v>20</v>
      </c>
      <c r="N477" s="8" t="s">
        <v>58</v>
      </c>
      <c r="O477" s="91">
        <f>VLOOKUP(E477,Product_Master!$B$2:$F$11,5,FALSE)</f>
        <v>35</v>
      </c>
      <c r="P477" s="91">
        <f>PRODUCT(Table15[[#This Row],[Quantity]],Table15[[#This Row],[Unit_Cost]])</f>
        <v>315</v>
      </c>
      <c r="Q477" s="72">
        <f>(Table15[[#This Row],[Profit]]/Table15[[#This Row],[Total_Sales]])</f>
        <v>0.24366511712697114</v>
      </c>
      <c r="R477" s="22"/>
      <c r="S477" s="22"/>
      <c r="T477" s="22"/>
      <c r="U477" s="22"/>
    </row>
    <row r="478" spans="1:21" x14ac:dyDescent="0.25">
      <c r="A478" s="7" t="s">
        <v>631</v>
      </c>
      <c r="B478" s="16">
        <v>45321</v>
      </c>
      <c r="C478" s="8" t="s">
        <v>226</v>
      </c>
      <c r="D478" s="8" t="str">
        <f>PROPER(TRIM(Sales_Data!D478))</f>
        <v>Uk</v>
      </c>
      <c r="E478" s="8" t="s">
        <v>51</v>
      </c>
      <c r="F478" s="8" t="s">
        <v>52</v>
      </c>
      <c r="G478" s="91">
        <v>37</v>
      </c>
      <c r="H478" s="9">
        <v>33.21</v>
      </c>
      <c r="I478" s="87">
        <f>PRODUCT(Table15[[#This Row],[Quantity]],Table15[[#This Row],[Unit_Price]])</f>
        <v>1228.77</v>
      </c>
      <c r="J478" s="9">
        <v>96.12</v>
      </c>
      <c r="K478" s="47">
        <v>300.14999999999998</v>
      </c>
      <c r="L478" s="8" t="s">
        <v>38</v>
      </c>
      <c r="M478" s="8" t="s">
        <v>27</v>
      </c>
      <c r="N478" s="8" t="s">
        <v>28</v>
      </c>
      <c r="O478" s="91">
        <f>VLOOKUP(E478,Product_Master!$B$2:$F$11,5,FALSE)</f>
        <v>22.5</v>
      </c>
      <c r="P478" s="91">
        <f>PRODUCT(Table15[[#This Row],[Quantity]],Table15[[#This Row],[Unit_Cost]])</f>
        <v>832.5</v>
      </c>
      <c r="Q478" s="72">
        <f>(Table15[[#This Row],[Profit]]/Table15[[#This Row],[Total_Sales]])</f>
        <v>0.24426865890280522</v>
      </c>
      <c r="R478" s="22"/>
      <c r="S478" s="22"/>
      <c r="T478" s="22"/>
      <c r="U478" s="22"/>
    </row>
    <row r="479" spans="1:21" x14ac:dyDescent="0.25">
      <c r="A479" s="7" t="s">
        <v>632</v>
      </c>
      <c r="B479" s="16">
        <v>45460</v>
      </c>
      <c r="C479" s="8" t="s">
        <v>105</v>
      </c>
      <c r="D479" s="8" t="str">
        <f>PROPER(TRIM(Sales_Data!D479))</f>
        <v>Brazil</v>
      </c>
      <c r="E479" s="8" t="s">
        <v>63</v>
      </c>
      <c r="F479" s="8" t="s">
        <v>37</v>
      </c>
      <c r="G479" s="91">
        <v>29</v>
      </c>
      <c r="H479" s="9">
        <v>16.54</v>
      </c>
      <c r="I479" s="87">
        <f>PRODUCT(Table15[[#This Row],[Quantity]],Table15[[#This Row],[Unit_Price]])</f>
        <v>479.65999999999997</v>
      </c>
      <c r="J479" s="9">
        <v>30.23</v>
      </c>
      <c r="K479" s="47">
        <v>79.680000000000007</v>
      </c>
      <c r="L479" s="8" t="s">
        <v>26</v>
      </c>
      <c r="M479" s="8" t="s">
        <v>32</v>
      </c>
      <c r="N479" s="8" t="s">
        <v>39</v>
      </c>
      <c r="O479" s="91">
        <f>VLOOKUP(E479,Product_Master!$B$2:$F$11,5,FALSE)</f>
        <v>12.75</v>
      </c>
      <c r="P479" s="91">
        <f>PRODUCT(Table15[[#This Row],[Quantity]],Table15[[#This Row],[Unit_Cost]])</f>
        <v>369.75</v>
      </c>
      <c r="Q479" s="72">
        <f>(Table15[[#This Row],[Profit]]/Table15[[#This Row],[Total_Sales]])</f>
        <v>0.16611766668056543</v>
      </c>
      <c r="R479" s="22"/>
      <c r="S479" s="22"/>
      <c r="T479" s="22"/>
      <c r="U479" s="22"/>
    </row>
    <row r="480" spans="1:21" x14ac:dyDescent="0.25">
      <c r="A480" s="7" t="s">
        <v>633</v>
      </c>
      <c r="B480" s="16">
        <v>45767</v>
      </c>
      <c r="C480" s="8" t="s">
        <v>76</v>
      </c>
      <c r="D480" s="8" t="str">
        <f>PROPER(TRIM(Sales_Data!D480))</f>
        <v>Australia</v>
      </c>
      <c r="E480" s="8" t="s">
        <v>56</v>
      </c>
      <c r="F480" s="8" t="s">
        <v>57</v>
      </c>
      <c r="G480" s="91">
        <v>11</v>
      </c>
      <c r="H480" s="9">
        <v>44.56</v>
      </c>
      <c r="I480" s="87">
        <f>PRODUCT(Table15[[#This Row],[Quantity]],Table15[[#This Row],[Unit_Price]])</f>
        <v>490.16</v>
      </c>
      <c r="J480" s="9">
        <v>23.97</v>
      </c>
      <c r="K480" s="47">
        <v>191.19</v>
      </c>
      <c r="L480" s="8" t="s">
        <v>26</v>
      </c>
      <c r="M480" s="8" t="s">
        <v>32</v>
      </c>
      <c r="N480" s="8" t="s">
        <v>130</v>
      </c>
      <c r="O480" s="91">
        <f>VLOOKUP(E480,Product_Master!$B$2:$F$11,5,FALSE)</f>
        <v>25</v>
      </c>
      <c r="P480" s="91">
        <f>PRODUCT(Table15[[#This Row],[Quantity]],Table15[[#This Row],[Unit_Cost]])</f>
        <v>275</v>
      </c>
      <c r="Q480" s="72">
        <f>(Table15[[#This Row],[Profit]]/Table15[[#This Row],[Total_Sales]])</f>
        <v>0.39005630814427938</v>
      </c>
      <c r="R480" s="22"/>
      <c r="S480" s="22"/>
      <c r="T480" s="22"/>
      <c r="U480" s="22"/>
    </row>
    <row r="481" spans="1:21" x14ac:dyDescent="0.25">
      <c r="A481" s="7" t="s">
        <v>634</v>
      </c>
      <c r="B481" s="16">
        <v>45609</v>
      </c>
      <c r="C481" s="8" t="s">
        <v>50</v>
      </c>
      <c r="D481" s="8" t="str">
        <f>PROPER(TRIM(Sales_Data!D481))</f>
        <v>Mexico</v>
      </c>
      <c r="E481" s="8" t="s">
        <v>36</v>
      </c>
      <c r="F481" s="8" t="s">
        <v>37</v>
      </c>
      <c r="G481" s="91">
        <v>50</v>
      </c>
      <c r="H481" s="9">
        <v>44.78</v>
      </c>
      <c r="I481" s="87">
        <f>PRODUCT(Table15[[#This Row],[Quantity]],Table15[[#This Row],[Unit_Price]])</f>
        <v>2239</v>
      </c>
      <c r="J481" s="9">
        <v>169.97</v>
      </c>
      <c r="K481" s="47">
        <v>469.03</v>
      </c>
      <c r="L481" s="8" t="s">
        <v>19</v>
      </c>
      <c r="M481" s="8" t="s">
        <v>32</v>
      </c>
      <c r="N481" s="8" t="s">
        <v>21</v>
      </c>
      <c r="O481" s="91">
        <f>VLOOKUP(E481,Product_Master!$B$2:$F$11,5,FALSE)</f>
        <v>32</v>
      </c>
      <c r="P481" s="91">
        <f>PRODUCT(Table15[[#This Row],[Quantity]],Table15[[#This Row],[Unit_Cost]])</f>
        <v>1600</v>
      </c>
      <c r="Q481" s="72">
        <f>(Table15[[#This Row],[Profit]]/Table15[[#This Row],[Total_Sales]])</f>
        <v>0.20948191156766413</v>
      </c>
      <c r="R481" s="22"/>
      <c r="S481" s="22"/>
      <c r="T481" s="22"/>
      <c r="U481" s="22"/>
    </row>
    <row r="482" spans="1:21" x14ac:dyDescent="0.25">
      <c r="A482" s="7" t="s">
        <v>635</v>
      </c>
      <c r="B482" s="16">
        <v>45633</v>
      </c>
      <c r="C482" s="8" t="s">
        <v>73</v>
      </c>
      <c r="D482" s="8" t="str">
        <f>PROPER(TRIM(Sales_Data!D482))</f>
        <v>Usa</v>
      </c>
      <c r="E482" s="8" t="s">
        <v>25</v>
      </c>
      <c r="F482" s="8" t="s">
        <v>18</v>
      </c>
      <c r="G482" s="91">
        <v>30</v>
      </c>
      <c r="H482" s="9">
        <v>22.51</v>
      </c>
      <c r="I482" s="87">
        <f>PRODUCT(Table15[[#This Row],[Quantity]],Table15[[#This Row],[Unit_Price]])</f>
        <v>675.30000000000007</v>
      </c>
      <c r="J482" s="9">
        <v>26.26</v>
      </c>
      <c r="K482" s="47">
        <v>109.04</v>
      </c>
      <c r="L482" s="8" t="s">
        <v>19</v>
      </c>
      <c r="M482" s="8" t="s">
        <v>20</v>
      </c>
      <c r="N482" s="8" t="s">
        <v>21</v>
      </c>
      <c r="O482" s="91">
        <f>VLOOKUP(E482,Product_Master!$B$2:$F$11,5,FALSE)</f>
        <v>18</v>
      </c>
      <c r="P482" s="91">
        <f>PRODUCT(Table15[[#This Row],[Quantity]],Table15[[#This Row],[Unit_Cost]])</f>
        <v>540</v>
      </c>
      <c r="Q482" s="72">
        <f>(Table15[[#This Row],[Profit]]/Table15[[#This Row],[Total_Sales]])</f>
        <v>0.16146897675107358</v>
      </c>
      <c r="R482" s="22"/>
      <c r="S482" s="22"/>
      <c r="T482" s="22"/>
      <c r="U482" s="22"/>
    </row>
    <row r="483" spans="1:21" x14ac:dyDescent="0.25">
      <c r="A483" s="7" t="s">
        <v>636</v>
      </c>
      <c r="B483" s="16">
        <v>45355</v>
      </c>
      <c r="C483" s="8" t="s">
        <v>246</v>
      </c>
      <c r="D483" s="8" t="str">
        <f>PROPER(TRIM(Sales_Data!D483))</f>
        <v>Australia</v>
      </c>
      <c r="E483" s="8" t="s">
        <v>60</v>
      </c>
      <c r="F483" s="8" t="s">
        <v>52</v>
      </c>
      <c r="G483" s="91">
        <v>50</v>
      </c>
      <c r="H483" s="9">
        <v>27.18</v>
      </c>
      <c r="I483" s="87">
        <f>PRODUCT(Table15[[#This Row],[Quantity]],Table15[[#This Row],[Unit_Price]])</f>
        <v>1359</v>
      </c>
      <c r="J483" s="9">
        <v>45.67</v>
      </c>
      <c r="K483" s="47">
        <v>538.33000000000004</v>
      </c>
      <c r="L483" s="8" t="s">
        <v>19</v>
      </c>
      <c r="M483" s="8" t="s">
        <v>32</v>
      </c>
      <c r="N483" s="8" t="s">
        <v>130</v>
      </c>
      <c r="O483" s="91">
        <f>VLOOKUP(E483,Product_Master!$B$2:$F$11,5,FALSE)</f>
        <v>15.5</v>
      </c>
      <c r="P483" s="91">
        <f>PRODUCT(Table15[[#This Row],[Quantity]],Table15[[#This Row],[Unit_Cost]])</f>
        <v>775</v>
      </c>
      <c r="Q483" s="72">
        <f>(Table15[[#This Row],[Profit]]/Table15[[#This Row],[Total_Sales]])</f>
        <v>0.39612214863870499</v>
      </c>
      <c r="R483" s="22"/>
      <c r="S483" s="22"/>
      <c r="T483" s="22"/>
      <c r="U483" s="22"/>
    </row>
    <row r="484" spans="1:21" x14ac:dyDescent="0.25">
      <c r="A484" s="7" t="s">
        <v>637</v>
      </c>
      <c r="B484" s="16">
        <v>45562</v>
      </c>
      <c r="C484" s="8" t="s">
        <v>135</v>
      </c>
      <c r="D484" s="8" t="str">
        <f>PROPER(TRIM(Sales_Data!D484))</f>
        <v>Italy</v>
      </c>
      <c r="E484" s="8" t="s">
        <v>83</v>
      </c>
      <c r="F484" s="8" t="s">
        <v>52</v>
      </c>
      <c r="G484" s="91">
        <v>28</v>
      </c>
      <c r="H484" s="9">
        <v>37.51</v>
      </c>
      <c r="I484" s="87">
        <f>PRODUCT(Table15[[#This Row],[Quantity]],Table15[[#This Row],[Unit_Price]])</f>
        <v>1050.28</v>
      </c>
      <c r="J484" s="9">
        <v>45.83</v>
      </c>
      <c r="K484" s="47">
        <v>220.45</v>
      </c>
      <c r="L484" s="8" t="s">
        <v>38</v>
      </c>
      <c r="M484" s="8" t="s">
        <v>27</v>
      </c>
      <c r="N484" s="8" t="s">
        <v>28</v>
      </c>
      <c r="O484" s="91">
        <f>VLOOKUP(E484,Product_Master!$B$2:$F$11,5,FALSE)</f>
        <v>28</v>
      </c>
      <c r="P484" s="91">
        <f>PRODUCT(Table15[[#This Row],[Quantity]],Table15[[#This Row],[Unit_Cost]])</f>
        <v>784</v>
      </c>
      <c r="Q484" s="72">
        <f>(Table15[[#This Row],[Profit]]/Table15[[#This Row],[Total_Sales]])</f>
        <v>0.20989640857676048</v>
      </c>
      <c r="R484" s="22"/>
      <c r="S484" s="22"/>
      <c r="T484" s="22"/>
      <c r="U484" s="22"/>
    </row>
    <row r="485" spans="1:21" x14ac:dyDescent="0.25">
      <c r="A485" s="7" t="s">
        <v>638</v>
      </c>
      <c r="B485" s="16">
        <v>45362</v>
      </c>
      <c r="C485" s="8" t="s">
        <v>67</v>
      </c>
      <c r="D485" s="8" t="str">
        <f>PROPER(TRIM(Sales_Data!D485))</f>
        <v>Australia</v>
      </c>
      <c r="E485" s="8" t="s">
        <v>43</v>
      </c>
      <c r="F485" s="8" t="s">
        <v>44</v>
      </c>
      <c r="G485" s="91">
        <v>50</v>
      </c>
      <c r="H485" s="9">
        <v>53.71</v>
      </c>
      <c r="I485" s="87">
        <f>PRODUCT(Table15[[#This Row],[Quantity]],Table15[[#This Row],[Unit_Price]])</f>
        <v>2685.5</v>
      </c>
      <c r="J485" s="9">
        <v>197.89</v>
      </c>
      <c r="K485" s="47">
        <v>487.61</v>
      </c>
      <c r="L485" s="8" t="s">
        <v>26</v>
      </c>
      <c r="M485" s="8" t="s">
        <v>32</v>
      </c>
      <c r="N485" s="8" t="s">
        <v>130</v>
      </c>
      <c r="O485" s="91">
        <f>VLOOKUP(E485,Product_Master!$B$2:$F$11,5,FALSE)</f>
        <v>40</v>
      </c>
      <c r="P485" s="91">
        <f>PRODUCT(Table15[[#This Row],[Quantity]],Table15[[#This Row],[Unit_Cost]])</f>
        <v>2000</v>
      </c>
      <c r="Q485" s="72">
        <f>(Table15[[#This Row],[Profit]]/Table15[[#This Row],[Total_Sales]])</f>
        <v>0.18157140197356172</v>
      </c>
      <c r="R485" s="22"/>
      <c r="S485" s="22"/>
      <c r="T485" s="22"/>
      <c r="U485" s="22"/>
    </row>
    <row r="486" spans="1:21" x14ac:dyDescent="0.25">
      <c r="A486" s="7" t="s">
        <v>639</v>
      </c>
      <c r="B486" s="16">
        <v>45652</v>
      </c>
      <c r="C486" s="8" t="s">
        <v>399</v>
      </c>
      <c r="D486" s="8" t="str">
        <f>PROPER(TRIM(Sales_Data!D486))</f>
        <v>South Africa</v>
      </c>
      <c r="E486" s="8" t="s">
        <v>60</v>
      </c>
      <c r="F486" s="8" t="s">
        <v>52</v>
      </c>
      <c r="G486" s="91">
        <v>24</v>
      </c>
      <c r="H486" s="9">
        <v>18.62</v>
      </c>
      <c r="I486" s="87">
        <f>PRODUCT(Table15[[#This Row],[Quantity]],Table15[[#This Row],[Unit_Price]])</f>
        <v>446.88</v>
      </c>
      <c r="J486" s="9">
        <v>26.91</v>
      </c>
      <c r="K486" s="47">
        <v>47.97</v>
      </c>
      <c r="L486" s="8" t="s">
        <v>26</v>
      </c>
      <c r="M486" s="8" t="s">
        <v>27</v>
      </c>
      <c r="N486" s="8" t="s">
        <v>87</v>
      </c>
      <c r="O486" s="91">
        <f>VLOOKUP(E486,Product_Master!$B$2:$F$11,5,FALSE)</f>
        <v>15.5</v>
      </c>
      <c r="P486" s="91">
        <f>PRODUCT(Table15[[#This Row],[Quantity]],Table15[[#This Row],[Unit_Cost]])</f>
        <v>372</v>
      </c>
      <c r="Q486" s="72">
        <f>(Table15[[#This Row],[Profit]]/Table15[[#This Row],[Total_Sales]])</f>
        <v>0.10734425349087003</v>
      </c>
      <c r="R486" s="22"/>
      <c r="S486" s="22"/>
      <c r="T486" s="22"/>
      <c r="U486" s="22"/>
    </row>
    <row r="487" spans="1:21" x14ac:dyDescent="0.25">
      <c r="A487" s="7" t="s">
        <v>640</v>
      </c>
      <c r="B487" s="16">
        <v>45663</v>
      </c>
      <c r="C487" s="8" t="s">
        <v>183</v>
      </c>
      <c r="D487" s="8" t="str">
        <f>PROPER(TRIM(Sales_Data!D487))</f>
        <v>Singapore</v>
      </c>
      <c r="E487" s="8" t="s">
        <v>43</v>
      </c>
      <c r="F487" s="8" t="s">
        <v>44</v>
      </c>
      <c r="G487" s="91">
        <v>10</v>
      </c>
      <c r="H487" s="9">
        <v>49.15</v>
      </c>
      <c r="I487" s="87">
        <f>PRODUCT(Table15[[#This Row],[Quantity]],Table15[[#This Row],[Unit_Price]])</f>
        <v>491.5</v>
      </c>
      <c r="J487" s="9">
        <v>13.3</v>
      </c>
      <c r="K487" s="47">
        <v>78.2</v>
      </c>
      <c r="L487" s="8" t="s">
        <v>38</v>
      </c>
      <c r="M487" s="8" t="s">
        <v>32</v>
      </c>
      <c r="N487" s="8" t="s">
        <v>58</v>
      </c>
      <c r="O487" s="91">
        <f>VLOOKUP(E487,Product_Master!$B$2:$F$11,5,FALSE)</f>
        <v>40</v>
      </c>
      <c r="P487" s="91">
        <f>PRODUCT(Table15[[#This Row],[Quantity]],Table15[[#This Row],[Unit_Cost]])</f>
        <v>400</v>
      </c>
      <c r="Q487" s="72">
        <f>(Table15[[#This Row],[Profit]]/Table15[[#This Row],[Total_Sales]])</f>
        <v>0.15910478128179045</v>
      </c>
      <c r="R487" s="22"/>
      <c r="S487" s="22"/>
      <c r="T487" s="22"/>
      <c r="U487" s="22"/>
    </row>
    <row r="488" spans="1:21" x14ac:dyDescent="0.25">
      <c r="A488" s="7" t="s">
        <v>641</v>
      </c>
      <c r="B488" s="16">
        <v>45631</v>
      </c>
      <c r="C488" s="8" t="s">
        <v>207</v>
      </c>
      <c r="D488" s="8" t="str">
        <f>PROPER(TRIM(Sales_Data!D488))</f>
        <v>China</v>
      </c>
      <c r="E488" s="8" t="s">
        <v>43</v>
      </c>
      <c r="F488" s="8" t="s">
        <v>44</v>
      </c>
      <c r="G488" s="91">
        <v>42</v>
      </c>
      <c r="H488" s="9">
        <v>50.96</v>
      </c>
      <c r="I488" s="87">
        <f>PRODUCT(Table15[[#This Row],[Quantity]],Table15[[#This Row],[Unit_Price]])</f>
        <v>2140.3200000000002</v>
      </c>
      <c r="J488" s="9">
        <v>127.85</v>
      </c>
      <c r="K488" s="47">
        <v>332.47</v>
      </c>
      <c r="L488" s="8" t="s">
        <v>19</v>
      </c>
      <c r="M488" s="8" t="s">
        <v>27</v>
      </c>
      <c r="N488" s="8" t="s">
        <v>58</v>
      </c>
      <c r="O488" s="91">
        <f>VLOOKUP(E488,Product_Master!$B$2:$F$11,5,FALSE)</f>
        <v>40</v>
      </c>
      <c r="P488" s="91">
        <f>PRODUCT(Table15[[#This Row],[Quantity]],Table15[[#This Row],[Unit_Cost]])</f>
        <v>1680</v>
      </c>
      <c r="Q488" s="72">
        <f>(Table15[[#This Row],[Profit]]/Table15[[#This Row],[Total_Sales]])</f>
        <v>0.15533658518352397</v>
      </c>
      <c r="R488" s="22"/>
      <c r="S488" s="22"/>
      <c r="T488" s="22"/>
      <c r="U488" s="22"/>
    </row>
    <row r="489" spans="1:21" x14ac:dyDescent="0.25">
      <c r="A489" s="7" t="s">
        <v>642</v>
      </c>
      <c r="B489" s="16">
        <v>45312</v>
      </c>
      <c r="C489" s="8" t="s">
        <v>204</v>
      </c>
      <c r="D489" s="8" t="str">
        <f>PROPER(TRIM(Sales_Data!D489))</f>
        <v>China</v>
      </c>
      <c r="E489" s="8" t="s">
        <v>56</v>
      </c>
      <c r="F489" s="8" t="s">
        <v>57</v>
      </c>
      <c r="G489" s="91">
        <v>39</v>
      </c>
      <c r="H489" s="9">
        <v>37.46</v>
      </c>
      <c r="I489" s="87">
        <f>PRODUCT(Table15[[#This Row],[Quantity]],Table15[[#This Row],[Unit_Price]])</f>
        <v>1460.94</v>
      </c>
      <c r="J489" s="9">
        <v>82.25</v>
      </c>
      <c r="K489" s="47">
        <v>403.69</v>
      </c>
      <c r="L489" s="8" t="s">
        <v>38</v>
      </c>
      <c r="M489" s="8" t="s">
        <v>20</v>
      </c>
      <c r="N489" s="8" t="s">
        <v>58</v>
      </c>
      <c r="O489" s="91">
        <f>VLOOKUP(E489,Product_Master!$B$2:$F$11,5,FALSE)</f>
        <v>25</v>
      </c>
      <c r="P489" s="91">
        <f>PRODUCT(Table15[[#This Row],[Quantity]],Table15[[#This Row],[Unit_Cost]])</f>
        <v>975</v>
      </c>
      <c r="Q489" s="72">
        <f>(Table15[[#This Row],[Profit]]/Table15[[#This Row],[Total_Sales]])</f>
        <v>0.27632209399427765</v>
      </c>
      <c r="R489" s="22"/>
      <c r="S489" s="22"/>
      <c r="T489" s="22"/>
      <c r="U489" s="22"/>
    </row>
    <row r="490" spans="1:21" x14ac:dyDescent="0.25">
      <c r="A490" s="7" t="s">
        <v>643</v>
      </c>
      <c r="B490" s="16">
        <v>45787</v>
      </c>
      <c r="C490" s="8" t="s">
        <v>108</v>
      </c>
      <c r="D490" s="8" t="str">
        <f>PROPER(TRIM(Sales_Data!D490))</f>
        <v>France</v>
      </c>
      <c r="E490" s="8" t="s">
        <v>63</v>
      </c>
      <c r="F490" s="8" t="s">
        <v>37</v>
      </c>
      <c r="G490" s="91">
        <v>7</v>
      </c>
      <c r="H490" s="9">
        <v>20.2</v>
      </c>
      <c r="I490" s="87">
        <f>PRODUCT(Table15[[#This Row],[Quantity]],Table15[[#This Row],[Unit_Price]])</f>
        <v>141.4</v>
      </c>
      <c r="J490" s="9">
        <v>4.3499999999999996</v>
      </c>
      <c r="K490" s="47">
        <v>47.8</v>
      </c>
      <c r="L490" s="8" t="s">
        <v>26</v>
      </c>
      <c r="M490" s="8" t="s">
        <v>32</v>
      </c>
      <c r="N490" s="8" t="s">
        <v>28</v>
      </c>
      <c r="O490" s="91">
        <f>VLOOKUP(E490,Product_Master!$B$2:$F$11,5,FALSE)</f>
        <v>12.75</v>
      </c>
      <c r="P490" s="91">
        <f>PRODUCT(Table15[[#This Row],[Quantity]],Table15[[#This Row],[Unit_Cost]])</f>
        <v>89.25</v>
      </c>
      <c r="Q490" s="72">
        <f>(Table15[[#This Row],[Profit]]/Table15[[#This Row],[Total_Sales]])</f>
        <v>0.33804809052333801</v>
      </c>
      <c r="R490" s="22"/>
      <c r="S490" s="22"/>
      <c r="T490" s="22"/>
      <c r="U490" s="22"/>
    </row>
    <row r="491" spans="1:21" x14ac:dyDescent="0.25">
      <c r="A491" s="7" t="s">
        <v>644</v>
      </c>
      <c r="B491" s="16">
        <v>45550</v>
      </c>
      <c r="C491" s="8" t="s">
        <v>123</v>
      </c>
      <c r="D491" s="8" t="str">
        <f>PROPER(TRIM(Sales_Data!D491))</f>
        <v>Canada</v>
      </c>
      <c r="E491" s="8" t="s">
        <v>63</v>
      </c>
      <c r="F491" s="8" t="s">
        <v>37</v>
      </c>
      <c r="G491" s="91">
        <v>18</v>
      </c>
      <c r="H491" s="9">
        <v>18.63</v>
      </c>
      <c r="I491" s="87">
        <f>PRODUCT(Table15[[#This Row],[Quantity]],Table15[[#This Row],[Unit_Price]])</f>
        <v>335.34</v>
      </c>
      <c r="J491" s="9">
        <v>26.18</v>
      </c>
      <c r="K491" s="47">
        <v>79.66</v>
      </c>
      <c r="L491" s="8" t="s">
        <v>26</v>
      </c>
      <c r="M491" s="8" t="s">
        <v>20</v>
      </c>
      <c r="N491" s="8" t="s">
        <v>21</v>
      </c>
      <c r="O491" s="91">
        <f>VLOOKUP(E491,Product_Master!$B$2:$F$11,5,FALSE)</f>
        <v>12.75</v>
      </c>
      <c r="P491" s="91">
        <f>PRODUCT(Table15[[#This Row],[Quantity]],Table15[[#This Row],[Unit_Cost]])</f>
        <v>229.5</v>
      </c>
      <c r="Q491" s="72">
        <f>(Table15[[#This Row],[Profit]]/Table15[[#This Row],[Total_Sales]])</f>
        <v>0.23754994930518281</v>
      </c>
      <c r="R491" s="22"/>
      <c r="S491" s="22"/>
      <c r="T491" s="22"/>
      <c r="U491" s="22"/>
    </row>
    <row r="492" spans="1:21" x14ac:dyDescent="0.25">
      <c r="A492" s="7" t="s">
        <v>645</v>
      </c>
      <c r="B492" s="16">
        <v>45439</v>
      </c>
      <c r="C492" s="8" t="s">
        <v>291</v>
      </c>
      <c r="D492" s="8" t="str">
        <f>PROPER(TRIM(Sales_Data!D492))</f>
        <v>Australia</v>
      </c>
      <c r="E492" s="8" t="s">
        <v>51</v>
      </c>
      <c r="F492" s="8" t="s">
        <v>52</v>
      </c>
      <c r="G492" s="91">
        <v>12</v>
      </c>
      <c r="H492" s="9">
        <v>27.08</v>
      </c>
      <c r="I492" s="87">
        <f>PRODUCT(Table15[[#This Row],[Quantity]],Table15[[#This Row],[Unit_Price]])</f>
        <v>324.95999999999998</v>
      </c>
      <c r="J492" s="9">
        <v>15.59</v>
      </c>
      <c r="K492" s="47">
        <v>39.369999999999997</v>
      </c>
      <c r="L492" s="8" t="s">
        <v>26</v>
      </c>
      <c r="M492" s="8" t="s">
        <v>32</v>
      </c>
      <c r="N492" s="8" t="s">
        <v>130</v>
      </c>
      <c r="O492" s="91">
        <f>VLOOKUP(E492,Product_Master!$B$2:$F$11,5,FALSE)</f>
        <v>22.5</v>
      </c>
      <c r="P492" s="91">
        <f>PRODUCT(Table15[[#This Row],[Quantity]],Table15[[#This Row],[Unit_Cost]])</f>
        <v>270</v>
      </c>
      <c r="Q492" s="72">
        <f>(Table15[[#This Row],[Profit]]/Table15[[#This Row],[Total_Sales]])</f>
        <v>0.12115337272279665</v>
      </c>
      <c r="R492" s="22"/>
      <c r="S492" s="22"/>
      <c r="T492" s="22"/>
      <c r="U492" s="22"/>
    </row>
    <row r="493" spans="1:21" x14ac:dyDescent="0.25">
      <c r="A493" s="7" t="s">
        <v>646</v>
      </c>
      <c r="B493" s="16">
        <v>45771</v>
      </c>
      <c r="C493" s="8" t="s">
        <v>315</v>
      </c>
      <c r="D493" s="8" t="str">
        <f>PROPER(TRIM(Sales_Data!D493))</f>
        <v>France</v>
      </c>
      <c r="E493" s="8" t="s">
        <v>56</v>
      </c>
      <c r="F493" s="8" t="s">
        <v>57</v>
      </c>
      <c r="G493" s="91">
        <v>50</v>
      </c>
      <c r="H493" s="9">
        <v>32.21</v>
      </c>
      <c r="I493" s="87">
        <f>PRODUCT(Table15[[#This Row],[Quantity]],Table15[[#This Row],[Unit_Price]])</f>
        <v>1610.5</v>
      </c>
      <c r="J493" s="9">
        <v>32.68</v>
      </c>
      <c r="K493" s="47">
        <v>327.82</v>
      </c>
      <c r="L493" s="8" t="s">
        <v>26</v>
      </c>
      <c r="M493" s="8" t="s">
        <v>32</v>
      </c>
      <c r="N493" s="8" t="s">
        <v>28</v>
      </c>
      <c r="O493" s="91">
        <f>VLOOKUP(E493,Product_Master!$B$2:$F$11,5,FALSE)</f>
        <v>25</v>
      </c>
      <c r="P493" s="91">
        <f>PRODUCT(Table15[[#This Row],[Quantity]],Table15[[#This Row],[Unit_Cost]])</f>
        <v>1250</v>
      </c>
      <c r="Q493" s="72">
        <f>(Table15[[#This Row],[Profit]]/Table15[[#This Row],[Total_Sales]])</f>
        <v>0.20355169202111145</v>
      </c>
      <c r="R493" s="22"/>
      <c r="S493" s="22"/>
      <c r="T493" s="22"/>
      <c r="U493" s="22"/>
    </row>
    <row r="494" spans="1:21" x14ac:dyDescent="0.25">
      <c r="A494" s="7" t="s">
        <v>647</v>
      </c>
      <c r="B494" s="16">
        <v>45734</v>
      </c>
      <c r="C494" s="8" t="s">
        <v>410</v>
      </c>
      <c r="D494" s="8" t="str">
        <f>PROPER(TRIM(Sales_Data!D494))</f>
        <v>South Africa</v>
      </c>
      <c r="E494" s="8" t="s">
        <v>63</v>
      </c>
      <c r="F494" s="8" t="s">
        <v>37</v>
      </c>
      <c r="G494" s="91">
        <v>49</v>
      </c>
      <c r="H494" s="9">
        <v>20.59</v>
      </c>
      <c r="I494" s="87">
        <f>PRODUCT(Table15[[#This Row],[Quantity]],Table15[[#This Row],[Unit_Price]])</f>
        <v>1008.91</v>
      </c>
      <c r="J494" s="9">
        <v>78.03</v>
      </c>
      <c r="K494" s="47">
        <v>306.13</v>
      </c>
      <c r="L494" s="8" t="s">
        <v>26</v>
      </c>
      <c r="M494" s="8" t="s">
        <v>32</v>
      </c>
      <c r="N494" s="8" t="s">
        <v>87</v>
      </c>
      <c r="O494" s="91">
        <f>VLOOKUP(E494,Product_Master!$B$2:$F$11,5,FALSE)</f>
        <v>12.75</v>
      </c>
      <c r="P494" s="91">
        <f>PRODUCT(Table15[[#This Row],[Quantity]],Table15[[#This Row],[Unit_Cost]])</f>
        <v>624.75</v>
      </c>
      <c r="Q494" s="72">
        <f>(Table15[[#This Row],[Profit]]/Table15[[#This Row],[Total_Sales]])</f>
        <v>0.30342647015095497</v>
      </c>
      <c r="R494" s="22"/>
      <c r="S494" s="22"/>
      <c r="T494" s="22"/>
      <c r="U494" s="22"/>
    </row>
    <row r="495" spans="1:21" x14ac:dyDescent="0.25">
      <c r="A495" s="7" t="s">
        <v>648</v>
      </c>
      <c r="B495" s="16">
        <v>45399</v>
      </c>
      <c r="C495" s="8" t="s">
        <v>85</v>
      </c>
      <c r="D495" s="8" t="str">
        <f>PROPER(TRIM(Sales_Data!D495))</f>
        <v>Italy</v>
      </c>
      <c r="E495" s="8" t="s">
        <v>48</v>
      </c>
      <c r="F495" s="8" t="s">
        <v>37</v>
      </c>
      <c r="G495" s="91">
        <v>22</v>
      </c>
      <c r="H495" s="9">
        <v>28.63</v>
      </c>
      <c r="I495" s="87">
        <f>PRODUCT(Table15[[#This Row],[Quantity]],Table15[[#This Row],[Unit_Price]])</f>
        <v>629.86</v>
      </c>
      <c r="J495" s="9">
        <v>29.08</v>
      </c>
      <c r="K495" s="47">
        <v>160.78</v>
      </c>
      <c r="L495" s="8" t="s">
        <v>26</v>
      </c>
      <c r="M495" s="8" t="s">
        <v>27</v>
      </c>
      <c r="N495" s="8" t="s">
        <v>28</v>
      </c>
      <c r="O495" s="91">
        <f>VLOOKUP(E495,Product_Master!$B$2:$F$11,5,FALSE)</f>
        <v>20</v>
      </c>
      <c r="P495" s="91">
        <f>PRODUCT(Table15[[#This Row],[Quantity]],Table15[[#This Row],[Unit_Cost]])</f>
        <v>440</v>
      </c>
      <c r="Q495" s="72">
        <f>(Table15[[#This Row],[Profit]]/Table15[[#This Row],[Total_Sales]])</f>
        <v>0.25526307433397899</v>
      </c>
      <c r="R495" s="22"/>
      <c r="S495" s="22"/>
      <c r="T495" s="22"/>
      <c r="U495" s="22"/>
    </row>
    <row r="496" spans="1:21" x14ac:dyDescent="0.25">
      <c r="A496" s="7" t="s">
        <v>649</v>
      </c>
      <c r="B496" s="16">
        <v>45706</v>
      </c>
      <c r="C496" s="8" t="s">
        <v>183</v>
      </c>
      <c r="D496" s="8" t="str">
        <f>PROPER(TRIM(Sales_Data!D496))</f>
        <v>China</v>
      </c>
      <c r="E496" s="8" t="s">
        <v>43</v>
      </c>
      <c r="F496" s="8" t="s">
        <v>44</v>
      </c>
      <c r="G496" s="91">
        <v>11</v>
      </c>
      <c r="H496" s="9">
        <v>56.12</v>
      </c>
      <c r="I496" s="87">
        <f>PRODUCT(Table15[[#This Row],[Quantity]],Table15[[#This Row],[Unit_Price]])</f>
        <v>617.31999999999994</v>
      </c>
      <c r="J496" s="9">
        <v>38.26</v>
      </c>
      <c r="K496" s="47">
        <v>139.06</v>
      </c>
      <c r="L496" s="8" t="s">
        <v>26</v>
      </c>
      <c r="M496" s="8" t="s">
        <v>27</v>
      </c>
      <c r="N496" s="8" t="s">
        <v>58</v>
      </c>
      <c r="O496" s="91">
        <f>VLOOKUP(E496,Product_Master!$B$2:$F$11,5,FALSE)</f>
        <v>40</v>
      </c>
      <c r="P496" s="91">
        <f>PRODUCT(Table15[[#This Row],[Quantity]],Table15[[#This Row],[Unit_Cost]])</f>
        <v>440</v>
      </c>
      <c r="Q496" s="72">
        <f>(Table15[[#This Row],[Profit]]/Table15[[#This Row],[Total_Sales]])</f>
        <v>0.22526404457979657</v>
      </c>
      <c r="R496" s="22"/>
      <c r="S496" s="22"/>
      <c r="T496" s="22"/>
      <c r="U496" s="22"/>
    </row>
    <row r="497" spans="1:21" x14ac:dyDescent="0.25">
      <c r="A497" s="7" t="s">
        <v>650</v>
      </c>
      <c r="B497" s="16">
        <v>45395</v>
      </c>
      <c r="C497" s="8" t="s">
        <v>41</v>
      </c>
      <c r="D497" s="8" t="str">
        <f>PROPER(TRIM(Sales_Data!D497))</f>
        <v>Usa</v>
      </c>
      <c r="E497" s="8" t="s">
        <v>56</v>
      </c>
      <c r="F497" s="8" t="s">
        <v>57</v>
      </c>
      <c r="G497" s="91">
        <v>2</v>
      </c>
      <c r="H497" s="9">
        <v>30.88</v>
      </c>
      <c r="I497" s="87">
        <f>PRODUCT(Table15[[#This Row],[Quantity]],Table15[[#This Row],[Unit_Price]])</f>
        <v>61.76</v>
      </c>
      <c r="J497" s="9">
        <v>4.42</v>
      </c>
      <c r="K497" s="47">
        <v>7.34</v>
      </c>
      <c r="L497" s="8" t="s">
        <v>38</v>
      </c>
      <c r="M497" s="8" t="s">
        <v>27</v>
      </c>
      <c r="N497" s="8" t="s">
        <v>21</v>
      </c>
      <c r="O497" s="91">
        <f>VLOOKUP(E497,Product_Master!$B$2:$F$11,5,FALSE)</f>
        <v>25</v>
      </c>
      <c r="P497" s="91">
        <f>PRODUCT(Table15[[#This Row],[Quantity]],Table15[[#This Row],[Unit_Cost]])</f>
        <v>50</v>
      </c>
      <c r="Q497" s="72">
        <f>(Table15[[#This Row],[Profit]]/Table15[[#This Row],[Total_Sales]])</f>
        <v>0.11884715025906736</v>
      </c>
      <c r="R497" s="22"/>
      <c r="S497" s="22"/>
      <c r="T497" s="22"/>
      <c r="U497" s="22"/>
    </row>
    <row r="498" spans="1:21" x14ac:dyDescent="0.25">
      <c r="A498" s="7" t="s">
        <v>651</v>
      </c>
      <c r="B498" s="16">
        <v>45477</v>
      </c>
      <c r="C498" s="8" t="s">
        <v>297</v>
      </c>
      <c r="D498" s="8" t="str">
        <f>PROPER(TRIM(Sales_Data!D498))</f>
        <v>Australia</v>
      </c>
      <c r="E498" s="8" t="s">
        <v>43</v>
      </c>
      <c r="F498" s="8" t="s">
        <v>44</v>
      </c>
      <c r="G498" s="91">
        <v>34</v>
      </c>
      <c r="H498" s="9">
        <v>63.8</v>
      </c>
      <c r="I498" s="87">
        <f>PRODUCT(Table15[[#This Row],[Quantity]],Table15[[#This Row],[Unit_Price]])</f>
        <v>2169.1999999999998</v>
      </c>
      <c r="J498" s="9">
        <v>69.650000000000006</v>
      </c>
      <c r="K498" s="47">
        <v>739.55</v>
      </c>
      <c r="L498" s="8" t="s">
        <v>26</v>
      </c>
      <c r="M498" s="8" t="s">
        <v>32</v>
      </c>
      <c r="N498" s="8" t="s">
        <v>130</v>
      </c>
      <c r="O498" s="91">
        <f>VLOOKUP(E498,Product_Master!$B$2:$F$11,5,FALSE)</f>
        <v>40</v>
      </c>
      <c r="P498" s="91">
        <f>PRODUCT(Table15[[#This Row],[Quantity]],Table15[[#This Row],[Unit_Cost]])</f>
        <v>1360</v>
      </c>
      <c r="Q498" s="72">
        <f>(Table15[[#This Row],[Profit]]/Table15[[#This Row],[Total_Sales]])</f>
        <v>0.34093214088143092</v>
      </c>
      <c r="R498" s="22"/>
      <c r="S498" s="22"/>
      <c r="T498" s="22"/>
      <c r="U498" s="22"/>
    </row>
    <row r="499" spans="1:21" x14ac:dyDescent="0.25">
      <c r="A499" s="7" t="s">
        <v>652</v>
      </c>
      <c r="B499" s="16">
        <v>45651</v>
      </c>
      <c r="C499" s="8" t="s">
        <v>176</v>
      </c>
      <c r="D499" s="8" t="str">
        <f>PROPER(TRIM(Sales_Data!D499))</f>
        <v>Mexico</v>
      </c>
      <c r="E499" s="8" t="s">
        <v>83</v>
      </c>
      <c r="F499" s="8" t="s">
        <v>52</v>
      </c>
      <c r="G499" s="91">
        <v>50</v>
      </c>
      <c r="H499" s="9">
        <v>44.61</v>
      </c>
      <c r="I499" s="87">
        <f>PRODUCT(Table15[[#This Row],[Quantity]],Table15[[#This Row],[Unit_Price]])</f>
        <v>2230.5</v>
      </c>
      <c r="J499" s="9">
        <v>91.32</v>
      </c>
      <c r="K499" s="47">
        <v>739.18</v>
      </c>
      <c r="L499" s="8" t="s">
        <v>38</v>
      </c>
      <c r="M499" s="8" t="s">
        <v>20</v>
      </c>
      <c r="N499" s="8" t="s">
        <v>21</v>
      </c>
      <c r="O499" s="91">
        <f>VLOOKUP(E499,Product_Master!$B$2:$F$11,5,FALSE)</f>
        <v>28</v>
      </c>
      <c r="P499" s="91">
        <f>PRODUCT(Table15[[#This Row],[Quantity]],Table15[[#This Row],[Unit_Cost]])</f>
        <v>1400</v>
      </c>
      <c r="Q499" s="72">
        <f>(Table15[[#This Row],[Profit]]/Table15[[#This Row],[Total_Sales]])</f>
        <v>0.33139654785922434</v>
      </c>
      <c r="R499" s="22"/>
      <c r="S499" s="22"/>
      <c r="T499" s="22"/>
      <c r="U499" s="22"/>
    </row>
    <row r="500" spans="1:21" x14ac:dyDescent="0.25">
      <c r="A500" s="7" t="s">
        <v>653</v>
      </c>
      <c r="B500" s="16">
        <v>45537</v>
      </c>
      <c r="C500" s="8" t="s">
        <v>71</v>
      </c>
      <c r="D500" s="8" t="str">
        <f>PROPER(TRIM(Sales_Data!D500))</f>
        <v>Uae</v>
      </c>
      <c r="E500" s="8" t="s">
        <v>63</v>
      </c>
      <c r="F500" s="8" t="s">
        <v>37</v>
      </c>
      <c r="G500" s="91">
        <v>14</v>
      </c>
      <c r="H500" s="9">
        <v>18.61</v>
      </c>
      <c r="I500" s="87">
        <f>PRODUCT(Table15[[#This Row],[Quantity]],Table15[[#This Row],[Unit_Price]])</f>
        <v>260.53999999999996</v>
      </c>
      <c r="J500" s="9">
        <v>5.39</v>
      </c>
      <c r="K500" s="47">
        <v>76.650000000000006</v>
      </c>
      <c r="L500" s="8" t="s">
        <v>26</v>
      </c>
      <c r="M500" s="8" t="s">
        <v>32</v>
      </c>
      <c r="N500" s="8" t="s">
        <v>58</v>
      </c>
      <c r="O500" s="91">
        <f>VLOOKUP(E500,Product_Master!$B$2:$F$11,5,FALSE)</f>
        <v>12.75</v>
      </c>
      <c r="P500" s="91">
        <f>PRODUCT(Table15[[#This Row],[Quantity]],Table15[[#This Row],[Unit_Cost]])</f>
        <v>178.5</v>
      </c>
      <c r="Q500" s="72">
        <f>(Table15[[#This Row],[Profit]]/Table15[[#This Row],[Total_Sales]])</f>
        <v>0.29419666845781844</v>
      </c>
      <c r="R500" s="22"/>
      <c r="S500" s="22"/>
      <c r="T500" s="22"/>
      <c r="U500" s="22"/>
    </row>
    <row r="501" spans="1:21" x14ac:dyDescent="0.25">
      <c r="A501" s="11" t="s">
        <v>654</v>
      </c>
      <c r="B501" s="17">
        <v>45487</v>
      </c>
      <c r="C501" s="12" t="s">
        <v>286</v>
      </c>
      <c r="D501" s="12" t="str">
        <f>PROPER(TRIM(Sales_Data!D501))</f>
        <v>Uk</v>
      </c>
      <c r="E501" s="12" t="s">
        <v>60</v>
      </c>
      <c r="F501" s="12" t="s">
        <v>52</v>
      </c>
      <c r="G501" s="92">
        <v>7</v>
      </c>
      <c r="H501" s="13">
        <v>24.61</v>
      </c>
      <c r="I501" s="89">
        <f>PRODUCT(Table15[[#This Row],[Quantity]],Table15[[#This Row],[Unit_Price]])</f>
        <v>172.26999999999998</v>
      </c>
      <c r="J501" s="13">
        <v>9.64</v>
      </c>
      <c r="K501" s="96">
        <v>54.13</v>
      </c>
      <c r="L501" s="12" t="s">
        <v>38</v>
      </c>
      <c r="M501" s="12" t="s">
        <v>32</v>
      </c>
      <c r="N501" s="12" t="s">
        <v>28</v>
      </c>
      <c r="O501" s="92">
        <f>VLOOKUP(E501,Product_Master!$B$2:$F$11,5,FALSE)</f>
        <v>15.5</v>
      </c>
      <c r="P501" s="92">
        <f>PRODUCT(Table15[[#This Row],[Quantity]],Table15[[#This Row],[Unit_Cost]])</f>
        <v>108.5</v>
      </c>
      <c r="Q501" s="76">
        <f>(Table15[[#This Row],[Profit]]/Table15[[#This Row],[Total_Sales]])</f>
        <v>0.31421605619086324</v>
      </c>
      <c r="R501" s="22"/>
      <c r="S501" s="22"/>
      <c r="T501" s="22"/>
      <c r="U501" s="22"/>
    </row>
  </sheetData>
  <mergeCells count="1">
    <mergeCell ref="S12:U12"/>
  </mergeCells>
  <conditionalFormatting sqref="K1:K501">
    <cfRule type="cellIs" dxfId="78" priority="1" operator="lessThan">
      <formula>0</formula>
    </cfRule>
  </conditionalFormatting>
  <pageMargins left="0.7" right="0.7" top="0.75" bottom="0.75" header="0.3" footer="0.3"/>
  <tableParts count="2">
    <tablePart r:id="rId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326828-6819-4181-8243-75494CF234F0}">
  <sheetPr codeName="Sheet6"/>
  <dimension ref="A1:D501"/>
  <sheetViews>
    <sheetView zoomScale="80" zoomScaleNormal="130" workbookViewId="0">
      <selection activeCell="B2" sqref="B2"/>
    </sheetView>
  </sheetViews>
  <sheetFormatPr defaultRowHeight="15" x14ac:dyDescent="0.25"/>
  <cols>
    <col min="1" max="1" width="42.7109375" customWidth="1"/>
    <col min="2" max="2" width="48.42578125" customWidth="1"/>
    <col min="3" max="3" width="31.5703125" customWidth="1"/>
    <col min="4" max="4" width="25.42578125" customWidth="1"/>
  </cols>
  <sheetData>
    <row r="1" spans="1:4" x14ac:dyDescent="0.25">
      <c r="A1" s="3" t="s">
        <v>2</v>
      </c>
      <c r="B1" s="33" t="s">
        <v>681</v>
      </c>
      <c r="C1" s="33" t="s">
        <v>682</v>
      </c>
      <c r="D1" s="34" t="s">
        <v>683</v>
      </c>
    </row>
    <row r="2" spans="1:4" x14ac:dyDescent="0.25">
      <c r="A2" s="23" t="s">
        <v>15</v>
      </c>
      <c r="B2" s="29" t="str">
        <f>RIGHT(Table5[[#This Row],[Customer_Name]],LEN(Table5[[#This Row],[Customer_Name]])-FIND(",",Table5[[#This Row],[Customer_Name]])-1)</f>
        <v>Emily</v>
      </c>
      <c r="C2" s="29" t="str">
        <f>LEFT(Table5[[#This Row],[Customer_Name]],FIND(",",Table5[[#This Row],[Customer_Name]])-1)</f>
        <v>Smith</v>
      </c>
      <c r="D2" s="30" t="str">
        <f>LEFT(Table5[[#This Row],[First_Name]],2)&amp;LEFT(Table5[[#This Row],[Last_Name]],2)&amp;ROW()</f>
        <v>EmSm2</v>
      </c>
    </row>
    <row r="3" spans="1:4" x14ac:dyDescent="0.25">
      <c r="A3" s="23" t="s">
        <v>23</v>
      </c>
      <c r="B3" s="29" t="str">
        <f>RIGHT(Table5[[#This Row],[Customer_Name]],LEN(Table5[[#This Row],[Customer_Name]])-FIND(",",Table5[[#This Row],[Customer_Name]])-1)</f>
        <v>Laura</v>
      </c>
      <c r="C3" s="29" t="str">
        <f>LEFT(Table5[[#This Row],[Customer_Name]],FIND(",",Table5[[#This Row],[Customer_Name]])-1)</f>
        <v>Brown</v>
      </c>
      <c r="D3" s="30" t="str">
        <f>LEFT(Table5[[#This Row],[First_Name]],2)&amp;LEFT(Table5[[#This Row],[Last_Name]],2)&amp;ROW()</f>
        <v>LaBr3</v>
      </c>
    </row>
    <row r="4" spans="1:4" x14ac:dyDescent="0.25">
      <c r="A4" s="23" t="s">
        <v>30</v>
      </c>
      <c r="B4" s="29" t="str">
        <f>RIGHT(Table5[[#This Row],[Customer_Name]],LEN(Table5[[#This Row],[Customer_Name]])-FIND(",",Table5[[#This Row],[Customer_Name]])-1)</f>
        <v>John</v>
      </c>
      <c r="C4" s="29" t="str">
        <f>LEFT(Table5[[#This Row],[Customer_Name]],FIND(",",Table5[[#This Row],[Customer_Name]])-1)</f>
        <v>Davis</v>
      </c>
      <c r="D4" s="30" t="str">
        <f>LEFT(Table5[[#This Row],[First_Name]],2)&amp;LEFT(Table5[[#This Row],[Last_Name]],2)&amp;ROW()</f>
        <v>JoDa4</v>
      </c>
    </row>
    <row r="5" spans="1:4" x14ac:dyDescent="0.25">
      <c r="A5" s="23" t="s">
        <v>34</v>
      </c>
      <c r="B5" s="29" t="str">
        <f>RIGHT(Table5[[#This Row],[Customer_Name]],LEN(Table5[[#This Row],[Customer_Name]])-FIND(",",Table5[[#This Row],[Customer_Name]])-1)</f>
        <v>Daniel</v>
      </c>
      <c r="C5" s="29" t="str">
        <f>LEFT(Table5[[#This Row],[Customer_Name]],FIND(",",Table5[[#This Row],[Customer_Name]])-1)</f>
        <v>Miller</v>
      </c>
      <c r="D5" s="30" t="str">
        <f>LEFT(Table5[[#This Row],[First_Name]],2)&amp;LEFT(Table5[[#This Row],[Last_Name]],2)&amp;ROW()</f>
        <v>DaMi5</v>
      </c>
    </row>
    <row r="6" spans="1:4" x14ac:dyDescent="0.25">
      <c r="A6" s="23" t="s">
        <v>41</v>
      </c>
      <c r="B6" s="29" t="str">
        <f>RIGHT(Table5[[#This Row],[Customer_Name]],LEN(Table5[[#This Row],[Customer_Name]])-FIND(",",Table5[[#This Row],[Customer_Name]])-1)</f>
        <v>Emma</v>
      </c>
      <c r="C6" s="29" t="str">
        <f>LEFT(Table5[[#This Row],[Customer_Name]],FIND(",",Table5[[#This Row],[Customer_Name]])-1)</f>
        <v>Johnson</v>
      </c>
      <c r="D6" s="30" t="str">
        <f>LEFT(Table5[[#This Row],[First_Name]],2)&amp;LEFT(Table5[[#This Row],[Last_Name]],2)&amp;ROW()</f>
        <v>EmJo6</v>
      </c>
    </row>
    <row r="7" spans="1:4" x14ac:dyDescent="0.25">
      <c r="A7" s="23" t="s">
        <v>46</v>
      </c>
      <c r="B7" s="29" t="str">
        <f>RIGHT(Table5[[#This Row],[Customer_Name]],LEN(Table5[[#This Row],[Customer_Name]])-FIND(",",Table5[[#This Row],[Customer_Name]])-1)</f>
        <v>Michael</v>
      </c>
      <c r="C7" s="29" t="str">
        <f>LEFT(Table5[[#This Row],[Customer_Name]],FIND(",",Table5[[#This Row],[Customer_Name]])-1)</f>
        <v>Johnson</v>
      </c>
      <c r="D7" s="30" t="str">
        <f>LEFT(Table5[[#This Row],[First_Name]],2)&amp;LEFT(Table5[[#This Row],[Last_Name]],2)&amp;ROW()</f>
        <v>MiJo7</v>
      </c>
    </row>
    <row r="8" spans="1:4" x14ac:dyDescent="0.25">
      <c r="A8" s="23" t="s">
        <v>50</v>
      </c>
      <c r="B8" s="29" t="str">
        <f>RIGHT(Table5[[#This Row],[Customer_Name]],LEN(Table5[[#This Row],[Customer_Name]])-FIND(",",Table5[[#This Row],[Customer_Name]])-1)</f>
        <v>Emma</v>
      </c>
      <c r="C8" s="29" t="str">
        <f>LEFT(Table5[[#This Row],[Customer_Name]],FIND(",",Table5[[#This Row],[Customer_Name]])-1)</f>
        <v>Hernandez</v>
      </c>
      <c r="D8" s="30" t="str">
        <f>LEFT(Table5[[#This Row],[First_Name]],2)&amp;LEFT(Table5[[#This Row],[Last_Name]],2)&amp;ROW()</f>
        <v>EmHe8</v>
      </c>
    </row>
    <row r="9" spans="1:4" x14ac:dyDescent="0.25">
      <c r="A9" s="23" t="s">
        <v>54</v>
      </c>
      <c r="B9" s="29" t="str">
        <f>RIGHT(Table5[[#This Row],[Customer_Name]],LEN(Table5[[#This Row],[Customer_Name]])-FIND(",",Table5[[#This Row],[Customer_Name]])-1)</f>
        <v>John</v>
      </c>
      <c r="C9" s="29" t="str">
        <f>LEFT(Table5[[#This Row],[Customer_Name]],FIND(",",Table5[[#This Row],[Customer_Name]])-1)</f>
        <v>Miller</v>
      </c>
      <c r="D9" s="30" t="str">
        <f>LEFT(Table5[[#This Row],[First_Name]],2)&amp;LEFT(Table5[[#This Row],[Last_Name]],2)&amp;ROW()</f>
        <v>JoMi9</v>
      </c>
    </row>
    <row r="10" spans="1:4" x14ac:dyDescent="0.25">
      <c r="A10" s="23" t="s">
        <v>30</v>
      </c>
      <c r="B10" s="29" t="str">
        <f>RIGHT(Table5[[#This Row],[Customer_Name]],LEN(Table5[[#This Row],[Customer_Name]])-FIND(",",Table5[[#This Row],[Customer_Name]])-1)</f>
        <v>John</v>
      </c>
      <c r="C10" s="29" t="str">
        <f>LEFT(Table5[[#This Row],[Customer_Name]],FIND(",",Table5[[#This Row],[Customer_Name]])-1)</f>
        <v>Davis</v>
      </c>
      <c r="D10" s="30" t="str">
        <f>LEFT(Table5[[#This Row],[First_Name]],2)&amp;LEFT(Table5[[#This Row],[Last_Name]],2)&amp;ROW()</f>
        <v>JoDa10</v>
      </c>
    </row>
    <row r="11" spans="1:4" x14ac:dyDescent="0.25">
      <c r="A11" s="23" t="s">
        <v>62</v>
      </c>
      <c r="B11" s="29" t="str">
        <f>RIGHT(Table5[[#This Row],[Customer_Name]],LEN(Table5[[#This Row],[Customer_Name]])-FIND(",",Table5[[#This Row],[Customer_Name]])-1)</f>
        <v>Laura</v>
      </c>
      <c r="C11" s="29" t="str">
        <f>LEFT(Table5[[#This Row],[Customer_Name]],FIND(",",Table5[[#This Row],[Customer_Name]])-1)</f>
        <v>Martinez</v>
      </c>
      <c r="D11" s="30" t="str">
        <f>LEFT(Table5[[#This Row],[First_Name]],2)&amp;LEFT(Table5[[#This Row],[Last_Name]],2)&amp;ROW()</f>
        <v>LaMa11</v>
      </c>
    </row>
    <row r="12" spans="1:4" x14ac:dyDescent="0.25">
      <c r="A12" s="23" t="s">
        <v>65</v>
      </c>
      <c r="B12" s="29" t="str">
        <f>RIGHT(Table5[[#This Row],[Customer_Name]],LEN(Table5[[#This Row],[Customer_Name]])-FIND(",",Table5[[#This Row],[Customer_Name]])-1)</f>
        <v>James</v>
      </c>
      <c r="C12" s="29" t="str">
        <f>LEFT(Table5[[#This Row],[Customer_Name]],FIND(",",Table5[[#This Row],[Customer_Name]])-1)</f>
        <v>Martinez</v>
      </c>
      <c r="D12" s="30" t="str">
        <f>LEFT(Table5[[#This Row],[First_Name]],2)&amp;LEFT(Table5[[#This Row],[Last_Name]],2)&amp;ROW()</f>
        <v>JaMa12</v>
      </c>
    </row>
    <row r="13" spans="1:4" x14ac:dyDescent="0.25">
      <c r="A13" s="23" t="s">
        <v>67</v>
      </c>
      <c r="B13" s="29" t="str">
        <f>RIGHT(Table5[[#This Row],[Customer_Name]],LEN(Table5[[#This Row],[Customer_Name]])-FIND(",",Table5[[#This Row],[Customer_Name]])-1)</f>
        <v>James</v>
      </c>
      <c r="C13" s="29" t="str">
        <f>LEFT(Table5[[#This Row],[Customer_Name]],FIND(",",Table5[[#This Row],[Customer_Name]])-1)</f>
        <v>Davis</v>
      </c>
      <c r="D13" s="30" t="str">
        <f>LEFT(Table5[[#This Row],[First_Name]],2)&amp;LEFT(Table5[[#This Row],[Last_Name]],2)&amp;ROW()</f>
        <v>JaDa13</v>
      </c>
    </row>
    <row r="14" spans="1:4" x14ac:dyDescent="0.25">
      <c r="A14" s="23" t="s">
        <v>65</v>
      </c>
      <c r="B14" s="29" t="str">
        <f>RIGHT(Table5[[#This Row],[Customer_Name]],LEN(Table5[[#This Row],[Customer_Name]])-FIND(",",Table5[[#This Row],[Customer_Name]])-1)</f>
        <v>James</v>
      </c>
      <c r="C14" s="29" t="str">
        <f>LEFT(Table5[[#This Row],[Customer_Name]],FIND(",",Table5[[#This Row],[Customer_Name]])-1)</f>
        <v>Martinez</v>
      </c>
      <c r="D14" s="30" t="str">
        <f>LEFT(Table5[[#This Row],[First_Name]],2)&amp;LEFT(Table5[[#This Row],[Last_Name]],2)&amp;ROW()</f>
        <v>JaMa14</v>
      </c>
    </row>
    <row r="15" spans="1:4" x14ac:dyDescent="0.25">
      <c r="A15" s="23" t="s">
        <v>71</v>
      </c>
      <c r="B15" s="29" t="str">
        <f>RIGHT(Table5[[#This Row],[Customer_Name]],LEN(Table5[[#This Row],[Customer_Name]])-FIND(",",Table5[[#This Row],[Customer_Name]])-1)</f>
        <v>Emma</v>
      </c>
      <c r="C15" s="29" t="str">
        <f>LEFT(Table5[[#This Row],[Customer_Name]],FIND(",",Table5[[#This Row],[Customer_Name]])-1)</f>
        <v>Smith</v>
      </c>
      <c r="D15" s="30" t="str">
        <f>LEFT(Table5[[#This Row],[First_Name]],2)&amp;LEFT(Table5[[#This Row],[Last_Name]],2)&amp;ROW()</f>
        <v>EmSm15</v>
      </c>
    </row>
    <row r="16" spans="1:4" x14ac:dyDescent="0.25">
      <c r="A16" s="23" t="s">
        <v>73</v>
      </c>
      <c r="B16" s="29" t="str">
        <f>RIGHT(Table5[[#This Row],[Customer_Name]],LEN(Table5[[#This Row],[Customer_Name]])-FIND(",",Table5[[#This Row],[Customer_Name]])-1)</f>
        <v>Sarah</v>
      </c>
      <c r="C16" s="29" t="str">
        <f>LEFT(Table5[[#This Row],[Customer_Name]],FIND(",",Table5[[#This Row],[Customer_Name]])-1)</f>
        <v>Davis</v>
      </c>
      <c r="D16" s="30" t="str">
        <f>LEFT(Table5[[#This Row],[First_Name]],2)&amp;LEFT(Table5[[#This Row],[Last_Name]],2)&amp;ROW()</f>
        <v>SaDa16</v>
      </c>
    </row>
    <row r="17" spans="1:4" x14ac:dyDescent="0.25">
      <c r="A17" s="23" t="s">
        <v>76</v>
      </c>
      <c r="B17" s="29" t="str">
        <f>RIGHT(Table5[[#This Row],[Customer_Name]],LEN(Table5[[#This Row],[Customer_Name]])-FIND(",",Table5[[#This Row],[Customer_Name]])-1)</f>
        <v>David</v>
      </c>
      <c r="C17" s="29" t="str">
        <f>LEFT(Table5[[#This Row],[Customer_Name]],FIND(",",Table5[[#This Row],[Customer_Name]])-1)</f>
        <v>Williams</v>
      </c>
      <c r="D17" s="30" t="str">
        <f>LEFT(Table5[[#This Row],[First_Name]],2)&amp;LEFT(Table5[[#This Row],[Last_Name]],2)&amp;ROW()</f>
        <v>DaWi17</v>
      </c>
    </row>
    <row r="18" spans="1:4" x14ac:dyDescent="0.25">
      <c r="A18" s="23" t="s">
        <v>65</v>
      </c>
      <c r="B18" s="29" t="str">
        <f>RIGHT(Table5[[#This Row],[Customer_Name]],LEN(Table5[[#This Row],[Customer_Name]])-FIND(",",Table5[[#This Row],[Customer_Name]])-1)</f>
        <v>James</v>
      </c>
      <c r="C18" s="29" t="str">
        <f>LEFT(Table5[[#This Row],[Customer_Name]],FIND(",",Table5[[#This Row],[Customer_Name]])-1)</f>
        <v>Martinez</v>
      </c>
      <c r="D18" s="30" t="str">
        <f>LEFT(Table5[[#This Row],[First_Name]],2)&amp;LEFT(Table5[[#This Row],[Last_Name]],2)&amp;ROW()</f>
        <v>JaMa18</v>
      </c>
    </row>
    <row r="19" spans="1:4" x14ac:dyDescent="0.25">
      <c r="A19" s="23" t="s">
        <v>46</v>
      </c>
      <c r="B19" s="29" t="str">
        <f>RIGHT(Table5[[#This Row],[Customer_Name]],LEN(Table5[[#This Row],[Customer_Name]])-FIND(",",Table5[[#This Row],[Customer_Name]])-1)</f>
        <v>Michael</v>
      </c>
      <c r="C19" s="29" t="str">
        <f>LEFT(Table5[[#This Row],[Customer_Name]],FIND(",",Table5[[#This Row],[Customer_Name]])-1)</f>
        <v>Johnson</v>
      </c>
      <c r="D19" s="30" t="str">
        <f>LEFT(Table5[[#This Row],[First_Name]],2)&amp;LEFT(Table5[[#This Row],[Last_Name]],2)&amp;ROW()</f>
        <v>MiJo19</v>
      </c>
    </row>
    <row r="20" spans="1:4" x14ac:dyDescent="0.25">
      <c r="A20" s="23" t="s">
        <v>81</v>
      </c>
      <c r="B20" s="29" t="str">
        <f>RIGHT(Table5[[#This Row],[Customer_Name]],LEN(Table5[[#This Row],[Customer_Name]])-FIND(",",Table5[[#This Row],[Customer_Name]])-1)</f>
        <v>Sarah</v>
      </c>
      <c r="C20" s="29" t="str">
        <f>LEFT(Table5[[#This Row],[Customer_Name]],FIND(",",Table5[[#This Row],[Customer_Name]])-1)</f>
        <v>Smith</v>
      </c>
      <c r="D20" s="30" t="str">
        <f>LEFT(Table5[[#This Row],[First_Name]],2)&amp;LEFT(Table5[[#This Row],[Last_Name]],2)&amp;ROW()</f>
        <v>SaSm20</v>
      </c>
    </row>
    <row r="21" spans="1:4" x14ac:dyDescent="0.25">
      <c r="A21" s="23" t="s">
        <v>41</v>
      </c>
      <c r="B21" s="29" t="str">
        <f>RIGHT(Table5[[#This Row],[Customer_Name]],LEN(Table5[[#This Row],[Customer_Name]])-FIND(",",Table5[[#This Row],[Customer_Name]])-1)</f>
        <v>Emma</v>
      </c>
      <c r="C21" s="29" t="str">
        <f>LEFT(Table5[[#This Row],[Customer_Name]],FIND(",",Table5[[#This Row],[Customer_Name]])-1)</f>
        <v>Johnson</v>
      </c>
      <c r="D21" s="30" t="str">
        <f>LEFT(Table5[[#This Row],[First_Name]],2)&amp;LEFT(Table5[[#This Row],[Last_Name]],2)&amp;ROW()</f>
        <v>EmJo21</v>
      </c>
    </row>
    <row r="22" spans="1:4" x14ac:dyDescent="0.25">
      <c r="A22" s="23" t="s">
        <v>85</v>
      </c>
      <c r="B22" s="29" t="str">
        <f>RIGHT(Table5[[#This Row],[Customer_Name]],LEN(Table5[[#This Row],[Customer_Name]])-FIND(",",Table5[[#This Row],[Customer_Name]])-1)</f>
        <v>Michael</v>
      </c>
      <c r="C22" s="29" t="str">
        <f>LEFT(Table5[[#This Row],[Customer_Name]],FIND(",",Table5[[#This Row],[Customer_Name]])-1)</f>
        <v>Miller</v>
      </c>
      <c r="D22" s="30" t="str">
        <f>LEFT(Table5[[#This Row],[First_Name]],2)&amp;LEFT(Table5[[#This Row],[Last_Name]],2)&amp;ROW()</f>
        <v>MiMi22</v>
      </c>
    </row>
    <row r="23" spans="1:4" x14ac:dyDescent="0.25">
      <c r="A23" s="23" t="s">
        <v>89</v>
      </c>
      <c r="B23" s="29" t="str">
        <f>RIGHT(Table5[[#This Row],[Customer_Name]],LEN(Table5[[#This Row],[Customer_Name]])-FIND(",",Table5[[#This Row],[Customer_Name]])-1)</f>
        <v>David</v>
      </c>
      <c r="C23" s="29" t="str">
        <f>LEFT(Table5[[#This Row],[Customer_Name]],FIND(",",Table5[[#This Row],[Customer_Name]])-1)</f>
        <v>Davis</v>
      </c>
      <c r="D23" s="30" t="str">
        <f>LEFT(Table5[[#This Row],[First_Name]],2)&amp;LEFT(Table5[[#This Row],[Last_Name]],2)&amp;ROW()</f>
        <v>DaDa23</v>
      </c>
    </row>
    <row r="24" spans="1:4" x14ac:dyDescent="0.25">
      <c r="A24" s="23" t="s">
        <v>91</v>
      </c>
      <c r="B24" s="29" t="str">
        <f>RIGHT(Table5[[#This Row],[Customer_Name]],LEN(Table5[[#This Row],[Customer_Name]])-FIND(",",Table5[[#This Row],[Customer_Name]])-1)</f>
        <v>Sarah</v>
      </c>
      <c r="C24" s="29" t="str">
        <f>LEFT(Table5[[#This Row],[Customer_Name]],FIND(",",Table5[[#This Row],[Customer_Name]])-1)</f>
        <v>Johnson</v>
      </c>
      <c r="D24" s="30" t="str">
        <f>LEFT(Table5[[#This Row],[First_Name]],2)&amp;LEFT(Table5[[#This Row],[Last_Name]],2)&amp;ROW()</f>
        <v>SaJo24</v>
      </c>
    </row>
    <row r="25" spans="1:4" x14ac:dyDescent="0.25">
      <c r="A25" s="23" t="s">
        <v>93</v>
      </c>
      <c r="B25" s="29" t="str">
        <f>RIGHT(Table5[[#This Row],[Customer_Name]],LEN(Table5[[#This Row],[Customer_Name]])-FIND(",",Table5[[#This Row],[Customer_Name]])-1)</f>
        <v>Sophia</v>
      </c>
      <c r="C25" s="29" t="str">
        <f>LEFT(Table5[[#This Row],[Customer_Name]],FIND(",",Table5[[#This Row],[Customer_Name]])-1)</f>
        <v>Hernandez</v>
      </c>
      <c r="D25" s="30" t="str">
        <f>LEFT(Table5[[#This Row],[First_Name]],2)&amp;LEFT(Table5[[#This Row],[Last_Name]],2)&amp;ROW()</f>
        <v>SoHe25</v>
      </c>
    </row>
    <row r="26" spans="1:4" x14ac:dyDescent="0.25">
      <c r="A26" s="23" t="s">
        <v>95</v>
      </c>
      <c r="B26" s="29" t="str">
        <f>RIGHT(Table5[[#This Row],[Customer_Name]],LEN(Table5[[#This Row],[Customer_Name]])-FIND(",",Table5[[#This Row],[Customer_Name]])-1)</f>
        <v>Daniel</v>
      </c>
      <c r="C26" s="29" t="str">
        <f>LEFT(Table5[[#This Row],[Customer_Name]],FIND(",",Table5[[#This Row],[Customer_Name]])-1)</f>
        <v>Williams</v>
      </c>
      <c r="D26" s="30" t="str">
        <f>LEFT(Table5[[#This Row],[First_Name]],2)&amp;LEFT(Table5[[#This Row],[Last_Name]],2)&amp;ROW()</f>
        <v>DaWi26</v>
      </c>
    </row>
    <row r="27" spans="1:4" x14ac:dyDescent="0.25">
      <c r="A27" s="23" t="s">
        <v>97</v>
      </c>
      <c r="B27" s="29" t="str">
        <f>RIGHT(Table5[[#This Row],[Customer_Name]],LEN(Table5[[#This Row],[Customer_Name]])-FIND(",",Table5[[#This Row],[Customer_Name]])-1)</f>
        <v>Michael</v>
      </c>
      <c r="C27" s="29" t="str">
        <f>LEFT(Table5[[#This Row],[Customer_Name]],FIND(",",Table5[[#This Row],[Customer_Name]])-1)</f>
        <v>Martinez</v>
      </c>
      <c r="D27" s="30" t="str">
        <f>LEFT(Table5[[#This Row],[First_Name]],2)&amp;LEFT(Table5[[#This Row],[Last_Name]],2)&amp;ROW()</f>
        <v>MiMa27</v>
      </c>
    </row>
    <row r="28" spans="1:4" x14ac:dyDescent="0.25">
      <c r="A28" s="23" t="s">
        <v>34</v>
      </c>
      <c r="B28" s="29" t="str">
        <f>RIGHT(Table5[[#This Row],[Customer_Name]],LEN(Table5[[#This Row],[Customer_Name]])-FIND(",",Table5[[#This Row],[Customer_Name]])-1)</f>
        <v>Daniel</v>
      </c>
      <c r="C28" s="29" t="str">
        <f>LEFT(Table5[[#This Row],[Customer_Name]],FIND(",",Table5[[#This Row],[Customer_Name]])-1)</f>
        <v>Miller</v>
      </c>
      <c r="D28" s="30" t="str">
        <f>LEFT(Table5[[#This Row],[First_Name]],2)&amp;LEFT(Table5[[#This Row],[Last_Name]],2)&amp;ROW()</f>
        <v>DaMi28</v>
      </c>
    </row>
    <row r="29" spans="1:4" x14ac:dyDescent="0.25">
      <c r="A29" s="23" t="s">
        <v>100</v>
      </c>
      <c r="B29" s="29" t="str">
        <f>RIGHT(Table5[[#This Row],[Customer_Name]],LEN(Table5[[#This Row],[Customer_Name]])-FIND(",",Table5[[#This Row],[Customer_Name]])-1)</f>
        <v>Laura</v>
      </c>
      <c r="C29" s="29" t="str">
        <f>LEFT(Table5[[#This Row],[Customer_Name]],FIND(",",Table5[[#This Row],[Customer_Name]])-1)</f>
        <v>Jones</v>
      </c>
      <c r="D29" s="30" t="str">
        <f>LEFT(Table5[[#This Row],[First_Name]],2)&amp;LEFT(Table5[[#This Row],[Last_Name]],2)&amp;ROW()</f>
        <v>LaJo29</v>
      </c>
    </row>
    <row r="30" spans="1:4" x14ac:dyDescent="0.25">
      <c r="A30" s="23" t="s">
        <v>102</v>
      </c>
      <c r="B30" s="29" t="str">
        <f>RIGHT(Table5[[#This Row],[Customer_Name]],LEN(Table5[[#This Row],[Customer_Name]])-FIND(",",Table5[[#This Row],[Customer_Name]])-1)</f>
        <v>Michael</v>
      </c>
      <c r="C30" s="29" t="str">
        <f>LEFT(Table5[[#This Row],[Customer_Name]],FIND(",",Table5[[#This Row],[Customer_Name]])-1)</f>
        <v>Brown</v>
      </c>
      <c r="D30" s="30" t="str">
        <f>LEFT(Table5[[#This Row],[First_Name]],2)&amp;LEFT(Table5[[#This Row],[Last_Name]],2)&amp;ROW()</f>
        <v>MiBr30</v>
      </c>
    </row>
    <row r="31" spans="1:4" x14ac:dyDescent="0.25">
      <c r="A31" s="23" t="s">
        <v>76</v>
      </c>
      <c r="B31" s="29" t="str">
        <f>RIGHT(Table5[[#This Row],[Customer_Name]],LEN(Table5[[#This Row],[Customer_Name]])-FIND(",",Table5[[#This Row],[Customer_Name]])-1)</f>
        <v>David</v>
      </c>
      <c r="C31" s="29" t="str">
        <f>LEFT(Table5[[#This Row],[Customer_Name]],FIND(",",Table5[[#This Row],[Customer_Name]])-1)</f>
        <v>Williams</v>
      </c>
      <c r="D31" s="30" t="str">
        <f>LEFT(Table5[[#This Row],[First_Name]],2)&amp;LEFT(Table5[[#This Row],[Last_Name]],2)&amp;ROW()</f>
        <v>DaWi31</v>
      </c>
    </row>
    <row r="32" spans="1:4" x14ac:dyDescent="0.25">
      <c r="A32" s="23" t="s">
        <v>105</v>
      </c>
      <c r="B32" s="29" t="str">
        <f>RIGHT(Table5[[#This Row],[Customer_Name]],LEN(Table5[[#This Row],[Customer_Name]])-FIND(",",Table5[[#This Row],[Customer_Name]])-1)</f>
        <v>Laura</v>
      </c>
      <c r="C32" s="29" t="str">
        <f>LEFT(Table5[[#This Row],[Customer_Name]],FIND(",",Table5[[#This Row],[Customer_Name]])-1)</f>
        <v>Miller</v>
      </c>
      <c r="D32" s="30" t="str">
        <f>LEFT(Table5[[#This Row],[First_Name]],2)&amp;LEFT(Table5[[#This Row],[Last_Name]],2)&amp;ROW()</f>
        <v>LaMi32</v>
      </c>
    </row>
    <row r="33" spans="1:4" x14ac:dyDescent="0.25">
      <c r="A33" s="23" t="s">
        <v>108</v>
      </c>
      <c r="B33" s="29" t="str">
        <f>RIGHT(Table5[[#This Row],[Customer_Name]],LEN(Table5[[#This Row],[Customer_Name]])-FIND(",",Table5[[#This Row],[Customer_Name]])-1)</f>
        <v>Sophia</v>
      </c>
      <c r="C33" s="29" t="str">
        <f>LEFT(Table5[[#This Row],[Customer_Name]],FIND(",",Table5[[#This Row],[Customer_Name]])-1)</f>
        <v>Garcia</v>
      </c>
      <c r="D33" s="30" t="str">
        <f>LEFT(Table5[[#This Row],[First_Name]],2)&amp;LEFT(Table5[[#This Row],[Last_Name]],2)&amp;ROW()</f>
        <v>SoGa33</v>
      </c>
    </row>
    <row r="34" spans="1:4" x14ac:dyDescent="0.25">
      <c r="A34" s="23" t="s">
        <v>110</v>
      </c>
      <c r="B34" s="29" t="str">
        <f>RIGHT(Table5[[#This Row],[Customer_Name]],LEN(Table5[[#This Row],[Customer_Name]])-FIND(",",Table5[[#This Row],[Customer_Name]])-1)</f>
        <v>Sophia</v>
      </c>
      <c r="C34" s="29" t="str">
        <f>LEFT(Table5[[#This Row],[Customer_Name]],FIND(",",Table5[[#This Row],[Customer_Name]])-1)</f>
        <v>Smith</v>
      </c>
      <c r="D34" s="30" t="str">
        <f>LEFT(Table5[[#This Row],[First_Name]],2)&amp;LEFT(Table5[[#This Row],[Last_Name]],2)&amp;ROW()</f>
        <v>SoSm34</v>
      </c>
    </row>
    <row r="35" spans="1:4" x14ac:dyDescent="0.25">
      <c r="A35" s="23" t="s">
        <v>34</v>
      </c>
      <c r="B35" s="29" t="str">
        <f>RIGHT(Table5[[#This Row],[Customer_Name]],LEN(Table5[[#This Row],[Customer_Name]])-FIND(",",Table5[[#This Row],[Customer_Name]])-1)</f>
        <v>Daniel</v>
      </c>
      <c r="C35" s="29" t="str">
        <f>LEFT(Table5[[#This Row],[Customer_Name]],FIND(",",Table5[[#This Row],[Customer_Name]])-1)</f>
        <v>Miller</v>
      </c>
      <c r="D35" s="30" t="str">
        <f>LEFT(Table5[[#This Row],[First_Name]],2)&amp;LEFT(Table5[[#This Row],[Last_Name]],2)&amp;ROW()</f>
        <v>DaMi35</v>
      </c>
    </row>
    <row r="36" spans="1:4" x14ac:dyDescent="0.25">
      <c r="A36" s="23" t="s">
        <v>113</v>
      </c>
      <c r="B36" s="29" t="str">
        <f>RIGHT(Table5[[#This Row],[Customer_Name]],LEN(Table5[[#This Row],[Customer_Name]])-FIND(",",Table5[[#This Row],[Customer_Name]])-1)</f>
        <v>John</v>
      </c>
      <c r="C36" s="29" t="str">
        <f>LEFT(Table5[[#This Row],[Customer_Name]],FIND(",",Table5[[#This Row],[Customer_Name]])-1)</f>
        <v>Hernandez</v>
      </c>
      <c r="D36" s="30" t="str">
        <f>LEFT(Table5[[#This Row],[First_Name]],2)&amp;LEFT(Table5[[#This Row],[Last_Name]],2)&amp;ROW()</f>
        <v>JoHe36</v>
      </c>
    </row>
    <row r="37" spans="1:4" x14ac:dyDescent="0.25">
      <c r="A37" s="23" t="s">
        <v>115</v>
      </c>
      <c r="B37" s="29" t="str">
        <f>RIGHT(Table5[[#This Row],[Customer_Name]],LEN(Table5[[#This Row],[Customer_Name]])-FIND(",",Table5[[#This Row],[Customer_Name]])-1)</f>
        <v>Laura</v>
      </c>
      <c r="C37" s="29" t="str">
        <f>LEFT(Table5[[#This Row],[Customer_Name]],FIND(",",Table5[[#This Row],[Customer_Name]])-1)</f>
        <v>Williams</v>
      </c>
      <c r="D37" s="30" t="str">
        <f>LEFT(Table5[[#This Row],[First_Name]],2)&amp;LEFT(Table5[[#This Row],[Last_Name]],2)&amp;ROW()</f>
        <v>LaWi37</v>
      </c>
    </row>
    <row r="38" spans="1:4" x14ac:dyDescent="0.25">
      <c r="A38" s="23" t="s">
        <v>117</v>
      </c>
      <c r="B38" s="29" t="str">
        <f>RIGHT(Table5[[#This Row],[Customer_Name]],LEN(Table5[[#This Row],[Customer_Name]])-FIND(",",Table5[[#This Row],[Customer_Name]])-1)</f>
        <v>David</v>
      </c>
      <c r="C38" s="29" t="str">
        <f>LEFT(Table5[[#This Row],[Customer_Name]],FIND(",",Table5[[#This Row],[Customer_Name]])-1)</f>
        <v>Miller</v>
      </c>
      <c r="D38" s="30" t="str">
        <f>LEFT(Table5[[#This Row],[First_Name]],2)&amp;LEFT(Table5[[#This Row],[Last_Name]],2)&amp;ROW()</f>
        <v>DaMi38</v>
      </c>
    </row>
    <row r="39" spans="1:4" x14ac:dyDescent="0.25">
      <c r="A39" s="23" t="s">
        <v>119</v>
      </c>
      <c r="B39" s="29" t="str">
        <f>RIGHT(Table5[[#This Row],[Customer_Name]],LEN(Table5[[#This Row],[Customer_Name]])-FIND(",",Table5[[#This Row],[Customer_Name]])-1)</f>
        <v>Michael</v>
      </c>
      <c r="C39" s="29" t="str">
        <f>LEFT(Table5[[#This Row],[Customer_Name]],FIND(",",Table5[[#This Row],[Customer_Name]])-1)</f>
        <v>Smith</v>
      </c>
      <c r="D39" s="30" t="str">
        <f>LEFT(Table5[[#This Row],[First_Name]],2)&amp;LEFT(Table5[[#This Row],[Last_Name]],2)&amp;ROW()</f>
        <v>MiSm39</v>
      </c>
    </row>
    <row r="40" spans="1:4" x14ac:dyDescent="0.25">
      <c r="A40" s="23" t="s">
        <v>121</v>
      </c>
      <c r="B40" s="29" t="str">
        <f>RIGHT(Table5[[#This Row],[Customer_Name]],LEN(Table5[[#This Row],[Customer_Name]])-FIND(",",Table5[[#This Row],[Customer_Name]])-1)</f>
        <v>Sarah</v>
      </c>
      <c r="C40" s="29" t="str">
        <f>LEFT(Table5[[#This Row],[Customer_Name]],FIND(",",Table5[[#This Row],[Customer_Name]])-1)</f>
        <v>Martinez</v>
      </c>
      <c r="D40" s="30" t="str">
        <f>LEFT(Table5[[#This Row],[First_Name]],2)&amp;LEFT(Table5[[#This Row],[Last_Name]],2)&amp;ROW()</f>
        <v>SaMa40</v>
      </c>
    </row>
    <row r="41" spans="1:4" x14ac:dyDescent="0.25">
      <c r="A41" s="23" t="s">
        <v>123</v>
      </c>
      <c r="B41" s="29" t="str">
        <f>RIGHT(Table5[[#This Row],[Customer_Name]],LEN(Table5[[#This Row],[Customer_Name]])-FIND(",",Table5[[#This Row],[Customer_Name]])-1)</f>
        <v>Emily</v>
      </c>
      <c r="C41" s="29" t="str">
        <f>LEFT(Table5[[#This Row],[Customer_Name]],FIND(",",Table5[[#This Row],[Customer_Name]])-1)</f>
        <v>Garcia</v>
      </c>
      <c r="D41" s="30" t="str">
        <f>LEFT(Table5[[#This Row],[First_Name]],2)&amp;LEFT(Table5[[#This Row],[Last_Name]],2)&amp;ROW()</f>
        <v>EmGa41</v>
      </c>
    </row>
    <row r="42" spans="1:4" x14ac:dyDescent="0.25">
      <c r="A42" s="23" t="s">
        <v>125</v>
      </c>
      <c r="B42" s="29" t="str">
        <f>RIGHT(Table5[[#This Row],[Customer_Name]],LEN(Table5[[#This Row],[Customer_Name]])-FIND(",",Table5[[#This Row],[Customer_Name]])-1)</f>
        <v>Emma</v>
      </c>
      <c r="C42" s="29" t="str">
        <f>LEFT(Table5[[#This Row],[Customer_Name]],FIND(",",Table5[[#This Row],[Customer_Name]])-1)</f>
        <v>Williams</v>
      </c>
      <c r="D42" s="30" t="str">
        <f>LEFT(Table5[[#This Row],[First_Name]],2)&amp;LEFT(Table5[[#This Row],[Last_Name]],2)&amp;ROW()</f>
        <v>EmWi42</v>
      </c>
    </row>
    <row r="43" spans="1:4" x14ac:dyDescent="0.25">
      <c r="A43" s="23" t="s">
        <v>71</v>
      </c>
      <c r="B43" s="29" t="str">
        <f>RIGHT(Table5[[#This Row],[Customer_Name]],LEN(Table5[[#This Row],[Customer_Name]])-FIND(",",Table5[[#This Row],[Customer_Name]])-1)</f>
        <v>Emma</v>
      </c>
      <c r="C43" s="29" t="str">
        <f>LEFT(Table5[[#This Row],[Customer_Name]],FIND(",",Table5[[#This Row],[Customer_Name]])-1)</f>
        <v>Smith</v>
      </c>
      <c r="D43" s="30" t="str">
        <f>LEFT(Table5[[#This Row],[First_Name]],2)&amp;LEFT(Table5[[#This Row],[Last_Name]],2)&amp;ROW()</f>
        <v>EmSm43</v>
      </c>
    </row>
    <row r="44" spans="1:4" x14ac:dyDescent="0.25">
      <c r="A44" s="23" t="s">
        <v>73</v>
      </c>
      <c r="B44" s="29" t="str">
        <f>RIGHT(Table5[[#This Row],[Customer_Name]],LEN(Table5[[#This Row],[Customer_Name]])-FIND(",",Table5[[#This Row],[Customer_Name]])-1)</f>
        <v>Sarah</v>
      </c>
      <c r="C44" s="29" t="str">
        <f>LEFT(Table5[[#This Row],[Customer_Name]],FIND(",",Table5[[#This Row],[Customer_Name]])-1)</f>
        <v>Davis</v>
      </c>
      <c r="D44" s="30" t="str">
        <f>LEFT(Table5[[#This Row],[First_Name]],2)&amp;LEFT(Table5[[#This Row],[Last_Name]],2)&amp;ROW()</f>
        <v>SaDa44</v>
      </c>
    </row>
    <row r="45" spans="1:4" x14ac:dyDescent="0.25">
      <c r="A45" s="23" t="s">
        <v>67</v>
      </c>
      <c r="B45" s="29" t="str">
        <f>RIGHT(Table5[[#This Row],[Customer_Name]],LEN(Table5[[#This Row],[Customer_Name]])-FIND(",",Table5[[#This Row],[Customer_Name]])-1)</f>
        <v>James</v>
      </c>
      <c r="C45" s="29" t="str">
        <f>LEFT(Table5[[#This Row],[Customer_Name]],FIND(",",Table5[[#This Row],[Customer_Name]])-1)</f>
        <v>Davis</v>
      </c>
      <c r="D45" s="30" t="str">
        <f>LEFT(Table5[[#This Row],[First_Name]],2)&amp;LEFT(Table5[[#This Row],[Last_Name]],2)&amp;ROW()</f>
        <v>JaDa45</v>
      </c>
    </row>
    <row r="46" spans="1:4" x14ac:dyDescent="0.25">
      <c r="A46" s="23" t="s">
        <v>115</v>
      </c>
      <c r="B46" s="29" t="str">
        <f>RIGHT(Table5[[#This Row],[Customer_Name]],LEN(Table5[[#This Row],[Customer_Name]])-FIND(",",Table5[[#This Row],[Customer_Name]])-1)</f>
        <v>Laura</v>
      </c>
      <c r="C46" s="29" t="str">
        <f>LEFT(Table5[[#This Row],[Customer_Name]],FIND(",",Table5[[#This Row],[Customer_Name]])-1)</f>
        <v>Williams</v>
      </c>
      <c r="D46" s="30" t="str">
        <f>LEFT(Table5[[#This Row],[First_Name]],2)&amp;LEFT(Table5[[#This Row],[Last_Name]],2)&amp;ROW()</f>
        <v>LaWi46</v>
      </c>
    </row>
    <row r="47" spans="1:4" x14ac:dyDescent="0.25">
      <c r="A47" s="23" t="s">
        <v>41</v>
      </c>
      <c r="B47" s="29" t="str">
        <f>RIGHT(Table5[[#This Row],[Customer_Name]],LEN(Table5[[#This Row],[Customer_Name]])-FIND(",",Table5[[#This Row],[Customer_Name]])-1)</f>
        <v>Emma</v>
      </c>
      <c r="C47" s="29" t="str">
        <f>LEFT(Table5[[#This Row],[Customer_Name]],FIND(",",Table5[[#This Row],[Customer_Name]])-1)</f>
        <v>Johnson</v>
      </c>
      <c r="D47" s="30" t="str">
        <f>LEFT(Table5[[#This Row],[First_Name]],2)&amp;LEFT(Table5[[#This Row],[Last_Name]],2)&amp;ROW()</f>
        <v>EmJo47</v>
      </c>
    </row>
    <row r="48" spans="1:4" x14ac:dyDescent="0.25">
      <c r="A48" s="23" t="s">
        <v>91</v>
      </c>
      <c r="B48" s="29" t="str">
        <f>RIGHT(Table5[[#This Row],[Customer_Name]],LEN(Table5[[#This Row],[Customer_Name]])-FIND(",",Table5[[#This Row],[Customer_Name]])-1)</f>
        <v>Sarah</v>
      </c>
      <c r="C48" s="29" t="str">
        <f>LEFT(Table5[[#This Row],[Customer_Name]],FIND(",",Table5[[#This Row],[Customer_Name]])-1)</f>
        <v>Johnson</v>
      </c>
      <c r="D48" s="30" t="str">
        <f>LEFT(Table5[[#This Row],[First_Name]],2)&amp;LEFT(Table5[[#This Row],[Last_Name]],2)&amp;ROW()</f>
        <v>SaJo48</v>
      </c>
    </row>
    <row r="49" spans="1:4" x14ac:dyDescent="0.25">
      <c r="A49" s="23" t="s">
        <v>135</v>
      </c>
      <c r="B49" s="29" t="str">
        <f>RIGHT(Table5[[#This Row],[Customer_Name]],LEN(Table5[[#This Row],[Customer_Name]])-FIND(",",Table5[[#This Row],[Customer_Name]])-1)</f>
        <v>Daniel</v>
      </c>
      <c r="C49" s="29" t="str">
        <f>LEFT(Table5[[#This Row],[Customer_Name]],FIND(",",Table5[[#This Row],[Customer_Name]])-1)</f>
        <v>Smith</v>
      </c>
      <c r="D49" s="30" t="str">
        <f>LEFT(Table5[[#This Row],[First_Name]],2)&amp;LEFT(Table5[[#This Row],[Last_Name]],2)&amp;ROW()</f>
        <v>DaSm49</v>
      </c>
    </row>
    <row r="50" spans="1:4" x14ac:dyDescent="0.25">
      <c r="A50" s="23" t="s">
        <v>137</v>
      </c>
      <c r="B50" s="29" t="str">
        <f>RIGHT(Table5[[#This Row],[Customer_Name]],LEN(Table5[[#This Row],[Customer_Name]])-FIND(",",Table5[[#This Row],[Customer_Name]])-1)</f>
        <v>David</v>
      </c>
      <c r="C50" s="29" t="str">
        <f>LEFT(Table5[[#This Row],[Customer_Name]],FIND(",",Table5[[#This Row],[Customer_Name]])-1)</f>
        <v>Jones</v>
      </c>
      <c r="D50" s="30" t="str">
        <f>LEFT(Table5[[#This Row],[First_Name]],2)&amp;LEFT(Table5[[#This Row],[Last_Name]],2)&amp;ROW()</f>
        <v>DaJo50</v>
      </c>
    </row>
    <row r="51" spans="1:4" x14ac:dyDescent="0.25">
      <c r="A51" s="23" t="s">
        <v>139</v>
      </c>
      <c r="B51" s="29" t="str">
        <f>RIGHT(Table5[[#This Row],[Customer_Name]],LEN(Table5[[#This Row],[Customer_Name]])-FIND(",",Table5[[#This Row],[Customer_Name]])-1)</f>
        <v>Sarah</v>
      </c>
      <c r="C51" s="29" t="str">
        <f>LEFT(Table5[[#This Row],[Customer_Name]],FIND(",",Table5[[#This Row],[Customer_Name]])-1)</f>
        <v>Brown</v>
      </c>
      <c r="D51" s="30" t="str">
        <f>LEFT(Table5[[#This Row],[First_Name]],2)&amp;LEFT(Table5[[#This Row],[Last_Name]],2)&amp;ROW()</f>
        <v>SaBr51</v>
      </c>
    </row>
    <row r="52" spans="1:4" x14ac:dyDescent="0.25">
      <c r="A52" s="23" t="s">
        <v>119</v>
      </c>
      <c r="B52" s="29" t="str">
        <f>RIGHT(Table5[[#This Row],[Customer_Name]],LEN(Table5[[#This Row],[Customer_Name]])-FIND(",",Table5[[#This Row],[Customer_Name]])-1)</f>
        <v>Michael</v>
      </c>
      <c r="C52" s="29" t="str">
        <f>LEFT(Table5[[#This Row],[Customer_Name]],FIND(",",Table5[[#This Row],[Customer_Name]])-1)</f>
        <v>Smith</v>
      </c>
      <c r="D52" s="30" t="str">
        <f>LEFT(Table5[[#This Row],[First_Name]],2)&amp;LEFT(Table5[[#This Row],[Last_Name]],2)&amp;ROW()</f>
        <v>MiSm52</v>
      </c>
    </row>
    <row r="53" spans="1:4" x14ac:dyDescent="0.25">
      <c r="A53" s="23" t="s">
        <v>142</v>
      </c>
      <c r="B53" s="29" t="str">
        <f>RIGHT(Table5[[#This Row],[Customer_Name]],LEN(Table5[[#This Row],[Customer_Name]])-FIND(",",Table5[[#This Row],[Customer_Name]])-1)</f>
        <v>Emma</v>
      </c>
      <c r="C53" s="29" t="str">
        <f>LEFT(Table5[[#This Row],[Customer_Name]],FIND(",",Table5[[#This Row],[Customer_Name]])-1)</f>
        <v>Martinez</v>
      </c>
      <c r="D53" s="30" t="str">
        <f>LEFT(Table5[[#This Row],[First_Name]],2)&amp;LEFT(Table5[[#This Row],[Last_Name]],2)&amp;ROW()</f>
        <v>EmMa53</v>
      </c>
    </row>
    <row r="54" spans="1:4" x14ac:dyDescent="0.25">
      <c r="A54" s="23" t="s">
        <v>67</v>
      </c>
      <c r="B54" s="29" t="str">
        <f>RIGHT(Table5[[#This Row],[Customer_Name]],LEN(Table5[[#This Row],[Customer_Name]])-FIND(",",Table5[[#This Row],[Customer_Name]])-1)</f>
        <v>James</v>
      </c>
      <c r="C54" s="29" t="str">
        <f>LEFT(Table5[[#This Row],[Customer_Name]],FIND(",",Table5[[#This Row],[Customer_Name]])-1)</f>
        <v>Davis</v>
      </c>
      <c r="D54" s="30" t="str">
        <f>LEFT(Table5[[#This Row],[First_Name]],2)&amp;LEFT(Table5[[#This Row],[Last_Name]],2)&amp;ROW()</f>
        <v>JaDa54</v>
      </c>
    </row>
    <row r="55" spans="1:4" x14ac:dyDescent="0.25">
      <c r="A55" s="23" t="s">
        <v>145</v>
      </c>
      <c r="B55" s="29" t="str">
        <f>RIGHT(Table5[[#This Row],[Customer_Name]],LEN(Table5[[#This Row],[Customer_Name]])-FIND(",",Table5[[#This Row],[Customer_Name]])-1)</f>
        <v>Daniel</v>
      </c>
      <c r="C55" s="29" t="str">
        <f>LEFT(Table5[[#This Row],[Customer_Name]],FIND(",",Table5[[#This Row],[Customer_Name]])-1)</f>
        <v>Johnson</v>
      </c>
      <c r="D55" s="30" t="str">
        <f>LEFT(Table5[[#This Row],[First_Name]],2)&amp;LEFT(Table5[[#This Row],[Last_Name]],2)&amp;ROW()</f>
        <v>DaJo55</v>
      </c>
    </row>
    <row r="56" spans="1:4" x14ac:dyDescent="0.25">
      <c r="A56" s="23" t="s">
        <v>147</v>
      </c>
      <c r="B56" s="29" t="str">
        <f>RIGHT(Table5[[#This Row],[Customer_Name]],LEN(Table5[[#This Row],[Customer_Name]])-FIND(",",Table5[[#This Row],[Customer_Name]])-1)</f>
        <v>Sophia</v>
      </c>
      <c r="C56" s="29" t="str">
        <f>LEFT(Table5[[#This Row],[Customer_Name]],FIND(",",Table5[[#This Row],[Customer_Name]])-1)</f>
        <v>Jones</v>
      </c>
      <c r="D56" s="30" t="str">
        <f>LEFT(Table5[[#This Row],[First_Name]],2)&amp;LEFT(Table5[[#This Row],[Last_Name]],2)&amp;ROW()</f>
        <v>SoJo56</v>
      </c>
    </row>
    <row r="57" spans="1:4" x14ac:dyDescent="0.25">
      <c r="A57" s="23" t="s">
        <v>149</v>
      </c>
      <c r="B57" s="29" t="str">
        <f>RIGHT(Table5[[#This Row],[Customer_Name]],LEN(Table5[[#This Row],[Customer_Name]])-FIND(",",Table5[[#This Row],[Customer_Name]])-1)</f>
        <v>Sarah</v>
      </c>
      <c r="C57" s="29" t="str">
        <f>LEFT(Table5[[#This Row],[Customer_Name]],FIND(",",Table5[[#This Row],[Customer_Name]])-1)</f>
        <v>Garcia</v>
      </c>
      <c r="D57" s="30" t="str">
        <f>LEFT(Table5[[#This Row],[First_Name]],2)&amp;LEFT(Table5[[#This Row],[Last_Name]],2)&amp;ROW()</f>
        <v>SaGa57</v>
      </c>
    </row>
    <row r="58" spans="1:4" x14ac:dyDescent="0.25">
      <c r="A58" s="23" t="s">
        <v>67</v>
      </c>
      <c r="B58" s="29" t="str">
        <f>RIGHT(Table5[[#This Row],[Customer_Name]],LEN(Table5[[#This Row],[Customer_Name]])-FIND(",",Table5[[#This Row],[Customer_Name]])-1)</f>
        <v>James</v>
      </c>
      <c r="C58" s="29" t="str">
        <f>LEFT(Table5[[#This Row],[Customer_Name]],FIND(",",Table5[[#This Row],[Customer_Name]])-1)</f>
        <v>Davis</v>
      </c>
      <c r="D58" s="30" t="str">
        <f>LEFT(Table5[[#This Row],[First_Name]],2)&amp;LEFT(Table5[[#This Row],[Last_Name]],2)&amp;ROW()</f>
        <v>JaDa58</v>
      </c>
    </row>
    <row r="59" spans="1:4" x14ac:dyDescent="0.25">
      <c r="A59" s="23" t="s">
        <v>149</v>
      </c>
      <c r="B59" s="29" t="str">
        <f>RIGHT(Table5[[#This Row],[Customer_Name]],LEN(Table5[[#This Row],[Customer_Name]])-FIND(",",Table5[[#This Row],[Customer_Name]])-1)</f>
        <v>Sarah</v>
      </c>
      <c r="C59" s="29" t="str">
        <f>LEFT(Table5[[#This Row],[Customer_Name]],FIND(",",Table5[[#This Row],[Customer_Name]])-1)</f>
        <v>Garcia</v>
      </c>
      <c r="D59" s="30" t="str">
        <f>LEFT(Table5[[#This Row],[First_Name]],2)&amp;LEFT(Table5[[#This Row],[Last_Name]],2)&amp;ROW()</f>
        <v>SaGa59</v>
      </c>
    </row>
    <row r="60" spans="1:4" x14ac:dyDescent="0.25">
      <c r="A60" s="23" t="s">
        <v>154</v>
      </c>
      <c r="B60" s="29" t="str">
        <f>RIGHT(Table5[[#This Row],[Customer_Name]],LEN(Table5[[#This Row],[Customer_Name]])-FIND(",",Table5[[#This Row],[Customer_Name]])-1)</f>
        <v>Michael</v>
      </c>
      <c r="C60" s="29" t="str">
        <f>LEFT(Table5[[#This Row],[Customer_Name]],FIND(",",Table5[[#This Row],[Customer_Name]])-1)</f>
        <v>Williams</v>
      </c>
      <c r="D60" s="30" t="str">
        <f>LEFT(Table5[[#This Row],[First_Name]],2)&amp;LEFT(Table5[[#This Row],[Last_Name]],2)&amp;ROW()</f>
        <v>MiWi60</v>
      </c>
    </row>
    <row r="61" spans="1:4" x14ac:dyDescent="0.25">
      <c r="A61" s="23" t="s">
        <v>156</v>
      </c>
      <c r="B61" s="29" t="str">
        <f>RIGHT(Table5[[#This Row],[Customer_Name]],LEN(Table5[[#This Row],[Customer_Name]])-FIND(",",Table5[[#This Row],[Customer_Name]])-1)</f>
        <v>James</v>
      </c>
      <c r="C61" s="29" t="str">
        <f>LEFT(Table5[[#This Row],[Customer_Name]],FIND(",",Table5[[#This Row],[Customer_Name]])-1)</f>
        <v>Hernandez</v>
      </c>
      <c r="D61" s="30" t="str">
        <f>LEFT(Table5[[#This Row],[First_Name]],2)&amp;LEFT(Table5[[#This Row],[Last_Name]],2)&amp;ROW()</f>
        <v>JaHe61</v>
      </c>
    </row>
    <row r="62" spans="1:4" x14ac:dyDescent="0.25">
      <c r="A62" s="23" t="s">
        <v>158</v>
      </c>
      <c r="B62" s="29" t="str">
        <f>RIGHT(Table5[[#This Row],[Customer_Name]],LEN(Table5[[#This Row],[Customer_Name]])-FIND(",",Table5[[#This Row],[Customer_Name]])-1)</f>
        <v>Sarah</v>
      </c>
      <c r="C62" s="29" t="str">
        <f>LEFT(Table5[[#This Row],[Customer_Name]],FIND(",",Table5[[#This Row],[Customer_Name]])-1)</f>
        <v>Williams</v>
      </c>
      <c r="D62" s="30" t="str">
        <f>LEFT(Table5[[#This Row],[First_Name]],2)&amp;LEFT(Table5[[#This Row],[Last_Name]],2)&amp;ROW()</f>
        <v>SaWi62</v>
      </c>
    </row>
    <row r="63" spans="1:4" x14ac:dyDescent="0.25">
      <c r="A63" s="23" t="s">
        <v>91</v>
      </c>
      <c r="B63" s="29" t="str">
        <f>RIGHT(Table5[[#This Row],[Customer_Name]],LEN(Table5[[#This Row],[Customer_Name]])-FIND(",",Table5[[#This Row],[Customer_Name]])-1)</f>
        <v>Sarah</v>
      </c>
      <c r="C63" s="29" t="str">
        <f>LEFT(Table5[[#This Row],[Customer_Name]],FIND(",",Table5[[#This Row],[Customer_Name]])-1)</f>
        <v>Johnson</v>
      </c>
      <c r="D63" s="30" t="str">
        <f>LEFT(Table5[[#This Row],[First_Name]],2)&amp;LEFT(Table5[[#This Row],[Last_Name]],2)&amp;ROW()</f>
        <v>SaJo63</v>
      </c>
    </row>
    <row r="64" spans="1:4" x14ac:dyDescent="0.25">
      <c r="A64" s="23" t="s">
        <v>161</v>
      </c>
      <c r="B64" s="29" t="str">
        <f>RIGHT(Table5[[#This Row],[Customer_Name]],LEN(Table5[[#This Row],[Customer_Name]])-FIND(",",Table5[[#This Row],[Customer_Name]])-1)</f>
        <v>Emily</v>
      </c>
      <c r="C64" s="29" t="str">
        <f>LEFT(Table5[[#This Row],[Customer_Name]],FIND(",",Table5[[#This Row],[Customer_Name]])-1)</f>
        <v>Williams</v>
      </c>
      <c r="D64" s="30" t="str">
        <f>LEFT(Table5[[#This Row],[First_Name]],2)&amp;LEFT(Table5[[#This Row],[Last_Name]],2)&amp;ROW()</f>
        <v>EmWi64</v>
      </c>
    </row>
    <row r="65" spans="1:4" x14ac:dyDescent="0.25">
      <c r="A65" s="23" t="s">
        <v>145</v>
      </c>
      <c r="B65" s="29" t="str">
        <f>RIGHT(Table5[[#This Row],[Customer_Name]],LEN(Table5[[#This Row],[Customer_Name]])-FIND(",",Table5[[#This Row],[Customer_Name]])-1)</f>
        <v>Daniel</v>
      </c>
      <c r="C65" s="29" t="str">
        <f>LEFT(Table5[[#This Row],[Customer_Name]],FIND(",",Table5[[#This Row],[Customer_Name]])-1)</f>
        <v>Johnson</v>
      </c>
      <c r="D65" s="30" t="str">
        <f>LEFT(Table5[[#This Row],[First_Name]],2)&amp;LEFT(Table5[[#This Row],[Last_Name]],2)&amp;ROW()</f>
        <v>DaJo65</v>
      </c>
    </row>
    <row r="66" spans="1:4" x14ac:dyDescent="0.25">
      <c r="A66" s="23" t="s">
        <v>147</v>
      </c>
      <c r="B66" s="29" t="str">
        <f>RIGHT(Table5[[#This Row],[Customer_Name]],LEN(Table5[[#This Row],[Customer_Name]])-FIND(",",Table5[[#This Row],[Customer_Name]])-1)</f>
        <v>Sophia</v>
      </c>
      <c r="C66" s="29" t="str">
        <f>LEFT(Table5[[#This Row],[Customer_Name]],FIND(",",Table5[[#This Row],[Customer_Name]])-1)</f>
        <v>Jones</v>
      </c>
      <c r="D66" s="30" t="str">
        <f>LEFT(Table5[[#This Row],[First_Name]],2)&amp;LEFT(Table5[[#This Row],[Last_Name]],2)&amp;ROW()</f>
        <v>SoJo66</v>
      </c>
    </row>
    <row r="67" spans="1:4" x14ac:dyDescent="0.25">
      <c r="A67" s="23" t="s">
        <v>50</v>
      </c>
      <c r="B67" s="29" t="str">
        <f>RIGHT(Table5[[#This Row],[Customer_Name]],LEN(Table5[[#This Row],[Customer_Name]])-FIND(",",Table5[[#This Row],[Customer_Name]])-1)</f>
        <v>Emma</v>
      </c>
      <c r="C67" s="29" t="str">
        <f>LEFT(Table5[[#This Row],[Customer_Name]],FIND(",",Table5[[#This Row],[Customer_Name]])-1)</f>
        <v>Hernandez</v>
      </c>
      <c r="D67" s="30" t="str">
        <f>LEFT(Table5[[#This Row],[First_Name]],2)&amp;LEFT(Table5[[#This Row],[Last_Name]],2)&amp;ROW()</f>
        <v>EmHe67</v>
      </c>
    </row>
    <row r="68" spans="1:4" x14ac:dyDescent="0.25">
      <c r="A68" s="23" t="s">
        <v>166</v>
      </c>
      <c r="B68" s="29" t="str">
        <f>RIGHT(Table5[[#This Row],[Customer_Name]],LEN(Table5[[#This Row],[Customer_Name]])-FIND(",",Table5[[#This Row],[Customer_Name]])-1)</f>
        <v>Daniel</v>
      </c>
      <c r="C68" s="29" t="str">
        <f>LEFT(Table5[[#This Row],[Customer_Name]],FIND(",",Table5[[#This Row],[Customer_Name]])-1)</f>
        <v>Brown</v>
      </c>
      <c r="D68" s="30" t="str">
        <f>LEFT(Table5[[#This Row],[First_Name]],2)&amp;LEFT(Table5[[#This Row],[Last_Name]],2)&amp;ROW()</f>
        <v>DaBr68</v>
      </c>
    </row>
    <row r="69" spans="1:4" x14ac:dyDescent="0.25">
      <c r="A69" s="23" t="s">
        <v>168</v>
      </c>
      <c r="B69" s="29" t="str">
        <f>RIGHT(Table5[[#This Row],[Customer_Name]],LEN(Table5[[#This Row],[Customer_Name]])-FIND(",",Table5[[#This Row],[Customer_Name]])-1)</f>
        <v>Daniel</v>
      </c>
      <c r="C69" s="29" t="str">
        <f>LEFT(Table5[[#This Row],[Customer_Name]],FIND(",",Table5[[#This Row],[Customer_Name]])-1)</f>
        <v>Martinez</v>
      </c>
      <c r="D69" s="30" t="str">
        <f>LEFT(Table5[[#This Row],[First_Name]],2)&amp;LEFT(Table5[[#This Row],[Last_Name]],2)&amp;ROW()</f>
        <v>DaMa69</v>
      </c>
    </row>
    <row r="70" spans="1:4" x14ac:dyDescent="0.25">
      <c r="A70" s="23" t="s">
        <v>170</v>
      </c>
      <c r="B70" s="29" t="str">
        <f>RIGHT(Table5[[#This Row],[Customer_Name]],LEN(Table5[[#This Row],[Customer_Name]])-FIND(",",Table5[[#This Row],[Customer_Name]])-1)</f>
        <v>Michael</v>
      </c>
      <c r="C70" s="29" t="str">
        <f>LEFT(Table5[[#This Row],[Customer_Name]],FIND(",",Table5[[#This Row],[Customer_Name]])-1)</f>
        <v>Jones</v>
      </c>
      <c r="D70" s="30" t="str">
        <f>LEFT(Table5[[#This Row],[First_Name]],2)&amp;LEFT(Table5[[#This Row],[Last_Name]],2)&amp;ROW()</f>
        <v>MiJo70</v>
      </c>
    </row>
    <row r="71" spans="1:4" x14ac:dyDescent="0.25">
      <c r="A71" s="23" t="s">
        <v>93</v>
      </c>
      <c r="B71" s="29" t="str">
        <f>RIGHT(Table5[[#This Row],[Customer_Name]],LEN(Table5[[#This Row],[Customer_Name]])-FIND(",",Table5[[#This Row],[Customer_Name]])-1)</f>
        <v>Sophia</v>
      </c>
      <c r="C71" s="29" t="str">
        <f>LEFT(Table5[[#This Row],[Customer_Name]],FIND(",",Table5[[#This Row],[Customer_Name]])-1)</f>
        <v>Hernandez</v>
      </c>
      <c r="D71" s="30" t="str">
        <f>LEFT(Table5[[#This Row],[First_Name]],2)&amp;LEFT(Table5[[#This Row],[Last_Name]],2)&amp;ROW()</f>
        <v>SoHe71</v>
      </c>
    </row>
    <row r="72" spans="1:4" x14ac:dyDescent="0.25">
      <c r="A72" s="23" t="s">
        <v>173</v>
      </c>
      <c r="B72" s="29" t="str">
        <f>RIGHT(Table5[[#This Row],[Customer_Name]],LEN(Table5[[#This Row],[Customer_Name]])-FIND(",",Table5[[#This Row],[Customer_Name]])-1)</f>
        <v>Michael</v>
      </c>
      <c r="C72" s="29" t="str">
        <f>LEFT(Table5[[#This Row],[Customer_Name]],FIND(",",Table5[[#This Row],[Customer_Name]])-1)</f>
        <v>Garcia</v>
      </c>
      <c r="D72" s="30" t="str">
        <f>LEFT(Table5[[#This Row],[First_Name]],2)&amp;LEFT(Table5[[#This Row],[Last_Name]],2)&amp;ROW()</f>
        <v>MiGa72</v>
      </c>
    </row>
    <row r="73" spans="1:4" x14ac:dyDescent="0.25">
      <c r="A73" s="23" t="s">
        <v>91</v>
      </c>
      <c r="B73" s="29" t="str">
        <f>RIGHT(Table5[[#This Row],[Customer_Name]],LEN(Table5[[#This Row],[Customer_Name]])-FIND(",",Table5[[#This Row],[Customer_Name]])-1)</f>
        <v>Sarah</v>
      </c>
      <c r="C73" s="29" t="str">
        <f>LEFT(Table5[[#This Row],[Customer_Name]],FIND(",",Table5[[#This Row],[Customer_Name]])-1)</f>
        <v>Johnson</v>
      </c>
      <c r="D73" s="30" t="str">
        <f>LEFT(Table5[[#This Row],[First_Name]],2)&amp;LEFT(Table5[[#This Row],[Last_Name]],2)&amp;ROW()</f>
        <v>SaJo73</v>
      </c>
    </row>
    <row r="74" spans="1:4" x14ac:dyDescent="0.25">
      <c r="A74" s="23" t="s">
        <v>176</v>
      </c>
      <c r="B74" s="29" t="str">
        <f>RIGHT(Table5[[#This Row],[Customer_Name]],LEN(Table5[[#This Row],[Customer_Name]])-FIND(",",Table5[[#This Row],[Customer_Name]])-1)</f>
        <v>David</v>
      </c>
      <c r="C74" s="29" t="str">
        <f>LEFT(Table5[[#This Row],[Customer_Name]],FIND(",",Table5[[#This Row],[Customer_Name]])-1)</f>
        <v>Smith</v>
      </c>
      <c r="D74" s="30" t="str">
        <f>LEFT(Table5[[#This Row],[First_Name]],2)&amp;LEFT(Table5[[#This Row],[Last_Name]],2)&amp;ROW()</f>
        <v>DaSm74</v>
      </c>
    </row>
    <row r="75" spans="1:4" x14ac:dyDescent="0.25">
      <c r="A75" s="23" t="s">
        <v>179</v>
      </c>
      <c r="B75" s="29" t="str">
        <f>RIGHT(Table5[[#This Row],[Customer_Name]],LEN(Table5[[#This Row],[Customer_Name]])-FIND(",",Table5[[#This Row],[Customer_Name]])-1)</f>
        <v>Sophia</v>
      </c>
      <c r="C75" s="29" t="str">
        <f>LEFT(Table5[[#This Row],[Customer_Name]],FIND(",",Table5[[#This Row],[Customer_Name]])-1)</f>
        <v>Miller</v>
      </c>
      <c r="D75" s="30" t="str">
        <f>LEFT(Table5[[#This Row],[First_Name]],2)&amp;LEFT(Table5[[#This Row],[Last_Name]],2)&amp;ROW()</f>
        <v>SoMi75</v>
      </c>
    </row>
    <row r="76" spans="1:4" x14ac:dyDescent="0.25">
      <c r="A76" s="23" t="s">
        <v>181</v>
      </c>
      <c r="B76" s="29" t="str">
        <f>RIGHT(Table5[[#This Row],[Customer_Name]],LEN(Table5[[#This Row],[Customer_Name]])-FIND(",",Table5[[#This Row],[Customer_Name]])-1)</f>
        <v>Laura</v>
      </c>
      <c r="C76" s="29" t="str">
        <f>LEFT(Table5[[#This Row],[Customer_Name]],FIND(",",Table5[[#This Row],[Customer_Name]])-1)</f>
        <v>Garcia</v>
      </c>
      <c r="D76" s="30" t="str">
        <f>LEFT(Table5[[#This Row],[First_Name]],2)&amp;LEFT(Table5[[#This Row],[Last_Name]],2)&amp;ROW()</f>
        <v>LaGa76</v>
      </c>
    </row>
    <row r="77" spans="1:4" x14ac:dyDescent="0.25">
      <c r="A77" s="23" t="s">
        <v>183</v>
      </c>
      <c r="B77" s="29" t="str">
        <f>RIGHT(Table5[[#This Row],[Customer_Name]],LEN(Table5[[#This Row],[Customer_Name]])-FIND(",",Table5[[#This Row],[Customer_Name]])-1)</f>
        <v>Michael</v>
      </c>
      <c r="C77" s="29" t="str">
        <f>LEFT(Table5[[#This Row],[Customer_Name]],FIND(",",Table5[[#This Row],[Customer_Name]])-1)</f>
        <v>Davis</v>
      </c>
      <c r="D77" s="30" t="str">
        <f>LEFT(Table5[[#This Row],[First_Name]],2)&amp;LEFT(Table5[[#This Row],[Last_Name]],2)&amp;ROW()</f>
        <v>MiDa77</v>
      </c>
    </row>
    <row r="78" spans="1:4" x14ac:dyDescent="0.25">
      <c r="A78" s="23" t="s">
        <v>183</v>
      </c>
      <c r="B78" s="29" t="str">
        <f>RIGHT(Table5[[#This Row],[Customer_Name]],LEN(Table5[[#This Row],[Customer_Name]])-FIND(",",Table5[[#This Row],[Customer_Name]])-1)</f>
        <v>Michael</v>
      </c>
      <c r="C78" s="29" t="str">
        <f>LEFT(Table5[[#This Row],[Customer_Name]],FIND(",",Table5[[#This Row],[Customer_Name]])-1)</f>
        <v>Davis</v>
      </c>
      <c r="D78" s="30" t="str">
        <f>LEFT(Table5[[#This Row],[First_Name]],2)&amp;LEFT(Table5[[#This Row],[Last_Name]],2)&amp;ROW()</f>
        <v>MiDa78</v>
      </c>
    </row>
    <row r="79" spans="1:4" x14ac:dyDescent="0.25">
      <c r="A79" s="23" t="s">
        <v>181</v>
      </c>
      <c r="B79" s="29" t="str">
        <f>RIGHT(Table5[[#This Row],[Customer_Name]],LEN(Table5[[#This Row],[Customer_Name]])-FIND(",",Table5[[#This Row],[Customer_Name]])-1)</f>
        <v>Laura</v>
      </c>
      <c r="C79" s="29" t="str">
        <f>LEFT(Table5[[#This Row],[Customer_Name]],FIND(",",Table5[[#This Row],[Customer_Name]])-1)</f>
        <v>Garcia</v>
      </c>
      <c r="D79" s="30" t="str">
        <f>LEFT(Table5[[#This Row],[First_Name]],2)&amp;LEFT(Table5[[#This Row],[Last_Name]],2)&amp;ROW()</f>
        <v>LaGa79</v>
      </c>
    </row>
    <row r="80" spans="1:4" x14ac:dyDescent="0.25">
      <c r="A80" s="23" t="s">
        <v>179</v>
      </c>
      <c r="B80" s="29" t="str">
        <f>RIGHT(Table5[[#This Row],[Customer_Name]],LEN(Table5[[#This Row],[Customer_Name]])-FIND(",",Table5[[#This Row],[Customer_Name]])-1)</f>
        <v>Sophia</v>
      </c>
      <c r="C80" s="29" t="str">
        <f>LEFT(Table5[[#This Row],[Customer_Name]],FIND(",",Table5[[#This Row],[Customer_Name]])-1)</f>
        <v>Miller</v>
      </c>
      <c r="D80" s="30" t="str">
        <f>LEFT(Table5[[#This Row],[First_Name]],2)&amp;LEFT(Table5[[#This Row],[Last_Name]],2)&amp;ROW()</f>
        <v>SoMi80</v>
      </c>
    </row>
    <row r="81" spans="1:4" x14ac:dyDescent="0.25">
      <c r="A81" s="23" t="s">
        <v>23</v>
      </c>
      <c r="B81" s="29" t="str">
        <f>RIGHT(Table5[[#This Row],[Customer_Name]],LEN(Table5[[#This Row],[Customer_Name]])-FIND(",",Table5[[#This Row],[Customer_Name]])-1)</f>
        <v>Laura</v>
      </c>
      <c r="C81" s="29" t="str">
        <f>LEFT(Table5[[#This Row],[Customer_Name]],FIND(",",Table5[[#This Row],[Customer_Name]])-1)</f>
        <v>Brown</v>
      </c>
      <c r="D81" s="30" t="str">
        <f>LEFT(Table5[[#This Row],[First_Name]],2)&amp;LEFT(Table5[[#This Row],[Last_Name]],2)&amp;ROW()</f>
        <v>LaBr81</v>
      </c>
    </row>
    <row r="82" spans="1:4" x14ac:dyDescent="0.25">
      <c r="A82" s="23" t="s">
        <v>189</v>
      </c>
      <c r="B82" s="29" t="str">
        <f>RIGHT(Table5[[#This Row],[Customer_Name]],LEN(Table5[[#This Row],[Customer_Name]])-FIND(",",Table5[[#This Row],[Customer_Name]])-1)</f>
        <v>Emma</v>
      </c>
      <c r="C82" s="29" t="str">
        <f>LEFT(Table5[[#This Row],[Customer_Name]],FIND(",",Table5[[#This Row],[Customer_Name]])-1)</f>
        <v>Davis</v>
      </c>
      <c r="D82" s="30" t="str">
        <f>LEFT(Table5[[#This Row],[First_Name]],2)&amp;LEFT(Table5[[#This Row],[Last_Name]],2)&amp;ROW()</f>
        <v>EmDa82</v>
      </c>
    </row>
    <row r="83" spans="1:4" x14ac:dyDescent="0.25">
      <c r="A83" s="23" t="s">
        <v>119</v>
      </c>
      <c r="B83" s="29" t="str">
        <f>RIGHT(Table5[[#This Row],[Customer_Name]],LEN(Table5[[#This Row],[Customer_Name]])-FIND(",",Table5[[#This Row],[Customer_Name]])-1)</f>
        <v>Michael</v>
      </c>
      <c r="C83" s="29" t="str">
        <f>LEFT(Table5[[#This Row],[Customer_Name]],FIND(",",Table5[[#This Row],[Customer_Name]])-1)</f>
        <v>Smith</v>
      </c>
      <c r="D83" s="30" t="str">
        <f>LEFT(Table5[[#This Row],[First_Name]],2)&amp;LEFT(Table5[[#This Row],[Last_Name]],2)&amp;ROW()</f>
        <v>MiSm83</v>
      </c>
    </row>
    <row r="84" spans="1:4" x14ac:dyDescent="0.25">
      <c r="A84" s="23" t="s">
        <v>89</v>
      </c>
      <c r="B84" s="29" t="str">
        <f>RIGHT(Table5[[#This Row],[Customer_Name]],LEN(Table5[[#This Row],[Customer_Name]])-FIND(",",Table5[[#This Row],[Customer_Name]])-1)</f>
        <v>David</v>
      </c>
      <c r="C84" s="29" t="str">
        <f>LEFT(Table5[[#This Row],[Customer_Name]],FIND(",",Table5[[#This Row],[Customer_Name]])-1)</f>
        <v>Davis</v>
      </c>
      <c r="D84" s="30" t="str">
        <f>LEFT(Table5[[#This Row],[First_Name]],2)&amp;LEFT(Table5[[#This Row],[Last_Name]],2)&amp;ROW()</f>
        <v>DaDa84</v>
      </c>
    </row>
    <row r="85" spans="1:4" x14ac:dyDescent="0.25">
      <c r="A85" s="23" t="s">
        <v>193</v>
      </c>
      <c r="B85" s="29" t="str">
        <f>RIGHT(Table5[[#This Row],[Customer_Name]],LEN(Table5[[#This Row],[Customer_Name]])-FIND(",",Table5[[#This Row],[Customer_Name]])-1)</f>
        <v>Laura</v>
      </c>
      <c r="C85" s="29" t="str">
        <f>LEFT(Table5[[#This Row],[Customer_Name]],FIND(",",Table5[[#This Row],[Customer_Name]])-1)</f>
        <v>Hernandez</v>
      </c>
      <c r="D85" s="30" t="str">
        <f>LEFT(Table5[[#This Row],[First_Name]],2)&amp;LEFT(Table5[[#This Row],[Last_Name]],2)&amp;ROW()</f>
        <v>LaHe85</v>
      </c>
    </row>
    <row r="86" spans="1:4" x14ac:dyDescent="0.25">
      <c r="A86" s="23" t="s">
        <v>193</v>
      </c>
      <c r="B86" s="29" t="str">
        <f>RIGHT(Table5[[#This Row],[Customer_Name]],LEN(Table5[[#This Row],[Customer_Name]])-FIND(",",Table5[[#This Row],[Customer_Name]])-1)</f>
        <v>Laura</v>
      </c>
      <c r="C86" s="29" t="str">
        <f>LEFT(Table5[[#This Row],[Customer_Name]],FIND(",",Table5[[#This Row],[Customer_Name]])-1)</f>
        <v>Hernandez</v>
      </c>
      <c r="D86" s="30" t="str">
        <f>LEFT(Table5[[#This Row],[First_Name]],2)&amp;LEFT(Table5[[#This Row],[Last_Name]],2)&amp;ROW()</f>
        <v>LaHe86</v>
      </c>
    </row>
    <row r="87" spans="1:4" x14ac:dyDescent="0.25">
      <c r="A87" s="23" t="s">
        <v>135</v>
      </c>
      <c r="B87" s="29" t="str">
        <f>RIGHT(Table5[[#This Row],[Customer_Name]],LEN(Table5[[#This Row],[Customer_Name]])-FIND(",",Table5[[#This Row],[Customer_Name]])-1)</f>
        <v>Daniel</v>
      </c>
      <c r="C87" s="29" t="str">
        <f>LEFT(Table5[[#This Row],[Customer_Name]],FIND(",",Table5[[#This Row],[Customer_Name]])-1)</f>
        <v>Smith</v>
      </c>
      <c r="D87" s="30" t="str">
        <f>LEFT(Table5[[#This Row],[First_Name]],2)&amp;LEFT(Table5[[#This Row],[Last_Name]],2)&amp;ROW()</f>
        <v>DaSm87</v>
      </c>
    </row>
    <row r="88" spans="1:4" x14ac:dyDescent="0.25">
      <c r="A88" s="23" t="s">
        <v>108</v>
      </c>
      <c r="B88" s="29" t="str">
        <f>RIGHT(Table5[[#This Row],[Customer_Name]],LEN(Table5[[#This Row],[Customer_Name]])-FIND(",",Table5[[#This Row],[Customer_Name]])-1)</f>
        <v>Sophia</v>
      </c>
      <c r="C88" s="29" t="str">
        <f>LEFT(Table5[[#This Row],[Customer_Name]],FIND(",",Table5[[#This Row],[Customer_Name]])-1)</f>
        <v>Garcia</v>
      </c>
      <c r="D88" s="30" t="str">
        <f>LEFT(Table5[[#This Row],[First_Name]],2)&amp;LEFT(Table5[[#This Row],[Last_Name]],2)&amp;ROW()</f>
        <v>SoGa88</v>
      </c>
    </row>
    <row r="89" spans="1:4" x14ac:dyDescent="0.25">
      <c r="A89" s="23" t="s">
        <v>139</v>
      </c>
      <c r="B89" s="29" t="str">
        <f>RIGHT(Table5[[#This Row],[Customer_Name]],LEN(Table5[[#This Row],[Customer_Name]])-FIND(",",Table5[[#This Row],[Customer_Name]])-1)</f>
        <v>Sarah</v>
      </c>
      <c r="C89" s="29" t="str">
        <f>LEFT(Table5[[#This Row],[Customer_Name]],FIND(",",Table5[[#This Row],[Customer_Name]])-1)</f>
        <v>Brown</v>
      </c>
      <c r="D89" s="30" t="str">
        <f>LEFT(Table5[[#This Row],[First_Name]],2)&amp;LEFT(Table5[[#This Row],[Last_Name]],2)&amp;ROW()</f>
        <v>SaBr89</v>
      </c>
    </row>
    <row r="90" spans="1:4" x14ac:dyDescent="0.25">
      <c r="A90" s="23" t="s">
        <v>199</v>
      </c>
      <c r="B90" s="29" t="str">
        <f>RIGHT(Table5[[#This Row],[Customer_Name]],LEN(Table5[[#This Row],[Customer_Name]])-FIND(",",Table5[[#This Row],[Customer_Name]])-1)</f>
        <v>Emily</v>
      </c>
      <c r="C90" s="29" t="str">
        <f>LEFT(Table5[[#This Row],[Customer_Name]],FIND(",",Table5[[#This Row],[Customer_Name]])-1)</f>
        <v>Davis</v>
      </c>
      <c r="D90" s="30" t="str">
        <f>LEFT(Table5[[#This Row],[First_Name]],2)&amp;LEFT(Table5[[#This Row],[Last_Name]],2)&amp;ROW()</f>
        <v>EmDa90</v>
      </c>
    </row>
    <row r="91" spans="1:4" x14ac:dyDescent="0.25">
      <c r="A91" s="23" t="s">
        <v>41</v>
      </c>
      <c r="B91" s="29" t="str">
        <f>RIGHT(Table5[[#This Row],[Customer_Name]],LEN(Table5[[#This Row],[Customer_Name]])-FIND(",",Table5[[#This Row],[Customer_Name]])-1)</f>
        <v>Emma</v>
      </c>
      <c r="C91" s="29" t="str">
        <f>LEFT(Table5[[#This Row],[Customer_Name]],FIND(",",Table5[[#This Row],[Customer_Name]])-1)</f>
        <v>Johnson</v>
      </c>
      <c r="D91" s="30" t="str">
        <f>LEFT(Table5[[#This Row],[First_Name]],2)&amp;LEFT(Table5[[#This Row],[Last_Name]],2)&amp;ROW()</f>
        <v>EmJo91</v>
      </c>
    </row>
    <row r="92" spans="1:4" x14ac:dyDescent="0.25">
      <c r="A92" s="23" t="s">
        <v>202</v>
      </c>
      <c r="B92" s="29" t="str">
        <f>RIGHT(Table5[[#This Row],[Customer_Name]],LEN(Table5[[#This Row],[Customer_Name]])-FIND(",",Table5[[#This Row],[Customer_Name]])-1)</f>
        <v>James</v>
      </c>
      <c r="C92" s="29" t="str">
        <f>LEFT(Table5[[#This Row],[Customer_Name]],FIND(",",Table5[[#This Row],[Customer_Name]])-1)</f>
        <v>Johnson</v>
      </c>
      <c r="D92" s="30" t="str">
        <f>LEFT(Table5[[#This Row],[First_Name]],2)&amp;LEFT(Table5[[#This Row],[Last_Name]],2)&amp;ROW()</f>
        <v>JaJo92</v>
      </c>
    </row>
    <row r="93" spans="1:4" x14ac:dyDescent="0.25">
      <c r="A93" s="23" t="s">
        <v>204</v>
      </c>
      <c r="B93" s="29" t="str">
        <f>RIGHT(Table5[[#This Row],[Customer_Name]],LEN(Table5[[#This Row],[Customer_Name]])-FIND(",",Table5[[#This Row],[Customer_Name]])-1)</f>
        <v>Sophia</v>
      </c>
      <c r="C93" s="29" t="str">
        <f>LEFT(Table5[[#This Row],[Customer_Name]],FIND(",",Table5[[#This Row],[Customer_Name]])-1)</f>
        <v>Martinez</v>
      </c>
      <c r="D93" s="30" t="str">
        <f>LEFT(Table5[[#This Row],[First_Name]],2)&amp;LEFT(Table5[[#This Row],[Last_Name]],2)&amp;ROW()</f>
        <v>SoMa93</v>
      </c>
    </row>
    <row r="94" spans="1:4" x14ac:dyDescent="0.25">
      <c r="A94" s="23" t="s">
        <v>199</v>
      </c>
      <c r="B94" s="29" t="str">
        <f>RIGHT(Table5[[#This Row],[Customer_Name]],LEN(Table5[[#This Row],[Customer_Name]])-FIND(",",Table5[[#This Row],[Customer_Name]])-1)</f>
        <v>Emily</v>
      </c>
      <c r="C94" s="29" t="str">
        <f>LEFT(Table5[[#This Row],[Customer_Name]],FIND(",",Table5[[#This Row],[Customer_Name]])-1)</f>
        <v>Davis</v>
      </c>
      <c r="D94" s="30" t="str">
        <f>LEFT(Table5[[#This Row],[First_Name]],2)&amp;LEFT(Table5[[#This Row],[Last_Name]],2)&amp;ROW()</f>
        <v>EmDa94</v>
      </c>
    </row>
    <row r="95" spans="1:4" x14ac:dyDescent="0.25">
      <c r="A95" s="23" t="s">
        <v>207</v>
      </c>
      <c r="B95" s="29" t="str">
        <f>RIGHT(Table5[[#This Row],[Customer_Name]],LEN(Table5[[#This Row],[Customer_Name]])-FIND(",",Table5[[#This Row],[Customer_Name]])-1)</f>
        <v>Sarah</v>
      </c>
      <c r="C95" s="29" t="str">
        <f>LEFT(Table5[[#This Row],[Customer_Name]],FIND(",",Table5[[#This Row],[Customer_Name]])-1)</f>
        <v>Miller</v>
      </c>
      <c r="D95" s="30" t="str">
        <f>LEFT(Table5[[#This Row],[First_Name]],2)&amp;LEFT(Table5[[#This Row],[Last_Name]],2)&amp;ROW()</f>
        <v>SaMi95</v>
      </c>
    </row>
    <row r="96" spans="1:4" x14ac:dyDescent="0.25">
      <c r="A96" s="23" t="s">
        <v>209</v>
      </c>
      <c r="B96" s="29" t="str">
        <f>RIGHT(Table5[[#This Row],[Customer_Name]],LEN(Table5[[#This Row],[Customer_Name]])-FIND(",",Table5[[#This Row],[Customer_Name]])-1)</f>
        <v>James</v>
      </c>
      <c r="C96" s="29" t="str">
        <f>LEFT(Table5[[#This Row],[Customer_Name]],FIND(",",Table5[[#This Row],[Customer_Name]])-1)</f>
        <v>Williams</v>
      </c>
      <c r="D96" s="30" t="str">
        <f>LEFT(Table5[[#This Row],[First_Name]],2)&amp;LEFT(Table5[[#This Row],[Last_Name]],2)&amp;ROW()</f>
        <v>JaWi96</v>
      </c>
    </row>
    <row r="97" spans="1:4" x14ac:dyDescent="0.25">
      <c r="A97" s="23" t="s">
        <v>211</v>
      </c>
      <c r="B97" s="29" t="str">
        <f>RIGHT(Table5[[#This Row],[Customer_Name]],LEN(Table5[[#This Row],[Customer_Name]])-FIND(",",Table5[[#This Row],[Customer_Name]])-1)</f>
        <v>Emma</v>
      </c>
      <c r="C97" s="29" t="str">
        <f>LEFT(Table5[[#This Row],[Customer_Name]],FIND(",",Table5[[#This Row],[Customer_Name]])-1)</f>
        <v>Garcia</v>
      </c>
      <c r="D97" s="30" t="str">
        <f>LEFT(Table5[[#This Row],[First_Name]],2)&amp;LEFT(Table5[[#This Row],[Last_Name]],2)&amp;ROW()</f>
        <v>EmGa97</v>
      </c>
    </row>
    <row r="98" spans="1:4" x14ac:dyDescent="0.25">
      <c r="A98" s="23" t="s">
        <v>89</v>
      </c>
      <c r="B98" s="29" t="str">
        <f>RIGHT(Table5[[#This Row],[Customer_Name]],LEN(Table5[[#This Row],[Customer_Name]])-FIND(",",Table5[[#This Row],[Customer_Name]])-1)</f>
        <v>David</v>
      </c>
      <c r="C98" s="29" t="str">
        <f>LEFT(Table5[[#This Row],[Customer_Name]],FIND(",",Table5[[#This Row],[Customer_Name]])-1)</f>
        <v>Davis</v>
      </c>
      <c r="D98" s="30" t="str">
        <f>LEFT(Table5[[#This Row],[First_Name]],2)&amp;LEFT(Table5[[#This Row],[Last_Name]],2)&amp;ROW()</f>
        <v>DaDa98</v>
      </c>
    </row>
    <row r="99" spans="1:4" x14ac:dyDescent="0.25">
      <c r="A99" s="23" t="s">
        <v>119</v>
      </c>
      <c r="B99" s="29" t="str">
        <f>RIGHT(Table5[[#This Row],[Customer_Name]],LEN(Table5[[#This Row],[Customer_Name]])-FIND(",",Table5[[#This Row],[Customer_Name]])-1)</f>
        <v>Michael</v>
      </c>
      <c r="C99" s="29" t="str">
        <f>LEFT(Table5[[#This Row],[Customer_Name]],FIND(",",Table5[[#This Row],[Customer_Name]])-1)</f>
        <v>Smith</v>
      </c>
      <c r="D99" s="30" t="str">
        <f>LEFT(Table5[[#This Row],[First_Name]],2)&amp;LEFT(Table5[[#This Row],[Last_Name]],2)&amp;ROW()</f>
        <v>MiSm99</v>
      </c>
    </row>
    <row r="100" spans="1:4" x14ac:dyDescent="0.25">
      <c r="A100" s="23" t="s">
        <v>189</v>
      </c>
      <c r="B100" s="29" t="str">
        <f>RIGHT(Table5[[#This Row],[Customer_Name]],LEN(Table5[[#This Row],[Customer_Name]])-FIND(",",Table5[[#This Row],[Customer_Name]])-1)</f>
        <v>Emma</v>
      </c>
      <c r="C100" s="29" t="str">
        <f>LEFT(Table5[[#This Row],[Customer_Name]],FIND(",",Table5[[#This Row],[Customer_Name]])-1)</f>
        <v>Davis</v>
      </c>
      <c r="D100" s="30" t="str">
        <f>LEFT(Table5[[#This Row],[First_Name]],2)&amp;LEFT(Table5[[#This Row],[Last_Name]],2)&amp;ROW()</f>
        <v>EmDa100</v>
      </c>
    </row>
    <row r="101" spans="1:4" x14ac:dyDescent="0.25">
      <c r="A101" s="23" t="s">
        <v>168</v>
      </c>
      <c r="B101" s="29" t="str">
        <f>RIGHT(Table5[[#This Row],[Customer_Name]],LEN(Table5[[#This Row],[Customer_Name]])-FIND(",",Table5[[#This Row],[Customer_Name]])-1)</f>
        <v>Daniel</v>
      </c>
      <c r="C101" s="29" t="str">
        <f>LEFT(Table5[[#This Row],[Customer_Name]],FIND(",",Table5[[#This Row],[Customer_Name]])-1)</f>
        <v>Martinez</v>
      </c>
      <c r="D101" s="30" t="str">
        <f>LEFT(Table5[[#This Row],[First_Name]],2)&amp;LEFT(Table5[[#This Row],[Last_Name]],2)&amp;ROW()</f>
        <v>DaMa101</v>
      </c>
    </row>
    <row r="102" spans="1:4" x14ac:dyDescent="0.25">
      <c r="A102" s="23" t="s">
        <v>193</v>
      </c>
      <c r="B102" s="29" t="str">
        <f>RIGHT(Table5[[#This Row],[Customer_Name]],LEN(Table5[[#This Row],[Customer_Name]])-FIND(",",Table5[[#This Row],[Customer_Name]])-1)</f>
        <v>Laura</v>
      </c>
      <c r="C102" s="29" t="str">
        <f>LEFT(Table5[[#This Row],[Customer_Name]],FIND(",",Table5[[#This Row],[Customer_Name]])-1)</f>
        <v>Hernandez</v>
      </c>
      <c r="D102" s="30" t="str">
        <f>LEFT(Table5[[#This Row],[First_Name]],2)&amp;LEFT(Table5[[#This Row],[Last_Name]],2)&amp;ROW()</f>
        <v>LaHe102</v>
      </c>
    </row>
    <row r="103" spans="1:4" x14ac:dyDescent="0.25">
      <c r="A103" s="23" t="s">
        <v>100</v>
      </c>
      <c r="B103" s="29" t="str">
        <f>RIGHT(Table5[[#This Row],[Customer_Name]],LEN(Table5[[#This Row],[Customer_Name]])-FIND(",",Table5[[#This Row],[Customer_Name]])-1)</f>
        <v>Laura</v>
      </c>
      <c r="C103" s="29" t="str">
        <f>LEFT(Table5[[#This Row],[Customer_Name]],FIND(",",Table5[[#This Row],[Customer_Name]])-1)</f>
        <v>Jones</v>
      </c>
      <c r="D103" s="30" t="str">
        <f>LEFT(Table5[[#This Row],[First_Name]],2)&amp;LEFT(Table5[[#This Row],[Last_Name]],2)&amp;ROW()</f>
        <v>LaJo103</v>
      </c>
    </row>
    <row r="104" spans="1:4" x14ac:dyDescent="0.25">
      <c r="A104" s="23" t="s">
        <v>189</v>
      </c>
      <c r="B104" s="29" t="str">
        <f>RIGHT(Table5[[#This Row],[Customer_Name]],LEN(Table5[[#This Row],[Customer_Name]])-FIND(",",Table5[[#This Row],[Customer_Name]])-1)</f>
        <v>Emma</v>
      </c>
      <c r="C104" s="29" t="str">
        <f>LEFT(Table5[[#This Row],[Customer_Name]],FIND(",",Table5[[#This Row],[Customer_Name]])-1)</f>
        <v>Davis</v>
      </c>
      <c r="D104" s="30" t="str">
        <f>LEFT(Table5[[#This Row],[First_Name]],2)&amp;LEFT(Table5[[#This Row],[Last_Name]],2)&amp;ROW()</f>
        <v>EmDa104</v>
      </c>
    </row>
    <row r="105" spans="1:4" x14ac:dyDescent="0.25">
      <c r="A105" s="23" t="s">
        <v>123</v>
      </c>
      <c r="B105" s="29" t="str">
        <f>RIGHT(Table5[[#This Row],[Customer_Name]],LEN(Table5[[#This Row],[Customer_Name]])-FIND(",",Table5[[#This Row],[Customer_Name]])-1)</f>
        <v>Emily</v>
      </c>
      <c r="C105" s="29" t="str">
        <f>LEFT(Table5[[#This Row],[Customer_Name]],FIND(",",Table5[[#This Row],[Customer_Name]])-1)</f>
        <v>Garcia</v>
      </c>
      <c r="D105" s="30" t="str">
        <f>LEFT(Table5[[#This Row],[First_Name]],2)&amp;LEFT(Table5[[#This Row],[Last_Name]],2)&amp;ROW()</f>
        <v>EmGa105</v>
      </c>
    </row>
    <row r="106" spans="1:4" x14ac:dyDescent="0.25">
      <c r="A106" s="23" t="s">
        <v>221</v>
      </c>
      <c r="B106" s="29" t="str">
        <f>RIGHT(Table5[[#This Row],[Customer_Name]],LEN(Table5[[#This Row],[Customer_Name]])-FIND(",",Table5[[#This Row],[Customer_Name]])-1)</f>
        <v>David</v>
      </c>
      <c r="C106" s="29" t="str">
        <f>LEFT(Table5[[#This Row],[Customer_Name]],FIND(",",Table5[[#This Row],[Customer_Name]])-1)</f>
        <v>Johnson</v>
      </c>
      <c r="D106" s="30" t="str">
        <f>LEFT(Table5[[#This Row],[First_Name]],2)&amp;LEFT(Table5[[#This Row],[Last_Name]],2)&amp;ROW()</f>
        <v>DaJo106</v>
      </c>
    </row>
    <row r="107" spans="1:4" x14ac:dyDescent="0.25">
      <c r="A107" s="23" t="s">
        <v>62</v>
      </c>
      <c r="B107" s="29" t="str">
        <f>RIGHT(Table5[[#This Row],[Customer_Name]],LEN(Table5[[#This Row],[Customer_Name]])-FIND(",",Table5[[#This Row],[Customer_Name]])-1)</f>
        <v>Laura</v>
      </c>
      <c r="C107" s="29" t="str">
        <f>LEFT(Table5[[#This Row],[Customer_Name]],FIND(",",Table5[[#This Row],[Customer_Name]])-1)</f>
        <v>Martinez</v>
      </c>
      <c r="D107" s="30" t="str">
        <f>LEFT(Table5[[#This Row],[First_Name]],2)&amp;LEFT(Table5[[#This Row],[Last_Name]],2)&amp;ROW()</f>
        <v>LaMa107</v>
      </c>
    </row>
    <row r="108" spans="1:4" x14ac:dyDescent="0.25">
      <c r="A108" s="23" t="s">
        <v>15</v>
      </c>
      <c r="B108" s="29" t="str">
        <f>RIGHT(Table5[[#This Row],[Customer_Name]],LEN(Table5[[#This Row],[Customer_Name]])-FIND(",",Table5[[#This Row],[Customer_Name]])-1)</f>
        <v>Emily</v>
      </c>
      <c r="C108" s="29" t="str">
        <f>LEFT(Table5[[#This Row],[Customer_Name]],FIND(",",Table5[[#This Row],[Customer_Name]])-1)</f>
        <v>Smith</v>
      </c>
      <c r="D108" s="30" t="str">
        <f>LEFT(Table5[[#This Row],[First_Name]],2)&amp;LEFT(Table5[[#This Row],[Last_Name]],2)&amp;ROW()</f>
        <v>EmSm108</v>
      </c>
    </row>
    <row r="109" spans="1:4" x14ac:dyDescent="0.25">
      <c r="A109" s="23" t="s">
        <v>93</v>
      </c>
      <c r="B109" s="29" t="str">
        <f>RIGHT(Table5[[#This Row],[Customer_Name]],LEN(Table5[[#This Row],[Customer_Name]])-FIND(",",Table5[[#This Row],[Customer_Name]])-1)</f>
        <v>Sophia</v>
      </c>
      <c r="C109" s="29" t="str">
        <f>LEFT(Table5[[#This Row],[Customer_Name]],FIND(",",Table5[[#This Row],[Customer_Name]])-1)</f>
        <v>Hernandez</v>
      </c>
      <c r="D109" s="30" t="str">
        <f>LEFT(Table5[[#This Row],[First_Name]],2)&amp;LEFT(Table5[[#This Row],[Last_Name]],2)&amp;ROW()</f>
        <v>SoHe109</v>
      </c>
    </row>
    <row r="110" spans="1:4" x14ac:dyDescent="0.25">
      <c r="A110" s="23" t="s">
        <v>226</v>
      </c>
      <c r="B110" s="29" t="str">
        <f>RIGHT(Table5[[#This Row],[Customer_Name]],LEN(Table5[[#This Row],[Customer_Name]])-FIND(",",Table5[[#This Row],[Customer_Name]])-1)</f>
        <v>Emily</v>
      </c>
      <c r="C110" s="29" t="str">
        <f>LEFT(Table5[[#This Row],[Customer_Name]],FIND(",",Table5[[#This Row],[Customer_Name]])-1)</f>
        <v>Miller</v>
      </c>
      <c r="D110" s="30" t="str">
        <f>LEFT(Table5[[#This Row],[First_Name]],2)&amp;LEFT(Table5[[#This Row],[Last_Name]],2)&amp;ROW()</f>
        <v>EmMi110</v>
      </c>
    </row>
    <row r="111" spans="1:4" x14ac:dyDescent="0.25">
      <c r="A111" s="23" t="s">
        <v>189</v>
      </c>
      <c r="B111" s="29" t="str">
        <f>RIGHT(Table5[[#This Row],[Customer_Name]],LEN(Table5[[#This Row],[Customer_Name]])-FIND(",",Table5[[#This Row],[Customer_Name]])-1)</f>
        <v>Emma</v>
      </c>
      <c r="C111" s="29" t="str">
        <f>LEFT(Table5[[#This Row],[Customer_Name]],FIND(",",Table5[[#This Row],[Customer_Name]])-1)</f>
        <v>Davis</v>
      </c>
      <c r="D111" s="30" t="str">
        <f>LEFT(Table5[[#This Row],[First_Name]],2)&amp;LEFT(Table5[[#This Row],[Last_Name]],2)&amp;ROW()</f>
        <v>EmDa111</v>
      </c>
    </row>
    <row r="112" spans="1:4" x14ac:dyDescent="0.25">
      <c r="A112" s="23" t="s">
        <v>170</v>
      </c>
      <c r="B112" s="29" t="str">
        <f>RIGHT(Table5[[#This Row],[Customer_Name]],LEN(Table5[[#This Row],[Customer_Name]])-FIND(",",Table5[[#This Row],[Customer_Name]])-1)</f>
        <v>Michael</v>
      </c>
      <c r="C112" s="29" t="str">
        <f>LEFT(Table5[[#This Row],[Customer_Name]],FIND(",",Table5[[#This Row],[Customer_Name]])-1)</f>
        <v>Jones</v>
      </c>
      <c r="D112" s="30" t="str">
        <f>LEFT(Table5[[#This Row],[First_Name]],2)&amp;LEFT(Table5[[#This Row],[Last_Name]],2)&amp;ROW()</f>
        <v>MiJo112</v>
      </c>
    </row>
    <row r="113" spans="1:4" x14ac:dyDescent="0.25">
      <c r="A113" s="23" t="s">
        <v>110</v>
      </c>
      <c r="B113" s="29" t="str">
        <f>RIGHT(Table5[[#This Row],[Customer_Name]],LEN(Table5[[#This Row],[Customer_Name]])-FIND(",",Table5[[#This Row],[Customer_Name]])-1)</f>
        <v>Sophia</v>
      </c>
      <c r="C113" s="29" t="str">
        <f>LEFT(Table5[[#This Row],[Customer_Name]],FIND(",",Table5[[#This Row],[Customer_Name]])-1)</f>
        <v>Smith</v>
      </c>
      <c r="D113" s="30" t="str">
        <f>LEFT(Table5[[#This Row],[First_Name]],2)&amp;LEFT(Table5[[#This Row],[Last_Name]],2)&amp;ROW()</f>
        <v>SoSm113</v>
      </c>
    </row>
    <row r="114" spans="1:4" x14ac:dyDescent="0.25">
      <c r="A114" s="23" t="s">
        <v>231</v>
      </c>
      <c r="B114" s="29" t="str">
        <f>RIGHT(Table5[[#This Row],[Customer_Name]],LEN(Table5[[#This Row],[Customer_Name]])-FIND(",",Table5[[#This Row],[Customer_Name]])-1)</f>
        <v>Emily</v>
      </c>
      <c r="C114" s="29" t="str">
        <f>LEFT(Table5[[#This Row],[Customer_Name]],FIND(",",Table5[[#This Row],[Customer_Name]])-1)</f>
        <v>Martinez</v>
      </c>
      <c r="D114" s="30" t="str">
        <f>LEFT(Table5[[#This Row],[First_Name]],2)&amp;LEFT(Table5[[#This Row],[Last_Name]],2)&amp;ROW()</f>
        <v>EmMa114</v>
      </c>
    </row>
    <row r="115" spans="1:4" x14ac:dyDescent="0.25">
      <c r="A115" s="23" t="s">
        <v>233</v>
      </c>
      <c r="B115" s="29" t="str">
        <f>RIGHT(Table5[[#This Row],[Customer_Name]],LEN(Table5[[#This Row],[Customer_Name]])-FIND(",",Table5[[#This Row],[Customer_Name]])-1)</f>
        <v>Daniel</v>
      </c>
      <c r="C115" s="29" t="str">
        <f>LEFT(Table5[[#This Row],[Customer_Name]],FIND(",",Table5[[#This Row],[Customer_Name]])-1)</f>
        <v>Hernandez</v>
      </c>
      <c r="D115" s="30" t="str">
        <f>LEFT(Table5[[#This Row],[First_Name]],2)&amp;LEFT(Table5[[#This Row],[Last_Name]],2)&amp;ROW()</f>
        <v>DaHe115</v>
      </c>
    </row>
    <row r="116" spans="1:4" x14ac:dyDescent="0.25">
      <c r="A116" s="23" t="s">
        <v>113</v>
      </c>
      <c r="B116" s="29" t="str">
        <f>RIGHT(Table5[[#This Row],[Customer_Name]],LEN(Table5[[#This Row],[Customer_Name]])-FIND(",",Table5[[#This Row],[Customer_Name]])-1)</f>
        <v>John</v>
      </c>
      <c r="C116" s="29" t="str">
        <f>LEFT(Table5[[#This Row],[Customer_Name]],FIND(",",Table5[[#This Row],[Customer_Name]])-1)</f>
        <v>Hernandez</v>
      </c>
      <c r="D116" s="30" t="str">
        <f>LEFT(Table5[[#This Row],[First_Name]],2)&amp;LEFT(Table5[[#This Row],[Last_Name]],2)&amp;ROW()</f>
        <v>JoHe116</v>
      </c>
    </row>
    <row r="117" spans="1:4" x14ac:dyDescent="0.25">
      <c r="A117" s="23" t="s">
        <v>54</v>
      </c>
      <c r="B117" s="29" t="str">
        <f>RIGHT(Table5[[#This Row],[Customer_Name]],LEN(Table5[[#This Row],[Customer_Name]])-FIND(",",Table5[[#This Row],[Customer_Name]])-1)</f>
        <v>John</v>
      </c>
      <c r="C117" s="29" t="str">
        <f>LEFT(Table5[[#This Row],[Customer_Name]],FIND(",",Table5[[#This Row],[Customer_Name]])-1)</f>
        <v>Miller</v>
      </c>
      <c r="D117" s="30" t="str">
        <f>LEFT(Table5[[#This Row],[First_Name]],2)&amp;LEFT(Table5[[#This Row],[Last_Name]],2)&amp;ROW()</f>
        <v>JoMi117</v>
      </c>
    </row>
    <row r="118" spans="1:4" x14ac:dyDescent="0.25">
      <c r="A118" s="23" t="s">
        <v>211</v>
      </c>
      <c r="B118" s="29" t="str">
        <f>RIGHT(Table5[[#This Row],[Customer_Name]],LEN(Table5[[#This Row],[Customer_Name]])-FIND(",",Table5[[#This Row],[Customer_Name]])-1)</f>
        <v>Emma</v>
      </c>
      <c r="C118" s="29" t="str">
        <f>LEFT(Table5[[#This Row],[Customer_Name]],FIND(",",Table5[[#This Row],[Customer_Name]])-1)</f>
        <v>Garcia</v>
      </c>
      <c r="D118" s="30" t="str">
        <f>LEFT(Table5[[#This Row],[First_Name]],2)&amp;LEFT(Table5[[#This Row],[Last_Name]],2)&amp;ROW()</f>
        <v>EmGa118</v>
      </c>
    </row>
    <row r="119" spans="1:4" x14ac:dyDescent="0.25">
      <c r="A119" s="23" t="s">
        <v>139</v>
      </c>
      <c r="B119" s="29" t="str">
        <f>RIGHT(Table5[[#This Row],[Customer_Name]],LEN(Table5[[#This Row],[Customer_Name]])-FIND(",",Table5[[#This Row],[Customer_Name]])-1)</f>
        <v>Sarah</v>
      </c>
      <c r="C119" s="29" t="str">
        <f>LEFT(Table5[[#This Row],[Customer_Name]],FIND(",",Table5[[#This Row],[Customer_Name]])-1)</f>
        <v>Brown</v>
      </c>
      <c r="D119" s="30" t="str">
        <f>LEFT(Table5[[#This Row],[First_Name]],2)&amp;LEFT(Table5[[#This Row],[Last_Name]],2)&amp;ROW()</f>
        <v>SaBr119</v>
      </c>
    </row>
    <row r="120" spans="1:4" x14ac:dyDescent="0.25">
      <c r="A120" s="23" t="s">
        <v>142</v>
      </c>
      <c r="B120" s="29" t="str">
        <f>RIGHT(Table5[[#This Row],[Customer_Name]],LEN(Table5[[#This Row],[Customer_Name]])-FIND(",",Table5[[#This Row],[Customer_Name]])-1)</f>
        <v>Emma</v>
      </c>
      <c r="C120" s="29" t="str">
        <f>LEFT(Table5[[#This Row],[Customer_Name]],FIND(",",Table5[[#This Row],[Customer_Name]])-1)</f>
        <v>Martinez</v>
      </c>
      <c r="D120" s="30" t="str">
        <f>LEFT(Table5[[#This Row],[First_Name]],2)&amp;LEFT(Table5[[#This Row],[Last_Name]],2)&amp;ROW()</f>
        <v>EmMa120</v>
      </c>
    </row>
    <row r="121" spans="1:4" x14ac:dyDescent="0.25">
      <c r="A121" s="23" t="s">
        <v>240</v>
      </c>
      <c r="B121" s="29" t="str">
        <f>RIGHT(Table5[[#This Row],[Customer_Name]],LEN(Table5[[#This Row],[Customer_Name]])-FIND(",",Table5[[#This Row],[Customer_Name]])-1)</f>
        <v>David</v>
      </c>
      <c r="C121" s="29" t="str">
        <f>LEFT(Table5[[#This Row],[Customer_Name]],FIND(",",Table5[[#This Row],[Customer_Name]])-1)</f>
        <v>Hernandez</v>
      </c>
      <c r="D121" s="30" t="str">
        <f>LEFT(Table5[[#This Row],[First_Name]],2)&amp;LEFT(Table5[[#This Row],[Last_Name]],2)&amp;ROW()</f>
        <v>DaHe121</v>
      </c>
    </row>
    <row r="122" spans="1:4" x14ac:dyDescent="0.25">
      <c r="A122" s="23" t="s">
        <v>46</v>
      </c>
      <c r="B122" s="29" t="str">
        <f>RIGHT(Table5[[#This Row],[Customer_Name]],LEN(Table5[[#This Row],[Customer_Name]])-FIND(",",Table5[[#This Row],[Customer_Name]])-1)</f>
        <v>Michael</v>
      </c>
      <c r="C122" s="29" t="str">
        <f>LEFT(Table5[[#This Row],[Customer_Name]],FIND(",",Table5[[#This Row],[Customer_Name]])-1)</f>
        <v>Johnson</v>
      </c>
      <c r="D122" s="30" t="str">
        <f>LEFT(Table5[[#This Row],[First_Name]],2)&amp;LEFT(Table5[[#This Row],[Last_Name]],2)&amp;ROW()</f>
        <v>MiJo122</v>
      </c>
    </row>
    <row r="123" spans="1:4" x14ac:dyDescent="0.25">
      <c r="A123" s="23" t="s">
        <v>193</v>
      </c>
      <c r="B123" s="29" t="str">
        <f>RIGHT(Table5[[#This Row],[Customer_Name]],LEN(Table5[[#This Row],[Customer_Name]])-FIND(",",Table5[[#This Row],[Customer_Name]])-1)</f>
        <v>Laura</v>
      </c>
      <c r="C123" s="29" t="str">
        <f>LEFT(Table5[[#This Row],[Customer_Name]],FIND(",",Table5[[#This Row],[Customer_Name]])-1)</f>
        <v>Hernandez</v>
      </c>
      <c r="D123" s="30" t="str">
        <f>LEFT(Table5[[#This Row],[First_Name]],2)&amp;LEFT(Table5[[#This Row],[Last_Name]],2)&amp;ROW()</f>
        <v>LaHe123</v>
      </c>
    </row>
    <row r="124" spans="1:4" x14ac:dyDescent="0.25">
      <c r="A124" s="23" t="s">
        <v>81</v>
      </c>
      <c r="B124" s="29" t="str">
        <f>RIGHT(Table5[[#This Row],[Customer_Name]],LEN(Table5[[#This Row],[Customer_Name]])-FIND(",",Table5[[#This Row],[Customer_Name]])-1)</f>
        <v>Sarah</v>
      </c>
      <c r="C124" s="29" t="str">
        <f>LEFT(Table5[[#This Row],[Customer_Name]],FIND(",",Table5[[#This Row],[Customer_Name]])-1)</f>
        <v>Smith</v>
      </c>
      <c r="D124" s="30" t="str">
        <f>LEFT(Table5[[#This Row],[First_Name]],2)&amp;LEFT(Table5[[#This Row],[Last_Name]],2)&amp;ROW()</f>
        <v>SaSm124</v>
      </c>
    </row>
    <row r="125" spans="1:4" x14ac:dyDescent="0.25">
      <c r="A125" s="23" t="s">
        <v>199</v>
      </c>
      <c r="B125" s="29" t="str">
        <f>RIGHT(Table5[[#This Row],[Customer_Name]],LEN(Table5[[#This Row],[Customer_Name]])-FIND(",",Table5[[#This Row],[Customer_Name]])-1)</f>
        <v>Emily</v>
      </c>
      <c r="C125" s="29" t="str">
        <f>LEFT(Table5[[#This Row],[Customer_Name]],FIND(",",Table5[[#This Row],[Customer_Name]])-1)</f>
        <v>Davis</v>
      </c>
      <c r="D125" s="30" t="str">
        <f>LEFT(Table5[[#This Row],[First_Name]],2)&amp;LEFT(Table5[[#This Row],[Last_Name]],2)&amp;ROW()</f>
        <v>EmDa125</v>
      </c>
    </row>
    <row r="126" spans="1:4" x14ac:dyDescent="0.25">
      <c r="A126" s="23" t="s">
        <v>246</v>
      </c>
      <c r="B126" s="29" t="str">
        <f>RIGHT(Table5[[#This Row],[Customer_Name]],LEN(Table5[[#This Row],[Customer_Name]])-FIND(",",Table5[[#This Row],[Customer_Name]])-1)</f>
        <v>John</v>
      </c>
      <c r="C126" s="29" t="str">
        <f>LEFT(Table5[[#This Row],[Customer_Name]],FIND(",",Table5[[#This Row],[Customer_Name]])-1)</f>
        <v>Martinez</v>
      </c>
      <c r="D126" s="30" t="str">
        <f>LEFT(Table5[[#This Row],[First_Name]],2)&amp;LEFT(Table5[[#This Row],[Last_Name]],2)&amp;ROW()</f>
        <v>JoMa126</v>
      </c>
    </row>
    <row r="127" spans="1:4" x14ac:dyDescent="0.25">
      <c r="A127" s="23" t="s">
        <v>183</v>
      </c>
      <c r="B127" s="29" t="str">
        <f>RIGHT(Table5[[#This Row],[Customer_Name]],LEN(Table5[[#This Row],[Customer_Name]])-FIND(",",Table5[[#This Row],[Customer_Name]])-1)</f>
        <v>Michael</v>
      </c>
      <c r="C127" s="29" t="str">
        <f>LEFT(Table5[[#This Row],[Customer_Name]],FIND(",",Table5[[#This Row],[Customer_Name]])-1)</f>
        <v>Davis</v>
      </c>
      <c r="D127" s="30" t="str">
        <f>LEFT(Table5[[#This Row],[First_Name]],2)&amp;LEFT(Table5[[#This Row],[Last_Name]],2)&amp;ROW()</f>
        <v>MiDa127</v>
      </c>
    </row>
    <row r="128" spans="1:4" x14ac:dyDescent="0.25">
      <c r="A128" s="23" t="s">
        <v>249</v>
      </c>
      <c r="B128" s="29" t="str">
        <f>RIGHT(Table5[[#This Row],[Customer_Name]],LEN(Table5[[#This Row],[Customer_Name]])-FIND(",",Table5[[#This Row],[Customer_Name]])-1)</f>
        <v>David</v>
      </c>
      <c r="C128" s="29" t="str">
        <f>LEFT(Table5[[#This Row],[Customer_Name]],FIND(",",Table5[[#This Row],[Customer_Name]])-1)</f>
        <v>Garcia</v>
      </c>
      <c r="D128" s="30" t="str">
        <f>LEFT(Table5[[#This Row],[First_Name]],2)&amp;LEFT(Table5[[#This Row],[Last_Name]],2)&amp;ROW()</f>
        <v>DaGa128</v>
      </c>
    </row>
    <row r="129" spans="1:4" x14ac:dyDescent="0.25">
      <c r="A129" s="23" t="s">
        <v>34</v>
      </c>
      <c r="B129" s="29" t="str">
        <f>RIGHT(Table5[[#This Row],[Customer_Name]],LEN(Table5[[#This Row],[Customer_Name]])-FIND(",",Table5[[#This Row],[Customer_Name]])-1)</f>
        <v>Daniel</v>
      </c>
      <c r="C129" s="29" t="str">
        <f>LEFT(Table5[[#This Row],[Customer_Name]],FIND(",",Table5[[#This Row],[Customer_Name]])-1)</f>
        <v>Miller</v>
      </c>
      <c r="D129" s="30" t="str">
        <f>LEFT(Table5[[#This Row],[First_Name]],2)&amp;LEFT(Table5[[#This Row],[Last_Name]],2)&amp;ROW()</f>
        <v>DaMi129</v>
      </c>
    </row>
    <row r="130" spans="1:4" x14ac:dyDescent="0.25">
      <c r="A130" s="23" t="s">
        <v>207</v>
      </c>
      <c r="B130" s="29" t="str">
        <f>RIGHT(Table5[[#This Row],[Customer_Name]],LEN(Table5[[#This Row],[Customer_Name]])-FIND(",",Table5[[#This Row],[Customer_Name]])-1)</f>
        <v>Sarah</v>
      </c>
      <c r="C130" s="29" t="str">
        <f>LEFT(Table5[[#This Row],[Customer_Name]],FIND(",",Table5[[#This Row],[Customer_Name]])-1)</f>
        <v>Miller</v>
      </c>
      <c r="D130" s="30" t="str">
        <f>LEFT(Table5[[#This Row],[First_Name]],2)&amp;LEFT(Table5[[#This Row],[Last_Name]],2)&amp;ROW()</f>
        <v>SaMi130</v>
      </c>
    </row>
    <row r="131" spans="1:4" x14ac:dyDescent="0.25">
      <c r="A131" s="23" t="s">
        <v>193</v>
      </c>
      <c r="B131" s="29" t="str">
        <f>RIGHT(Table5[[#This Row],[Customer_Name]],LEN(Table5[[#This Row],[Customer_Name]])-FIND(",",Table5[[#This Row],[Customer_Name]])-1)</f>
        <v>Laura</v>
      </c>
      <c r="C131" s="29" t="str">
        <f>LEFT(Table5[[#This Row],[Customer_Name]],FIND(",",Table5[[#This Row],[Customer_Name]])-1)</f>
        <v>Hernandez</v>
      </c>
      <c r="D131" s="30" t="str">
        <f>LEFT(Table5[[#This Row],[First_Name]],2)&amp;LEFT(Table5[[#This Row],[Last_Name]],2)&amp;ROW()</f>
        <v>LaHe131</v>
      </c>
    </row>
    <row r="132" spans="1:4" x14ac:dyDescent="0.25">
      <c r="A132" s="23" t="s">
        <v>15</v>
      </c>
      <c r="B132" s="29" t="str">
        <f>RIGHT(Table5[[#This Row],[Customer_Name]],LEN(Table5[[#This Row],[Customer_Name]])-FIND(",",Table5[[#This Row],[Customer_Name]])-1)</f>
        <v>Emily</v>
      </c>
      <c r="C132" s="29" t="str">
        <f>LEFT(Table5[[#This Row],[Customer_Name]],FIND(",",Table5[[#This Row],[Customer_Name]])-1)</f>
        <v>Smith</v>
      </c>
      <c r="D132" s="30" t="str">
        <f>LEFT(Table5[[#This Row],[First_Name]],2)&amp;LEFT(Table5[[#This Row],[Last_Name]],2)&amp;ROW()</f>
        <v>EmSm132</v>
      </c>
    </row>
    <row r="133" spans="1:4" x14ac:dyDescent="0.25">
      <c r="A133" s="23" t="s">
        <v>156</v>
      </c>
      <c r="B133" s="29" t="str">
        <f>RIGHT(Table5[[#This Row],[Customer_Name]],LEN(Table5[[#This Row],[Customer_Name]])-FIND(",",Table5[[#This Row],[Customer_Name]])-1)</f>
        <v>James</v>
      </c>
      <c r="C133" s="29" t="str">
        <f>LEFT(Table5[[#This Row],[Customer_Name]],FIND(",",Table5[[#This Row],[Customer_Name]])-1)</f>
        <v>Hernandez</v>
      </c>
      <c r="D133" s="30" t="str">
        <f>LEFT(Table5[[#This Row],[First_Name]],2)&amp;LEFT(Table5[[#This Row],[Last_Name]],2)&amp;ROW()</f>
        <v>JaHe133</v>
      </c>
    </row>
    <row r="134" spans="1:4" x14ac:dyDescent="0.25">
      <c r="A134" s="23" t="s">
        <v>30</v>
      </c>
      <c r="B134" s="29" t="str">
        <f>RIGHT(Table5[[#This Row],[Customer_Name]],LEN(Table5[[#This Row],[Customer_Name]])-FIND(",",Table5[[#This Row],[Customer_Name]])-1)</f>
        <v>John</v>
      </c>
      <c r="C134" s="29" t="str">
        <f>LEFT(Table5[[#This Row],[Customer_Name]],FIND(",",Table5[[#This Row],[Customer_Name]])-1)</f>
        <v>Davis</v>
      </c>
      <c r="D134" s="30" t="str">
        <f>LEFT(Table5[[#This Row],[First_Name]],2)&amp;LEFT(Table5[[#This Row],[Last_Name]],2)&amp;ROW()</f>
        <v>JoDa134</v>
      </c>
    </row>
    <row r="135" spans="1:4" x14ac:dyDescent="0.25">
      <c r="A135" s="23" t="s">
        <v>257</v>
      </c>
      <c r="B135" s="29" t="str">
        <f>RIGHT(Table5[[#This Row],[Customer_Name]],LEN(Table5[[#This Row],[Customer_Name]])-FIND(",",Table5[[#This Row],[Customer_Name]])-1)</f>
        <v>James</v>
      </c>
      <c r="C135" s="29" t="str">
        <f>LEFT(Table5[[#This Row],[Customer_Name]],FIND(",",Table5[[#This Row],[Customer_Name]])-1)</f>
        <v>Smith</v>
      </c>
      <c r="D135" s="30" t="str">
        <f>LEFT(Table5[[#This Row],[First_Name]],2)&amp;LEFT(Table5[[#This Row],[Last_Name]],2)&amp;ROW()</f>
        <v>JaSm135</v>
      </c>
    </row>
    <row r="136" spans="1:4" x14ac:dyDescent="0.25">
      <c r="A136" s="23" t="s">
        <v>117</v>
      </c>
      <c r="B136" s="29" t="str">
        <f>RIGHT(Table5[[#This Row],[Customer_Name]],LEN(Table5[[#This Row],[Customer_Name]])-FIND(",",Table5[[#This Row],[Customer_Name]])-1)</f>
        <v>David</v>
      </c>
      <c r="C136" s="29" t="str">
        <f>LEFT(Table5[[#This Row],[Customer_Name]],FIND(",",Table5[[#This Row],[Customer_Name]])-1)</f>
        <v>Miller</v>
      </c>
      <c r="D136" s="30" t="str">
        <f>LEFT(Table5[[#This Row],[First_Name]],2)&amp;LEFT(Table5[[#This Row],[Last_Name]],2)&amp;ROW()</f>
        <v>DaMi136</v>
      </c>
    </row>
    <row r="137" spans="1:4" x14ac:dyDescent="0.25">
      <c r="A137" s="23" t="s">
        <v>226</v>
      </c>
      <c r="B137" s="29" t="str">
        <f>RIGHT(Table5[[#This Row],[Customer_Name]],LEN(Table5[[#This Row],[Customer_Name]])-FIND(",",Table5[[#This Row],[Customer_Name]])-1)</f>
        <v>Emily</v>
      </c>
      <c r="C137" s="29" t="str">
        <f>LEFT(Table5[[#This Row],[Customer_Name]],FIND(",",Table5[[#This Row],[Customer_Name]])-1)</f>
        <v>Miller</v>
      </c>
      <c r="D137" s="30" t="str">
        <f>LEFT(Table5[[#This Row],[First_Name]],2)&amp;LEFT(Table5[[#This Row],[Last_Name]],2)&amp;ROW()</f>
        <v>EmMi137</v>
      </c>
    </row>
    <row r="138" spans="1:4" x14ac:dyDescent="0.25">
      <c r="A138" s="23" t="s">
        <v>261</v>
      </c>
      <c r="B138" s="29" t="str">
        <f>RIGHT(Table5[[#This Row],[Customer_Name]],LEN(Table5[[#This Row],[Customer_Name]])-FIND(",",Table5[[#This Row],[Customer_Name]])-1)</f>
        <v>Emily</v>
      </c>
      <c r="C138" s="29" t="str">
        <f>LEFT(Table5[[#This Row],[Customer_Name]],FIND(",",Table5[[#This Row],[Customer_Name]])-1)</f>
        <v>Brown</v>
      </c>
      <c r="D138" s="30" t="str">
        <f>LEFT(Table5[[#This Row],[First_Name]],2)&amp;LEFT(Table5[[#This Row],[Last_Name]],2)&amp;ROW()</f>
        <v>EmBr138</v>
      </c>
    </row>
    <row r="139" spans="1:4" x14ac:dyDescent="0.25">
      <c r="A139" s="23" t="s">
        <v>119</v>
      </c>
      <c r="B139" s="29" t="str">
        <f>RIGHT(Table5[[#This Row],[Customer_Name]],LEN(Table5[[#This Row],[Customer_Name]])-FIND(",",Table5[[#This Row],[Customer_Name]])-1)</f>
        <v>Michael</v>
      </c>
      <c r="C139" s="29" t="str">
        <f>LEFT(Table5[[#This Row],[Customer_Name]],FIND(",",Table5[[#This Row],[Customer_Name]])-1)</f>
        <v>Smith</v>
      </c>
      <c r="D139" s="30" t="str">
        <f>LEFT(Table5[[#This Row],[First_Name]],2)&amp;LEFT(Table5[[#This Row],[Last_Name]],2)&amp;ROW()</f>
        <v>MiSm139</v>
      </c>
    </row>
    <row r="140" spans="1:4" x14ac:dyDescent="0.25">
      <c r="A140" s="23" t="s">
        <v>231</v>
      </c>
      <c r="B140" s="29" t="str">
        <f>RIGHT(Table5[[#This Row],[Customer_Name]],LEN(Table5[[#This Row],[Customer_Name]])-FIND(",",Table5[[#This Row],[Customer_Name]])-1)</f>
        <v>Emily</v>
      </c>
      <c r="C140" s="29" t="str">
        <f>LEFT(Table5[[#This Row],[Customer_Name]],FIND(",",Table5[[#This Row],[Customer_Name]])-1)</f>
        <v>Martinez</v>
      </c>
      <c r="D140" s="30" t="str">
        <f>LEFT(Table5[[#This Row],[First_Name]],2)&amp;LEFT(Table5[[#This Row],[Last_Name]],2)&amp;ROW()</f>
        <v>EmMa140</v>
      </c>
    </row>
    <row r="141" spans="1:4" x14ac:dyDescent="0.25">
      <c r="A141" s="23" t="s">
        <v>170</v>
      </c>
      <c r="B141" s="29" t="str">
        <f>RIGHT(Table5[[#This Row],[Customer_Name]],LEN(Table5[[#This Row],[Customer_Name]])-FIND(",",Table5[[#This Row],[Customer_Name]])-1)</f>
        <v>Michael</v>
      </c>
      <c r="C141" s="29" t="str">
        <f>LEFT(Table5[[#This Row],[Customer_Name]],FIND(",",Table5[[#This Row],[Customer_Name]])-1)</f>
        <v>Jones</v>
      </c>
      <c r="D141" s="30" t="str">
        <f>LEFT(Table5[[#This Row],[First_Name]],2)&amp;LEFT(Table5[[#This Row],[Last_Name]],2)&amp;ROW()</f>
        <v>MiJo141</v>
      </c>
    </row>
    <row r="142" spans="1:4" x14ac:dyDescent="0.25">
      <c r="A142" s="23" t="s">
        <v>168</v>
      </c>
      <c r="B142" s="29" t="str">
        <f>RIGHT(Table5[[#This Row],[Customer_Name]],LEN(Table5[[#This Row],[Customer_Name]])-FIND(",",Table5[[#This Row],[Customer_Name]])-1)</f>
        <v>Daniel</v>
      </c>
      <c r="C142" s="29" t="str">
        <f>LEFT(Table5[[#This Row],[Customer_Name]],FIND(",",Table5[[#This Row],[Customer_Name]])-1)</f>
        <v>Martinez</v>
      </c>
      <c r="D142" s="30" t="str">
        <f>LEFT(Table5[[#This Row],[First_Name]],2)&amp;LEFT(Table5[[#This Row],[Last_Name]],2)&amp;ROW()</f>
        <v>DaMa142</v>
      </c>
    </row>
    <row r="143" spans="1:4" x14ac:dyDescent="0.25">
      <c r="A143" s="23" t="s">
        <v>145</v>
      </c>
      <c r="B143" s="29" t="str">
        <f>RIGHT(Table5[[#This Row],[Customer_Name]],LEN(Table5[[#This Row],[Customer_Name]])-FIND(",",Table5[[#This Row],[Customer_Name]])-1)</f>
        <v>Daniel</v>
      </c>
      <c r="C143" s="29" t="str">
        <f>LEFT(Table5[[#This Row],[Customer_Name]],FIND(",",Table5[[#This Row],[Customer_Name]])-1)</f>
        <v>Johnson</v>
      </c>
      <c r="D143" s="30" t="str">
        <f>LEFT(Table5[[#This Row],[First_Name]],2)&amp;LEFT(Table5[[#This Row],[Last_Name]],2)&amp;ROW()</f>
        <v>DaJo143</v>
      </c>
    </row>
    <row r="144" spans="1:4" x14ac:dyDescent="0.25">
      <c r="A144" s="23" t="s">
        <v>268</v>
      </c>
      <c r="B144" s="29" t="str">
        <f>RIGHT(Table5[[#This Row],[Customer_Name]],LEN(Table5[[#This Row],[Customer_Name]])-FIND(",",Table5[[#This Row],[Customer_Name]])-1)</f>
        <v>James</v>
      </c>
      <c r="C144" s="29" t="str">
        <f>LEFT(Table5[[#This Row],[Customer_Name]],FIND(",",Table5[[#This Row],[Customer_Name]])-1)</f>
        <v>Brown</v>
      </c>
      <c r="D144" s="30" t="str">
        <f>LEFT(Table5[[#This Row],[First_Name]],2)&amp;LEFT(Table5[[#This Row],[Last_Name]],2)&amp;ROW()</f>
        <v>JaBr144</v>
      </c>
    </row>
    <row r="145" spans="1:4" x14ac:dyDescent="0.25">
      <c r="A145" s="23" t="s">
        <v>233</v>
      </c>
      <c r="B145" s="29" t="str">
        <f>RIGHT(Table5[[#This Row],[Customer_Name]],LEN(Table5[[#This Row],[Customer_Name]])-FIND(",",Table5[[#This Row],[Customer_Name]])-1)</f>
        <v>Daniel</v>
      </c>
      <c r="C145" s="29" t="str">
        <f>LEFT(Table5[[#This Row],[Customer_Name]],FIND(",",Table5[[#This Row],[Customer_Name]])-1)</f>
        <v>Hernandez</v>
      </c>
      <c r="D145" s="30" t="str">
        <f>LEFT(Table5[[#This Row],[First_Name]],2)&amp;LEFT(Table5[[#This Row],[Last_Name]],2)&amp;ROW()</f>
        <v>DaHe145</v>
      </c>
    </row>
    <row r="146" spans="1:4" x14ac:dyDescent="0.25">
      <c r="A146" s="23" t="s">
        <v>100</v>
      </c>
      <c r="B146" s="29" t="str">
        <f>RIGHT(Table5[[#This Row],[Customer_Name]],LEN(Table5[[#This Row],[Customer_Name]])-FIND(",",Table5[[#This Row],[Customer_Name]])-1)</f>
        <v>Laura</v>
      </c>
      <c r="C146" s="29" t="str">
        <f>LEFT(Table5[[#This Row],[Customer_Name]],FIND(",",Table5[[#This Row],[Customer_Name]])-1)</f>
        <v>Jones</v>
      </c>
      <c r="D146" s="30" t="str">
        <f>LEFT(Table5[[#This Row],[First_Name]],2)&amp;LEFT(Table5[[#This Row],[Last_Name]],2)&amp;ROW()</f>
        <v>LaJo146</v>
      </c>
    </row>
    <row r="147" spans="1:4" x14ac:dyDescent="0.25">
      <c r="A147" s="23" t="s">
        <v>105</v>
      </c>
      <c r="B147" s="29" t="str">
        <f>RIGHT(Table5[[#This Row],[Customer_Name]],LEN(Table5[[#This Row],[Customer_Name]])-FIND(",",Table5[[#This Row],[Customer_Name]])-1)</f>
        <v>Laura</v>
      </c>
      <c r="C147" s="29" t="str">
        <f>LEFT(Table5[[#This Row],[Customer_Name]],FIND(",",Table5[[#This Row],[Customer_Name]])-1)</f>
        <v>Miller</v>
      </c>
      <c r="D147" s="30" t="str">
        <f>LEFT(Table5[[#This Row],[First_Name]],2)&amp;LEFT(Table5[[#This Row],[Last_Name]],2)&amp;ROW()</f>
        <v>LaMi147</v>
      </c>
    </row>
    <row r="148" spans="1:4" x14ac:dyDescent="0.25">
      <c r="A148" s="23" t="s">
        <v>137</v>
      </c>
      <c r="B148" s="29" t="str">
        <f>RIGHT(Table5[[#This Row],[Customer_Name]],LEN(Table5[[#This Row],[Customer_Name]])-FIND(",",Table5[[#This Row],[Customer_Name]])-1)</f>
        <v>David</v>
      </c>
      <c r="C148" s="29" t="str">
        <f>LEFT(Table5[[#This Row],[Customer_Name]],FIND(",",Table5[[#This Row],[Customer_Name]])-1)</f>
        <v>Jones</v>
      </c>
      <c r="D148" s="30" t="str">
        <f>LEFT(Table5[[#This Row],[First_Name]],2)&amp;LEFT(Table5[[#This Row],[Last_Name]],2)&amp;ROW()</f>
        <v>DaJo148</v>
      </c>
    </row>
    <row r="149" spans="1:4" x14ac:dyDescent="0.25">
      <c r="A149" s="23" t="s">
        <v>274</v>
      </c>
      <c r="B149" s="29" t="str">
        <f>RIGHT(Table5[[#This Row],[Customer_Name]],LEN(Table5[[#This Row],[Customer_Name]])-FIND(",",Table5[[#This Row],[Customer_Name]])-1)</f>
        <v>Sophia</v>
      </c>
      <c r="C149" s="29" t="str">
        <f>LEFT(Table5[[#This Row],[Customer_Name]],FIND(",",Table5[[#This Row],[Customer_Name]])-1)</f>
        <v>Johnson</v>
      </c>
      <c r="D149" s="30" t="str">
        <f>LEFT(Table5[[#This Row],[First_Name]],2)&amp;LEFT(Table5[[#This Row],[Last_Name]],2)&amp;ROW()</f>
        <v>SoJo149</v>
      </c>
    </row>
    <row r="150" spans="1:4" x14ac:dyDescent="0.25">
      <c r="A150" s="23" t="s">
        <v>276</v>
      </c>
      <c r="B150" s="29" t="str">
        <f>RIGHT(Table5[[#This Row],[Customer_Name]],LEN(Table5[[#This Row],[Customer_Name]])-FIND(",",Table5[[#This Row],[Customer_Name]])-1)</f>
        <v>Sophia</v>
      </c>
      <c r="C150" s="29" t="str">
        <f>LEFT(Table5[[#This Row],[Customer_Name]],FIND(",",Table5[[#This Row],[Customer_Name]])-1)</f>
        <v>Davis</v>
      </c>
      <c r="D150" s="30" t="str">
        <f>LEFT(Table5[[#This Row],[First_Name]],2)&amp;LEFT(Table5[[#This Row],[Last_Name]],2)&amp;ROW()</f>
        <v>SoDa150</v>
      </c>
    </row>
    <row r="151" spans="1:4" x14ac:dyDescent="0.25">
      <c r="A151" s="23" t="s">
        <v>278</v>
      </c>
      <c r="B151" s="29" t="str">
        <f>RIGHT(Table5[[#This Row],[Customer_Name]],LEN(Table5[[#This Row],[Customer_Name]])-FIND(",",Table5[[#This Row],[Customer_Name]])-1)</f>
        <v>Daniel</v>
      </c>
      <c r="C151" s="29" t="str">
        <f>LEFT(Table5[[#This Row],[Customer_Name]],FIND(",",Table5[[#This Row],[Customer_Name]])-1)</f>
        <v>Jones</v>
      </c>
      <c r="D151" s="30" t="str">
        <f>LEFT(Table5[[#This Row],[First_Name]],2)&amp;LEFT(Table5[[#This Row],[Last_Name]],2)&amp;ROW()</f>
        <v>DaJo151</v>
      </c>
    </row>
    <row r="152" spans="1:4" x14ac:dyDescent="0.25">
      <c r="A152" s="23" t="s">
        <v>85</v>
      </c>
      <c r="B152" s="29" t="str">
        <f>RIGHT(Table5[[#This Row],[Customer_Name]],LEN(Table5[[#This Row],[Customer_Name]])-FIND(",",Table5[[#This Row],[Customer_Name]])-1)</f>
        <v>Michael</v>
      </c>
      <c r="C152" s="29" t="str">
        <f>LEFT(Table5[[#This Row],[Customer_Name]],FIND(",",Table5[[#This Row],[Customer_Name]])-1)</f>
        <v>Miller</v>
      </c>
      <c r="D152" s="30" t="str">
        <f>LEFT(Table5[[#This Row],[First_Name]],2)&amp;LEFT(Table5[[#This Row],[Last_Name]],2)&amp;ROW()</f>
        <v>MiMi152</v>
      </c>
    </row>
    <row r="153" spans="1:4" x14ac:dyDescent="0.25">
      <c r="A153" s="23" t="s">
        <v>281</v>
      </c>
      <c r="B153" s="29" t="str">
        <f>RIGHT(Table5[[#This Row],[Customer_Name]],LEN(Table5[[#This Row],[Customer_Name]])-FIND(",",Table5[[#This Row],[Customer_Name]])-1)</f>
        <v>Laura</v>
      </c>
      <c r="C153" s="29" t="str">
        <f>LEFT(Table5[[#This Row],[Customer_Name]],FIND(",",Table5[[#This Row],[Customer_Name]])-1)</f>
        <v>Davis</v>
      </c>
      <c r="D153" s="30" t="str">
        <f>LEFT(Table5[[#This Row],[First_Name]],2)&amp;LEFT(Table5[[#This Row],[Last_Name]],2)&amp;ROW()</f>
        <v>LaDa153</v>
      </c>
    </row>
    <row r="154" spans="1:4" x14ac:dyDescent="0.25">
      <c r="A154" s="23" t="s">
        <v>115</v>
      </c>
      <c r="B154" s="29" t="str">
        <f>RIGHT(Table5[[#This Row],[Customer_Name]],LEN(Table5[[#This Row],[Customer_Name]])-FIND(",",Table5[[#This Row],[Customer_Name]])-1)</f>
        <v>Laura</v>
      </c>
      <c r="C154" s="29" t="str">
        <f>LEFT(Table5[[#This Row],[Customer_Name]],FIND(",",Table5[[#This Row],[Customer_Name]])-1)</f>
        <v>Williams</v>
      </c>
      <c r="D154" s="30" t="str">
        <f>LEFT(Table5[[#This Row],[First_Name]],2)&amp;LEFT(Table5[[#This Row],[Last_Name]],2)&amp;ROW()</f>
        <v>LaWi154</v>
      </c>
    </row>
    <row r="155" spans="1:4" x14ac:dyDescent="0.25">
      <c r="A155" s="23" t="s">
        <v>268</v>
      </c>
      <c r="B155" s="29" t="str">
        <f>RIGHT(Table5[[#This Row],[Customer_Name]],LEN(Table5[[#This Row],[Customer_Name]])-FIND(",",Table5[[#This Row],[Customer_Name]])-1)</f>
        <v>James</v>
      </c>
      <c r="C155" s="29" t="str">
        <f>LEFT(Table5[[#This Row],[Customer_Name]],FIND(",",Table5[[#This Row],[Customer_Name]])-1)</f>
        <v>Brown</v>
      </c>
      <c r="D155" s="30" t="str">
        <f>LEFT(Table5[[#This Row],[First_Name]],2)&amp;LEFT(Table5[[#This Row],[Last_Name]],2)&amp;ROW()</f>
        <v>JaBr155</v>
      </c>
    </row>
    <row r="156" spans="1:4" x14ac:dyDescent="0.25">
      <c r="A156" s="23" t="s">
        <v>34</v>
      </c>
      <c r="B156" s="29" t="str">
        <f>RIGHT(Table5[[#This Row],[Customer_Name]],LEN(Table5[[#This Row],[Customer_Name]])-FIND(",",Table5[[#This Row],[Customer_Name]])-1)</f>
        <v>Daniel</v>
      </c>
      <c r="C156" s="29" t="str">
        <f>LEFT(Table5[[#This Row],[Customer_Name]],FIND(",",Table5[[#This Row],[Customer_Name]])-1)</f>
        <v>Miller</v>
      </c>
      <c r="D156" s="30" t="str">
        <f>LEFT(Table5[[#This Row],[First_Name]],2)&amp;LEFT(Table5[[#This Row],[Last_Name]],2)&amp;ROW()</f>
        <v>DaMi156</v>
      </c>
    </row>
    <row r="157" spans="1:4" x14ac:dyDescent="0.25">
      <c r="A157" s="23" t="s">
        <v>286</v>
      </c>
      <c r="B157" s="29" t="str">
        <f>RIGHT(Table5[[#This Row],[Customer_Name]],LEN(Table5[[#This Row],[Customer_Name]])-FIND(",",Table5[[#This Row],[Customer_Name]])-1)</f>
        <v>Michael</v>
      </c>
      <c r="C157" s="29" t="str">
        <f>LEFT(Table5[[#This Row],[Customer_Name]],FIND(",",Table5[[#This Row],[Customer_Name]])-1)</f>
        <v>Hernandez</v>
      </c>
      <c r="D157" s="30" t="str">
        <f>LEFT(Table5[[#This Row],[First_Name]],2)&amp;LEFT(Table5[[#This Row],[Last_Name]],2)&amp;ROW()</f>
        <v>MiHe157</v>
      </c>
    </row>
    <row r="158" spans="1:4" x14ac:dyDescent="0.25">
      <c r="A158" s="23" t="s">
        <v>119</v>
      </c>
      <c r="B158" s="29" t="str">
        <f>RIGHT(Table5[[#This Row],[Customer_Name]],LEN(Table5[[#This Row],[Customer_Name]])-FIND(",",Table5[[#This Row],[Customer_Name]])-1)</f>
        <v>Michael</v>
      </c>
      <c r="C158" s="29" t="str">
        <f>LEFT(Table5[[#This Row],[Customer_Name]],FIND(",",Table5[[#This Row],[Customer_Name]])-1)</f>
        <v>Smith</v>
      </c>
      <c r="D158" s="30" t="str">
        <f>LEFT(Table5[[#This Row],[First_Name]],2)&amp;LEFT(Table5[[#This Row],[Last_Name]],2)&amp;ROW()</f>
        <v>MiSm158</v>
      </c>
    </row>
    <row r="159" spans="1:4" x14ac:dyDescent="0.25">
      <c r="A159" s="23" t="s">
        <v>139</v>
      </c>
      <c r="B159" s="29" t="str">
        <f>RIGHT(Table5[[#This Row],[Customer_Name]],LEN(Table5[[#This Row],[Customer_Name]])-FIND(",",Table5[[#This Row],[Customer_Name]])-1)</f>
        <v>Sarah</v>
      </c>
      <c r="C159" s="29" t="str">
        <f>LEFT(Table5[[#This Row],[Customer_Name]],FIND(",",Table5[[#This Row],[Customer_Name]])-1)</f>
        <v>Brown</v>
      </c>
      <c r="D159" s="30" t="str">
        <f>LEFT(Table5[[#This Row],[First_Name]],2)&amp;LEFT(Table5[[#This Row],[Last_Name]],2)&amp;ROW()</f>
        <v>SaBr159</v>
      </c>
    </row>
    <row r="160" spans="1:4" x14ac:dyDescent="0.25">
      <c r="A160" s="23" t="s">
        <v>95</v>
      </c>
      <c r="B160" s="29" t="str">
        <f>RIGHT(Table5[[#This Row],[Customer_Name]],LEN(Table5[[#This Row],[Customer_Name]])-FIND(",",Table5[[#This Row],[Customer_Name]])-1)</f>
        <v>Daniel</v>
      </c>
      <c r="C160" s="29" t="str">
        <f>LEFT(Table5[[#This Row],[Customer_Name]],FIND(",",Table5[[#This Row],[Customer_Name]])-1)</f>
        <v>Williams</v>
      </c>
      <c r="D160" s="30" t="str">
        <f>LEFT(Table5[[#This Row],[First_Name]],2)&amp;LEFT(Table5[[#This Row],[Last_Name]],2)&amp;ROW()</f>
        <v>DaWi160</v>
      </c>
    </row>
    <row r="161" spans="1:4" x14ac:dyDescent="0.25">
      <c r="A161" s="23" t="s">
        <v>291</v>
      </c>
      <c r="B161" s="29" t="str">
        <f>RIGHT(Table5[[#This Row],[Customer_Name]],LEN(Table5[[#This Row],[Customer_Name]])-FIND(",",Table5[[#This Row],[Customer_Name]])-1)</f>
        <v>John</v>
      </c>
      <c r="C161" s="29" t="str">
        <f>LEFT(Table5[[#This Row],[Customer_Name]],FIND(",",Table5[[#This Row],[Customer_Name]])-1)</f>
        <v>Brown</v>
      </c>
      <c r="D161" s="30" t="str">
        <f>LEFT(Table5[[#This Row],[First_Name]],2)&amp;LEFT(Table5[[#This Row],[Last_Name]],2)&amp;ROW()</f>
        <v>JoBr161</v>
      </c>
    </row>
    <row r="162" spans="1:4" x14ac:dyDescent="0.25">
      <c r="A162" s="23" t="s">
        <v>293</v>
      </c>
      <c r="B162" s="29" t="str">
        <f>RIGHT(Table5[[#This Row],[Customer_Name]],LEN(Table5[[#This Row],[Customer_Name]])-FIND(",",Table5[[#This Row],[Customer_Name]])-1)</f>
        <v>David</v>
      </c>
      <c r="C162" s="29" t="str">
        <f>LEFT(Table5[[#This Row],[Customer_Name]],FIND(",",Table5[[#This Row],[Customer_Name]])-1)</f>
        <v>Martinez</v>
      </c>
      <c r="D162" s="30" t="str">
        <f>LEFT(Table5[[#This Row],[First_Name]],2)&amp;LEFT(Table5[[#This Row],[Last_Name]],2)&amp;ROW()</f>
        <v>DaMa162</v>
      </c>
    </row>
    <row r="163" spans="1:4" x14ac:dyDescent="0.25">
      <c r="A163" s="23" t="s">
        <v>62</v>
      </c>
      <c r="B163" s="29" t="str">
        <f>RIGHT(Table5[[#This Row],[Customer_Name]],LEN(Table5[[#This Row],[Customer_Name]])-FIND(",",Table5[[#This Row],[Customer_Name]])-1)</f>
        <v>Laura</v>
      </c>
      <c r="C163" s="29" t="str">
        <f>LEFT(Table5[[#This Row],[Customer_Name]],FIND(",",Table5[[#This Row],[Customer_Name]])-1)</f>
        <v>Martinez</v>
      </c>
      <c r="D163" s="30" t="str">
        <f>LEFT(Table5[[#This Row],[First_Name]],2)&amp;LEFT(Table5[[#This Row],[Last_Name]],2)&amp;ROW()</f>
        <v>LaMa163</v>
      </c>
    </row>
    <row r="164" spans="1:4" x14ac:dyDescent="0.25">
      <c r="A164" s="23" t="s">
        <v>62</v>
      </c>
      <c r="B164" s="29" t="str">
        <f>RIGHT(Table5[[#This Row],[Customer_Name]],LEN(Table5[[#This Row],[Customer_Name]])-FIND(",",Table5[[#This Row],[Customer_Name]])-1)</f>
        <v>Laura</v>
      </c>
      <c r="C164" s="29" t="str">
        <f>LEFT(Table5[[#This Row],[Customer_Name]],FIND(",",Table5[[#This Row],[Customer_Name]])-1)</f>
        <v>Martinez</v>
      </c>
      <c r="D164" s="30" t="str">
        <f>LEFT(Table5[[#This Row],[First_Name]],2)&amp;LEFT(Table5[[#This Row],[Last_Name]],2)&amp;ROW()</f>
        <v>LaMa164</v>
      </c>
    </row>
    <row r="165" spans="1:4" x14ac:dyDescent="0.25">
      <c r="A165" s="23" t="s">
        <v>297</v>
      </c>
      <c r="B165" s="29" t="str">
        <f>RIGHT(Table5[[#This Row],[Customer_Name]],LEN(Table5[[#This Row],[Customer_Name]])-FIND(",",Table5[[#This Row],[Customer_Name]])-1)</f>
        <v>Emily</v>
      </c>
      <c r="C165" s="29" t="str">
        <f>LEFT(Table5[[#This Row],[Customer_Name]],FIND(",",Table5[[#This Row],[Customer_Name]])-1)</f>
        <v>Johnson</v>
      </c>
      <c r="D165" s="30" t="str">
        <f>LEFT(Table5[[#This Row],[First_Name]],2)&amp;LEFT(Table5[[#This Row],[Last_Name]],2)&amp;ROW()</f>
        <v>EmJo165</v>
      </c>
    </row>
    <row r="166" spans="1:4" x14ac:dyDescent="0.25">
      <c r="A166" s="23" t="s">
        <v>211</v>
      </c>
      <c r="B166" s="29" t="str">
        <f>RIGHT(Table5[[#This Row],[Customer_Name]],LEN(Table5[[#This Row],[Customer_Name]])-FIND(",",Table5[[#This Row],[Customer_Name]])-1)</f>
        <v>Emma</v>
      </c>
      <c r="C166" s="29" t="str">
        <f>LEFT(Table5[[#This Row],[Customer_Name]],FIND(",",Table5[[#This Row],[Customer_Name]])-1)</f>
        <v>Garcia</v>
      </c>
      <c r="D166" s="30" t="str">
        <f>LEFT(Table5[[#This Row],[First_Name]],2)&amp;LEFT(Table5[[#This Row],[Last_Name]],2)&amp;ROW()</f>
        <v>EmGa166</v>
      </c>
    </row>
    <row r="167" spans="1:4" x14ac:dyDescent="0.25">
      <c r="A167" s="23" t="s">
        <v>300</v>
      </c>
      <c r="B167" s="29" t="str">
        <f>RIGHT(Table5[[#This Row],[Customer_Name]],LEN(Table5[[#This Row],[Customer_Name]])-FIND(",",Table5[[#This Row],[Customer_Name]])-1)</f>
        <v>John</v>
      </c>
      <c r="C167" s="29" t="str">
        <f>LEFT(Table5[[#This Row],[Customer_Name]],FIND(",",Table5[[#This Row],[Customer_Name]])-1)</f>
        <v>Garcia</v>
      </c>
      <c r="D167" s="30" t="str">
        <f>LEFT(Table5[[#This Row],[First_Name]],2)&amp;LEFT(Table5[[#This Row],[Last_Name]],2)&amp;ROW()</f>
        <v>JoGa167</v>
      </c>
    </row>
    <row r="168" spans="1:4" x14ac:dyDescent="0.25">
      <c r="A168" s="23" t="s">
        <v>110</v>
      </c>
      <c r="B168" s="29" t="str">
        <f>RIGHT(Table5[[#This Row],[Customer_Name]],LEN(Table5[[#This Row],[Customer_Name]])-FIND(",",Table5[[#This Row],[Customer_Name]])-1)</f>
        <v>Sophia</v>
      </c>
      <c r="C168" s="29" t="str">
        <f>LEFT(Table5[[#This Row],[Customer_Name]],FIND(",",Table5[[#This Row],[Customer_Name]])-1)</f>
        <v>Smith</v>
      </c>
      <c r="D168" s="30" t="str">
        <f>LEFT(Table5[[#This Row],[First_Name]],2)&amp;LEFT(Table5[[#This Row],[Last_Name]],2)&amp;ROW()</f>
        <v>SoSm168</v>
      </c>
    </row>
    <row r="169" spans="1:4" x14ac:dyDescent="0.25">
      <c r="A169" s="23" t="s">
        <v>303</v>
      </c>
      <c r="B169" s="29" t="str">
        <f>RIGHT(Table5[[#This Row],[Customer_Name]],LEN(Table5[[#This Row],[Customer_Name]])-FIND(",",Table5[[#This Row],[Customer_Name]])-1)</f>
        <v>Emily</v>
      </c>
      <c r="C169" s="29" t="str">
        <f>LEFT(Table5[[#This Row],[Customer_Name]],FIND(",",Table5[[#This Row],[Customer_Name]])-1)</f>
        <v>Jones</v>
      </c>
      <c r="D169" s="30" t="str">
        <f>LEFT(Table5[[#This Row],[First_Name]],2)&amp;LEFT(Table5[[#This Row],[Last_Name]],2)&amp;ROW()</f>
        <v>EmJo169</v>
      </c>
    </row>
    <row r="170" spans="1:4" x14ac:dyDescent="0.25">
      <c r="A170" s="23" t="s">
        <v>115</v>
      </c>
      <c r="B170" s="29" t="str">
        <f>RIGHT(Table5[[#This Row],[Customer_Name]],LEN(Table5[[#This Row],[Customer_Name]])-FIND(",",Table5[[#This Row],[Customer_Name]])-1)</f>
        <v>Laura</v>
      </c>
      <c r="C170" s="29" t="str">
        <f>LEFT(Table5[[#This Row],[Customer_Name]],FIND(",",Table5[[#This Row],[Customer_Name]])-1)</f>
        <v>Williams</v>
      </c>
      <c r="D170" s="30" t="str">
        <f>LEFT(Table5[[#This Row],[First_Name]],2)&amp;LEFT(Table5[[#This Row],[Last_Name]],2)&amp;ROW()</f>
        <v>LaWi170</v>
      </c>
    </row>
    <row r="171" spans="1:4" x14ac:dyDescent="0.25">
      <c r="A171" s="23" t="s">
        <v>306</v>
      </c>
      <c r="B171" s="29" t="str">
        <f>RIGHT(Table5[[#This Row],[Customer_Name]],LEN(Table5[[#This Row],[Customer_Name]])-FIND(",",Table5[[#This Row],[Customer_Name]])-1)</f>
        <v>James</v>
      </c>
      <c r="C171" s="29" t="str">
        <f>LEFT(Table5[[#This Row],[Customer_Name]],FIND(",",Table5[[#This Row],[Customer_Name]])-1)</f>
        <v>Miller</v>
      </c>
      <c r="D171" s="30" t="str">
        <f>LEFT(Table5[[#This Row],[First_Name]],2)&amp;LEFT(Table5[[#This Row],[Last_Name]],2)&amp;ROW()</f>
        <v>JaMi171</v>
      </c>
    </row>
    <row r="172" spans="1:4" x14ac:dyDescent="0.25">
      <c r="A172" s="23" t="s">
        <v>50</v>
      </c>
      <c r="B172" s="29" t="str">
        <f>RIGHT(Table5[[#This Row],[Customer_Name]],LEN(Table5[[#This Row],[Customer_Name]])-FIND(",",Table5[[#This Row],[Customer_Name]])-1)</f>
        <v>Emma</v>
      </c>
      <c r="C172" s="29" t="str">
        <f>LEFT(Table5[[#This Row],[Customer_Name]],FIND(",",Table5[[#This Row],[Customer_Name]])-1)</f>
        <v>Hernandez</v>
      </c>
      <c r="D172" s="30" t="str">
        <f>LEFT(Table5[[#This Row],[First_Name]],2)&amp;LEFT(Table5[[#This Row],[Last_Name]],2)&amp;ROW()</f>
        <v>EmHe172</v>
      </c>
    </row>
    <row r="173" spans="1:4" x14ac:dyDescent="0.25">
      <c r="A173" s="23" t="s">
        <v>306</v>
      </c>
      <c r="B173" s="29" t="str">
        <f>RIGHT(Table5[[#This Row],[Customer_Name]],LEN(Table5[[#This Row],[Customer_Name]])-FIND(",",Table5[[#This Row],[Customer_Name]])-1)</f>
        <v>James</v>
      </c>
      <c r="C173" s="29" t="str">
        <f>LEFT(Table5[[#This Row],[Customer_Name]],FIND(",",Table5[[#This Row],[Customer_Name]])-1)</f>
        <v>Miller</v>
      </c>
      <c r="D173" s="30" t="str">
        <f>LEFT(Table5[[#This Row],[First_Name]],2)&amp;LEFT(Table5[[#This Row],[Last_Name]],2)&amp;ROW()</f>
        <v>JaMi173</v>
      </c>
    </row>
    <row r="174" spans="1:4" x14ac:dyDescent="0.25">
      <c r="A174" s="23" t="s">
        <v>154</v>
      </c>
      <c r="B174" s="29" t="str">
        <f>RIGHT(Table5[[#This Row],[Customer_Name]],LEN(Table5[[#This Row],[Customer_Name]])-FIND(",",Table5[[#This Row],[Customer_Name]])-1)</f>
        <v>Michael</v>
      </c>
      <c r="C174" s="29" t="str">
        <f>LEFT(Table5[[#This Row],[Customer_Name]],FIND(",",Table5[[#This Row],[Customer_Name]])-1)</f>
        <v>Williams</v>
      </c>
      <c r="D174" s="30" t="str">
        <f>LEFT(Table5[[#This Row],[First_Name]],2)&amp;LEFT(Table5[[#This Row],[Last_Name]],2)&amp;ROW()</f>
        <v>MiWi174</v>
      </c>
    </row>
    <row r="175" spans="1:4" x14ac:dyDescent="0.25">
      <c r="A175" s="23" t="s">
        <v>193</v>
      </c>
      <c r="B175" s="29" t="str">
        <f>RIGHT(Table5[[#This Row],[Customer_Name]],LEN(Table5[[#This Row],[Customer_Name]])-FIND(",",Table5[[#This Row],[Customer_Name]])-1)</f>
        <v>Laura</v>
      </c>
      <c r="C175" s="29" t="str">
        <f>LEFT(Table5[[#This Row],[Customer_Name]],FIND(",",Table5[[#This Row],[Customer_Name]])-1)</f>
        <v>Hernandez</v>
      </c>
      <c r="D175" s="30" t="str">
        <f>LEFT(Table5[[#This Row],[First_Name]],2)&amp;LEFT(Table5[[#This Row],[Last_Name]],2)&amp;ROW()</f>
        <v>LaHe175</v>
      </c>
    </row>
    <row r="176" spans="1:4" x14ac:dyDescent="0.25">
      <c r="A176" s="23" t="s">
        <v>209</v>
      </c>
      <c r="B176" s="29" t="str">
        <f>RIGHT(Table5[[#This Row],[Customer_Name]],LEN(Table5[[#This Row],[Customer_Name]])-FIND(",",Table5[[#This Row],[Customer_Name]])-1)</f>
        <v>James</v>
      </c>
      <c r="C176" s="29" t="str">
        <f>LEFT(Table5[[#This Row],[Customer_Name]],FIND(",",Table5[[#This Row],[Customer_Name]])-1)</f>
        <v>Williams</v>
      </c>
      <c r="D176" s="30" t="str">
        <f>LEFT(Table5[[#This Row],[First_Name]],2)&amp;LEFT(Table5[[#This Row],[Last_Name]],2)&amp;ROW()</f>
        <v>JaWi176</v>
      </c>
    </row>
    <row r="177" spans="1:4" x14ac:dyDescent="0.25">
      <c r="A177" s="23" t="s">
        <v>105</v>
      </c>
      <c r="B177" s="29" t="str">
        <f>RIGHT(Table5[[#This Row],[Customer_Name]],LEN(Table5[[#This Row],[Customer_Name]])-FIND(",",Table5[[#This Row],[Customer_Name]])-1)</f>
        <v>Laura</v>
      </c>
      <c r="C177" s="29" t="str">
        <f>LEFT(Table5[[#This Row],[Customer_Name]],FIND(",",Table5[[#This Row],[Customer_Name]])-1)</f>
        <v>Miller</v>
      </c>
      <c r="D177" s="30" t="str">
        <f>LEFT(Table5[[#This Row],[First_Name]],2)&amp;LEFT(Table5[[#This Row],[Last_Name]],2)&amp;ROW()</f>
        <v>LaMi177</v>
      </c>
    </row>
    <row r="178" spans="1:4" x14ac:dyDescent="0.25">
      <c r="A178" s="23" t="s">
        <v>246</v>
      </c>
      <c r="B178" s="29" t="str">
        <f>RIGHT(Table5[[#This Row],[Customer_Name]],LEN(Table5[[#This Row],[Customer_Name]])-FIND(",",Table5[[#This Row],[Customer_Name]])-1)</f>
        <v>John</v>
      </c>
      <c r="C178" s="29" t="str">
        <f>LEFT(Table5[[#This Row],[Customer_Name]],FIND(",",Table5[[#This Row],[Customer_Name]])-1)</f>
        <v>Martinez</v>
      </c>
      <c r="D178" s="30" t="str">
        <f>LEFT(Table5[[#This Row],[First_Name]],2)&amp;LEFT(Table5[[#This Row],[Last_Name]],2)&amp;ROW()</f>
        <v>JoMa178</v>
      </c>
    </row>
    <row r="179" spans="1:4" x14ac:dyDescent="0.25">
      <c r="A179" s="23" t="s">
        <v>315</v>
      </c>
      <c r="B179" s="29" t="str">
        <f>RIGHT(Table5[[#This Row],[Customer_Name]],LEN(Table5[[#This Row],[Customer_Name]])-FIND(",",Table5[[#This Row],[Customer_Name]])-1)</f>
        <v>Sarah</v>
      </c>
      <c r="C179" s="29" t="str">
        <f>LEFT(Table5[[#This Row],[Customer_Name]],FIND(",",Table5[[#This Row],[Customer_Name]])-1)</f>
        <v>Hernandez</v>
      </c>
      <c r="D179" s="30" t="str">
        <f>LEFT(Table5[[#This Row],[First_Name]],2)&amp;LEFT(Table5[[#This Row],[Last_Name]],2)&amp;ROW()</f>
        <v>SaHe179</v>
      </c>
    </row>
    <row r="180" spans="1:4" x14ac:dyDescent="0.25">
      <c r="A180" s="23" t="s">
        <v>41</v>
      </c>
      <c r="B180" s="29" t="str">
        <f>RIGHT(Table5[[#This Row],[Customer_Name]],LEN(Table5[[#This Row],[Customer_Name]])-FIND(",",Table5[[#This Row],[Customer_Name]])-1)</f>
        <v>Emma</v>
      </c>
      <c r="C180" s="29" t="str">
        <f>LEFT(Table5[[#This Row],[Customer_Name]],FIND(",",Table5[[#This Row],[Customer_Name]])-1)</f>
        <v>Johnson</v>
      </c>
      <c r="D180" s="30" t="str">
        <f>LEFT(Table5[[#This Row],[First_Name]],2)&amp;LEFT(Table5[[#This Row],[Last_Name]],2)&amp;ROW()</f>
        <v>EmJo180</v>
      </c>
    </row>
    <row r="181" spans="1:4" x14ac:dyDescent="0.25">
      <c r="A181" s="23" t="s">
        <v>121</v>
      </c>
      <c r="B181" s="29" t="str">
        <f>RIGHT(Table5[[#This Row],[Customer_Name]],LEN(Table5[[#This Row],[Customer_Name]])-FIND(",",Table5[[#This Row],[Customer_Name]])-1)</f>
        <v>Sarah</v>
      </c>
      <c r="C181" s="29" t="str">
        <f>LEFT(Table5[[#This Row],[Customer_Name]],FIND(",",Table5[[#This Row],[Customer_Name]])-1)</f>
        <v>Martinez</v>
      </c>
      <c r="D181" s="30" t="str">
        <f>LEFT(Table5[[#This Row],[First_Name]],2)&amp;LEFT(Table5[[#This Row],[Last_Name]],2)&amp;ROW()</f>
        <v>SaMa181</v>
      </c>
    </row>
    <row r="182" spans="1:4" x14ac:dyDescent="0.25">
      <c r="A182" s="23" t="s">
        <v>319</v>
      </c>
      <c r="B182" s="29" t="str">
        <f>RIGHT(Table5[[#This Row],[Customer_Name]],LEN(Table5[[#This Row],[Customer_Name]])-FIND(",",Table5[[#This Row],[Customer_Name]])-1)</f>
        <v>Daniel</v>
      </c>
      <c r="C182" s="29" t="str">
        <f>LEFT(Table5[[#This Row],[Customer_Name]],FIND(",",Table5[[#This Row],[Customer_Name]])-1)</f>
        <v>Davis</v>
      </c>
      <c r="D182" s="30" t="str">
        <f>LEFT(Table5[[#This Row],[First_Name]],2)&amp;LEFT(Table5[[#This Row],[Last_Name]],2)&amp;ROW()</f>
        <v>DaDa182</v>
      </c>
    </row>
    <row r="183" spans="1:4" x14ac:dyDescent="0.25">
      <c r="A183" s="23" t="s">
        <v>193</v>
      </c>
      <c r="B183" s="29" t="str">
        <f>RIGHT(Table5[[#This Row],[Customer_Name]],LEN(Table5[[#This Row],[Customer_Name]])-FIND(",",Table5[[#This Row],[Customer_Name]])-1)</f>
        <v>Laura</v>
      </c>
      <c r="C183" s="29" t="str">
        <f>LEFT(Table5[[#This Row],[Customer_Name]],FIND(",",Table5[[#This Row],[Customer_Name]])-1)</f>
        <v>Hernandez</v>
      </c>
      <c r="D183" s="30" t="str">
        <f>LEFT(Table5[[#This Row],[First_Name]],2)&amp;LEFT(Table5[[#This Row],[Last_Name]],2)&amp;ROW()</f>
        <v>LaHe183</v>
      </c>
    </row>
    <row r="184" spans="1:4" x14ac:dyDescent="0.25">
      <c r="A184" s="23" t="s">
        <v>100</v>
      </c>
      <c r="B184" s="29" t="str">
        <f>RIGHT(Table5[[#This Row],[Customer_Name]],LEN(Table5[[#This Row],[Customer_Name]])-FIND(",",Table5[[#This Row],[Customer_Name]])-1)</f>
        <v>Laura</v>
      </c>
      <c r="C184" s="29" t="str">
        <f>LEFT(Table5[[#This Row],[Customer_Name]],FIND(",",Table5[[#This Row],[Customer_Name]])-1)</f>
        <v>Jones</v>
      </c>
      <c r="D184" s="30" t="str">
        <f>LEFT(Table5[[#This Row],[First_Name]],2)&amp;LEFT(Table5[[#This Row],[Last_Name]],2)&amp;ROW()</f>
        <v>LaJo184</v>
      </c>
    </row>
    <row r="185" spans="1:4" x14ac:dyDescent="0.25">
      <c r="A185" s="23" t="s">
        <v>323</v>
      </c>
      <c r="B185" s="29" t="str">
        <f>RIGHT(Table5[[#This Row],[Customer_Name]],LEN(Table5[[#This Row],[Customer_Name]])-FIND(",",Table5[[#This Row],[Customer_Name]])-1)</f>
        <v>Emma</v>
      </c>
      <c r="C185" s="29" t="str">
        <f>LEFT(Table5[[#This Row],[Customer_Name]],FIND(",",Table5[[#This Row],[Customer_Name]])-1)</f>
        <v>Miller</v>
      </c>
      <c r="D185" s="30" t="str">
        <f>LEFT(Table5[[#This Row],[First_Name]],2)&amp;LEFT(Table5[[#This Row],[Last_Name]],2)&amp;ROW()</f>
        <v>EmMi185</v>
      </c>
    </row>
    <row r="186" spans="1:4" x14ac:dyDescent="0.25">
      <c r="A186" s="23" t="s">
        <v>246</v>
      </c>
      <c r="B186" s="29" t="str">
        <f>RIGHT(Table5[[#This Row],[Customer_Name]],LEN(Table5[[#This Row],[Customer_Name]])-FIND(",",Table5[[#This Row],[Customer_Name]])-1)</f>
        <v>John</v>
      </c>
      <c r="C186" s="29" t="str">
        <f>LEFT(Table5[[#This Row],[Customer_Name]],FIND(",",Table5[[#This Row],[Customer_Name]])-1)</f>
        <v>Martinez</v>
      </c>
      <c r="D186" s="30" t="str">
        <f>LEFT(Table5[[#This Row],[First_Name]],2)&amp;LEFT(Table5[[#This Row],[Last_Name]],2)&amp;ROW()</f>
        <v>JoMa186</v>
      </c>
    </row>
    <row r="187" spans="1:4" x14ac:dyDescent="0.25">
      <c r="A187" s="23" t="s">
        <v>15</v>
      </c>
      <c r="B187" s="29" t="str">
        <f>RIGHT(Table5[[#This Row],[Customer_Name]],LEN(Table5[[#This Row],[Customer_Name]])-FIND(",",Table5[[#This Row],[Customer_Name]])-1)</f>
        <v>Emily</v>
      </c>
      <c r="C187" s="29" t="str">
        <f>LEFT(Table5[[#This Row],[Customer_Name]],FIND(",",Table5[[#This Row],[Customer_Name]])-1)</f>
        <v>Smith</v>
      </c>
      <c r="D187" s="30" t="str">
        <f>LEFT(Table5[[#This Row],[First_Name]],2)&amp;LEFT(Table5[[#This Row],[Last_Name]],2)&amp;ROW()</f>
        <v>EmSm187</v>
      </c>
    </row>
    <row r="188" spans="1:4" x14ac:dyDescent="0.25">
      <c r="A188" s="23" t="s">
        <v>117</v>
      </c>
      <c r="B188" s="29" t="str">
        <f>RIGHT(Table5[[#This Row],[Customer_Name]],LEN(Table5[[#This Row],[Customer_Name]])-FIND(",",Table5[[#This Row],[Customer_Name]])-1)</f>
        <v>David</v>
      </c>
      <c r="C188" s="29" t="str">
        <f>LEFT(Table5[[#This Row],[Customer_Name]],FIND(",",Table5[[#This Row],[Customer_Name]])-1)</f>
        <v>Miller</v>
      </c>
      <c r="D188" s="30" t="str">
        <f>LEFT(Table5[[#This Row],[First_Name]],2)&amp;LEFT(Table5[[#This Row],[Last_Name]],2)&amp;ROW()</f>
        <v>DaMi188</v>
      </c>
    </row>
    <row r="189" spans="1:4" x14ac:dyDescent="0.25">
      <c r="A189" s="23" t="s">
        <v>221</v>
      </c>
      <c r="B189" s="29" t="str">
        <f>RIGHT(Table5[[#This Row],[Customer_Name]],LEN(Table5[[#This Row],[Customer_Name]])-FIND(",",Table5[[#This Row],[Customer_Name]])-1)</f>
        <v>David</v>
      </c>
      <c r="C189" s="29" t="str">
        <f>LEFT(Table5[[#This Row],[Customer_Name]],FIND(",",Table5[[#This Row],[Customer_Name]])-1)</f>
        <v>Johnson</v>
      </c>
      <c r="D189" s="30" t="str">
        <f>LEFT(Table5[[#This Row],[First_Name]],2)&amp;LEFT(Table5[[#This Row],[Last_Name]],2)&amp;ROW()</f>
        <v>DaJo189</v>
      </c>
    </row>
    <row r="190" spans="1:4" x14ac:dyDescent="0.25">
      <c r="A190" s="23" t="s">
        <v>276</v>
      </c>
      <c r="B190" s="29" t="str">
        <f>RIGHT(Table5[[#This Row],[Customer_Name]],LEN(Table5[[#This Row],[Customer_Name]])-FIND(",",Table5[[#This Row],[Customer_Name]])-1)</f>
        <v>Sophia</v>
      </c>
      <c r="C190" s="29" t="str">
        <f>LEFT(Table5[[#This Row],[Customer_Name]],FIND(",",Table5[[#This Row],[Customer_Name]])-1)</f>
        <v>Davis</v>
      </c>
      <c r="D190" s="30" t="str">
        <f>LEFT(Table5[[#This Row],[First_Name]],2)&amp;LEFT(Table5[[#This Row],[Last_Name]],2)&amp;ROW()</f>
        <v>SoDa190</v>
      </c>
    </row>
    <row r="191" spans="1:4" x14ac:dyDescent="0.25">
      <c r="A191" s="23" t="s">
        <v>330</v>
      </c>
      <c r="B191" s="29" t="str">
        <f>RIGHT(Table5[[#This Row],[Customer_Name]],LEN(Table5[[#This Row],[Customer_Name]])-FIND(",",Table5[[#This Row],[Customer_Name]])-1)</f>
        <v>Daniel</v>
      </c>
      <c r="C191" s="29" t="str">
        <f>LEFT(Table5[[#This Row],[Customer_Name]],FIND(",",Table5[[#This Row],[Customer_Name]])-1)</f>
        <v>Garcia</v>
      </c>
      <c r="D191" s="30" t="str">
        <f>LEFT(Table5[[#This Row],[First_Name]],2)&amp;LEFT(Table5[[#This Row],[Last_Name]],2)&amp;ROW()</f>
        <v>DaGa191</v>
      </c>
    </row>
    <row r="192" spans="1:4" x14ac:dyDescent="0.25">
      <c r="A192" s="23" t="s">
        <v>173</v>
      </c>
      <c r="B192" s="29" t="str">
        <f>RIGHT(Table5[[#This Row],[Customer_Name]],LEN(Table5[[#This Row],[Customer_Name]])-FIND(",",Table5[[#This Row],[Customer_Name]])-1)</f>
        <v>Michael</v>
      </c>
      <c r="C192" s="29" t="str">
        <f>LEFT(Table5[[#This Row],[Customer_Name]],FIND(",",Table5[[#This Row],[Customer_Name]])-1)</f>
        <v>Garcia</v>
      </c>
      <c r="D192" s="30" t="str">
        <f>LEFT(Table5[[#This Row],[First_Name]],2)&amp;LEFT(Table5[[#This Row],[Last_Name]],2)&amp;ROW()</f>
        <v>MiGa192</v>
      </c>
    </row>
    <row r="193" spans="1:4" x14ac:dyDescent="0.25">
      <c r="A193" s="23" t="s">
        <v>81</v>
      </c>
      <c r="B193" s="29" t="str">
        <f>RIGHT(Table5[[#This Row],[Customer_Name]],LEN(Table5[[#This Row],[Customer_Name]])-FIND(",",Table5[[#This Row],[Customer_Name]])-1)</f>
        <v>Sarah</v>
      </c>
      <c r="C193" s="29" t="str">
        <f>LEFT(Table5[[#This Row],[Customer_Name]],FIND(",",Table5[[#This Row],[Customer_Name]])-1)</f>
        <v>Smith</v>
      </c>
      <c r="D193" s="30" t="str">
        <f>LEFT(Table5[[#This Row],[First_Name]],2)&amp;LEFT(Table5[[#This Row],[Last_Name]],2)&amp;ROW()</f>
        <v>SaSm193</v>
      </c>
    </row>
    <row r="194" spans="1:4" x14ac:dyDescent="0.25">
      <c r="A194" s="23" t="s">
        <v>91</v>
      </c>
      <c r="B194" s="29" t="str">
        <f>RIGHT(Table5[[#This Row],[Customer_Name]],LEN(Table5[[#This Row],[Customer_Name]])-FIND(",",Table5[[#This Row],[Customer_Name]])-1)</f>
        <v>Sarah</v>
      </c>
      <c r="C194" s="29" t="str">
        <f>LEFT(Table5[[#This Row],[Customer_Name]],FIND(",",Table5[[#This Row],[Customer_Name]])-1)</f>
        <v>Johnson</v>
      </c>
      <c r="D194" s="30" t="str">
        <f>LEFT(Table5[[#This Row],[First_Name]],2)&amp;LEFT(Table5[[#This Row],[Last_Name]],2)&amp;ROW()</f>
        <v>SaJo194</v>
      </c>
    </row>
    <row r="195" spans="1:4" x14ac:dyDescent="0.25">
      <c r="A195" s="23" t="s">
        <v>278</v>
      </c>
      <c r="B195" s="29" t="str">
        <f>RIGHT(Table5[[#This Row],[Customer_Name]],LEN(Table5[[#This Row],[Customer_Name]])-FIND(",",Table5[[#This Row],[Customer_Name]])-1)</f>
        <v>Daniel</v>
      </c>
      <c r="C195" s="29" t="str">
        <f>LEFT(Table5[[#This Row],[Customer_Name]],FIND(",",Table5[[#This Row],[Customer_Name]])-1)</f>
        <v>Jones</v>
      </c>
      <c r="D195" s="30" t="str">
        <f>LEFT(Table5[[#This Row],[First_Name]],2)&amp;LEFT(Table5[[#This Row],[Last_Name]],2)&amp;ROW()</f>
        <v>DaJo195</v>
      </c>
    </row>
    <row r="196" spans="1:4" x14ac:dyDescent="0.25">
      <c r="A196" s="23" t="s">
        <v>207</v>
      </c>
      <c r="B196" s="29" t="str">
        <f>RIGHT(Table5[[#This Row],[Customer_Name]],LEN(Table5[[#This Row],[Customer_Name]])-FIND(",",Table5[[#This Row],[Customer_Name]])-1)</f>
        <v>Sarah</v>
      </c>
      <c r="C196" s="29" t="str">
        <f>LEFT(Table5[[#This Row],[Customer_Name]],FIND(",",Table5[[#This Row],[Customer_Name]])-1)</f>
        <v>Miller</v>
      </c>
      <c r="D196" s="30" t="str">
        <f>LEFT(Table5[[#This Row],[First_Name]],2)&amp;LEFT(Table5[[#This Row],[Last_Name]],2)&amp;ROW()</f>
        <v>SaMi196</v>
      </c>
    </row>
    <row r="197" spans="1:4" x14ac:dyDescent="0.25">
      <c r="A197" s="23" t="s">
        <v>62</v>
      </c>
      <c r="B197" s="29" t="str">
        <f>RIGHT(Table5[[#This Row],[Customer_Name]],LEN(Table5[[#This Row],[Customer_Name]])-FIND(",",Table5[[#This Row],[Customer_Name]])-1)</f>
        <v>Laura</v>
      </c>
      <c r="C197" s="29" t="str">
        <f>LEFT(Table5[[#This Row],[Customer_Name]],FIND(",",Table5[[#This Row],[Customer_Name]])-1)</f>
        <v>Martinez</v>
      </c>
      <c r="D197" s="30" t="str">
        <f>LEFT(Table5[[#This Row],[First_Name]],2)&amp;LEFT(Table5[[#This Row],[Last_Name]],2)&amp;ROW()</f>
        <v>LaMa197</v>
      </c>
    </row>
    <row r="198" spans="1:4" x14ac:dyDescent="0.25">
      <c r="A198" s="23" t="s">
        <v>221</v>
      </c>
      <c r="B198" s="29" t="str">
        <f>RIGHT(Table5[[#This Row],[Customer_Name]],LEN(Table5[[#This Row],[Customer_Name]])-FIND(",",Table5[[#This Row],[Customer_Name]])-1)</f>
        <v>David</v>
      </c>
      <c r="C198" s="29" t="str">
        <f>LEFT(Table5[[#This Row],[Customer_Name]],FIND(",",Table5[[#This Row],[Customer_Name]])-1)</f>
        <v>Johnson</v>
      </c>
      <c r="D198" s="30" t="str">
        <f>LEFT(Table5[[#This Row],[First_Name]],2)&amp;LEFT(Table5[[#This Row],[Last_Name]],2)&amp;ROW()</f>
        <v>DaJo198</v>
      </c>
    </row>
    <row r="199" spans="1:4" x14ac:dyDescent="0.25">
      <c r="A199" s="23" t="s">
        <v>303</v>
      </c>
      <c r="B199" s="29" t="str">
        <f>RIGHT(Table5[[#This Row],[Customer_Name]],LEN(Table5[[#This Row],[Customer_Name]])-FIND(",",Table5[[#This Row],[Customer_Name]])-1)</f>
        <v>Emily</v>
      </c>
      <c r="C199" s="29" t="str">
        <f>LEFT(Table5[[#This Row],[Customer_Name]],FIND(",",Table5[[#This Row],[Customer_Name]])-1)</f>
        <v>Jones</v>
      </c>
      <c r="D199" s="30" t="str">
        <f>LEFT(Table5[[#This Row],[First_Name]],2)&amp;LEFT(Table5[[#This Row],[Last_Name]],2)&amp;ROW()</f>
        <v>EmJo199</v>
      </c>
    </row>
    <row r="200" spans="1:4" x14ac:dyDescent="0.25">
      <c r="A200" s="23" t="s">
        <v>119</v>
      </c>
      <c r="B200" s="29" t="str">
        <f>RIGHT(Table5[[#This Row],[Customer_Name]],LEN(Table5[[#This Row],[Customer_Name]])-FIND(",",Table5[[#This Row],[Customer_Name]])-1)</f>
        <v>Michael</v>
      </c>
      <c r="C200" s="29" t="str">
        <f>LEFT(Table5[[#This Row],[Customer_Name]],FIND(",",Table5[[#This Row],[Customer_Name]])-1)</f>
        <v>Smith</v>
      </c>
      <c r="D200" s="30" t="str">
        <f>LEFT(Table5[[#This Row],[First_Name]],2)&amp;LEFT(Table5[[#This Row],[Last_Name]],2)&amp;ROW()</f>
        <v>MiSm200</v>
      </c>
    </row>
    <row r="201" spans="1:4" x14ac:dyDescent="0.25">
      <c r="A201" s="23" t="s">
        <v>121</v>
      </c>
      <c r="B201" s="29" t="str">
        <f>RIGHT(Table5[[#This Row],[Customer_Name]],LEN(Table5[[#This Row],[Customer_Name]])-FIND(",",Table5[[#This Row],[Customer_Name]])-1)</f>
        <v>Sarah</v>
      </c>
      <c r="C201" s="29" t="str">
        <f>LEFT(Table5[[#This Row],[Customer_Name]],FIND(",",Table5[[#This Row],[Customer_Name]])-1)</f>
        <v>Martinez</v>
      </c>
      <c r="D201" s="30" t="str">
        <f>LEFT(Table5[[#This Row],[First_Name]],2)&amp;LEFT(Table5[[#This Row],[Last_Name]],2)&amp;ROW()</f>
        <v>SaMa201</v>
      </c>
    </row>
    <row r="202" spans="1:4" x14ac:dyDescent="0.25">
      <c r="A202" s="23" t="s">
        <v>342</v>
      </c>
      <c r="B202" s="29" t="str">
        <f>RIGHT(Table5[[#This Row],[Customer_Name]],LEN(Table5[[#This Row],[Customer_Name]])-FIND(",",Table5[[#This Row],[Customer_Name]])-1)</f>
        <v>Sarah</v>
      </c>
      <c r="C202" s="29" t="str">
        <f>LEFT(Table5[[#This Row],[Customer_Name]],FIND(",",Table5[[#This Row],[Customer_Name]])-1)</f>
        <v>Jones</v>
      </c>
      <c r="D202" s="30" t="str">
        <f>LEFT(Table5[[#This Row],[First_Name]],2)&amp;LEFT(Table5[[#This Row],[Last_Name]],2)&amp;ROW()</f>
        <v>SaJo202</v>
      </c>
    </row>
    <row r="203" spans="1:4" x14ac:dyDescent="0.25">
      <c r="A203" s="23" t="s">
        <v>166</v>
      </c>
      <c r="B203" s="29" t="str">
        <f>RIGHT(Table5[[#This Row],[Customer_Name]],LEN(Table5[[#This Row],[Customer_Name]])-FIND(",",Table5[[#This Row],[Customer_Name]])-1)</f>
        <v>Daniel</v>
      </c>
      <c r="C203" s="29" t="str">
        <f>LEFT(Table5[[#This Row],[Customer_Name]],FIND(",",Table5[[#This Row],[Customer_Name]])-1)</f>
        <v>Brown</v>
      </c>
      <c r="D203" s="30" t="str">
        <f>LEFT(Table5[[#This Row],[First_Name]],2)&amp;LEFT(Table5[[#This Row],[Last_Name]],2)&amp;ROW()</f>
        <v>DaBr203</v>
      </c>
    </row>
    <row r="204" spans="1:4" x14ac:dyDescent="0.25">
      <c r="A204" s="23" t="s">
        <v>207</v>
      </c>
      <c r="B204" s="29" t="str">
        <f>RIGHT(Table5[[#This Row],[Customer_Name]],LEN(Table5[[#This Row],[Customer_Name]])-FIND(",",Table5[[#This Row],[Customer_Name]])-1)</f>
        <v>Sarah</v>
      </c>
      <c r="C204" s="29" t="str">
        <f>LEFT(Table5[[#This Row],[Customer_Name]],FIND(",",Table5[[#This Row],[Customer_Name]])-1)</f>
        <v>Miller</v>
      </c>
      <c r="D204" s="30" t="str">
        <f>LEFT(Table5[[#This Row],[First_Name]],2)&amp;LEFT(Table5[[#This Row],[Last_Name]],2)&amp;ROW()</f>
        <v>SaMi204</v>
      </c>
    </row>
    <row r="205" spans="1:4" x14ac:dyDescent="0.25">
      <c r="A205" s="23" t="s">
        <v>268</v>
      </c>
      <c r="B205" s="29" t="str">
        <f>RIGHT(Table5[[#This Row],[Customer_Name]],LEN(Table5[[#This Row],[Customer_Name]])-FIND(",",Table5[[#This Row],[Customer_Name]])-1)</f>
        <v>James</v>
      </c>
      <c r="C205" s="29" t="str">
        <f>LEFT(Table5[[#This Row],[Customer_Name]],FIND(",",Table5[[#This Row],[Customer_Name]])-1)</f>
        <v>Brown</v>
      </c>
      <c r="D205" s="30" t="str">
        <f>LEFT(Table5[[#This Row],[First_Name]],2)&amp;LEFT(Table5[[#This Row],[Last_Name]],2)&amp;ROW()</f>
        <v>JaBr205</v>
      </c>
    </row>
    <row r="206" spans="1:4" x14ac:dyDescent="0.25">
      <c r="A206" s="23" t="s">
        <v>145</v>
      </c>
      <c r="B206" s="29" t="str">
        <f>RIGHT(Table5[[#This Row],[Customer_Name]],LEN(Table5[[#This Row],[Customer_Name]])-FIND(",",Table5[[#This Row],[Customer_Name]])-1)</f>
        <v>Daniel</v>
      </c>
      <c r="C206" s="29" t="str">
        <f>LEFT(Table5[[#This Row],[Customer_Name]],FIND(",",Table5[[#This Row],[Customer_Name]])-1)</f>
        <v>Johnson</v>
      </c>
      <c r="D206" s="30" t="str">
        <f>LEFT(Table5[[#This Row],[First_Name]],2)&amp;LEFT(Table5[[#This Row],[Last_Name]],2)&amp;ROW()</f>
        <v>DaJo206</v>
      </c>
    </row>
    <row r="207" spans="1:4" x14ac:dyDescent="0.25">
      <c r="A207" s="23" t="s">
        <v>189</v>
      </c>
      <c r="B207" s="29" t="str">
        <f>RIGHT(Table5[[#This Row],[Customer_Name]],LEN(Table5[[#This Row],[Customer_Name]])-FIND(",",Table5[[#This Row],[Customer_Name]])-1)</f>
        <v>Emma</v>
      </c>
      <c r="C207" s="29" t="str">
        <f>LEFT(Table5[[#This Row],[Customer_Name]],FIND(",",Table5[[#This Row],[Customer_Name]])-1)</f>
        <v>Davis</v>
      </c>
      <c r="D207" s="30" t="str">
        <f>LEFT(Table5[[#This Row],[First_Name]],2)&amp;LEFT(Table5[[#This Row],[Last_Name]],2)&amp;ROW()</f>
        <v>EmDa207</v>
      </c>
    </row>
    <row r="208" spans="1:4" x14ac:dyDescent="0.25">
      <c r="A208" s="23" t="s">
        <v>261</v>
      </c>
      <c r="B208" s="29" t="str">
        <f>RIGHT(Table5[[#This Row],[Customer_Name]],LEN(Table5[[#This Row],[Customer_Name]])-FIND(",",Table5[[#This Row],[Customer_Name]])-1)</f>
        <v>Emily</v>
      </c>
      <c r="C208" s="29" t="str">
        <f>LEFT(Table5[[#This Row],[Customer_Name]],FIND(",",Table5[[#This Row],[Customer_Name]])-1)</f>
        <v>Brown</v>
      </c>
      <c r="D208" s="30" t="str">
        <f>LEFT(Table5[[#This Row],[First_Name]],2)&amp;LEFT(Table5[[#This Row],[Last_Name]],2)&amp;ROW()</f>
        <v>EmBr208</v>
      </c>
    </row>
    <row r="209" spans="1:4" x14ac:dyDescent="0.25">
      <c r="A209" s="23" t="s">
        <v>100</v>
      </c>
      <c r="B209" s="29" t="str">
        <f>RIGHT(Table5[[#This Row],[Customer_Name]],LEN(Table5[[#This Row],[Customer_Name]])-FIND(",",Table5[[#This Row],[Customer_Name]])-1)</f>
        <v>Laura</v>
      </c>
      <c r="C209" s="29" t="str">
        <f>LEFT(Table5[[#This Row],[Customer_Name]],FIND(",",Table5[[#This Row],[Customer_Name]])-1)</f>
        <v>Jones</v>
      </c>
      <c r="D209" s="30" t="str">
        <f>LEFT(Table5[[#This Row],[First_Name]],2)&amp;LEFT(Table5[[#This Row],[Last_Name]],2)&amp;ROW()</f>
        <v>LaJo209</v>
      </c>
    </row>
    <row r="210" spans="1:4" x14ac:dyDescent="0.25">
      <c r="A210" s="23" t="s">
        <v>71</v>
      </c>
      <c r="B210" s="29" t="str">
        <f>RIGHT(Table5[[#This Row],[Customer_Name]],LEN(Table5[[#This Row],[Customer_Name]])-FIND(",",Table5[[#This Row],[Customer_Name]])-1)</f>
        <v>Emma</v>
      </c>
      <c r="C210" s="29" t="str">
        <f>LEFT(Table5[[#This Row],[Customer_Name]],FIND(",",Table5[[#This Row],[Customer_Name]])-1)</f>
        <v>Smith</v>
      </c>
      <c r="D210" s="30" t="str">
        <f>LEFT(Table5[[#This Row],[First_Name]],2)&amp;LEFT(Table5[[#This Row],[Last_Name]],2)&amp;ROW()</f>
        <v>EmSm210</v>
      </c>
    </row>
    <row r="211" spans="1:4" x14ac:dyDescent="0.25">
      <c r="A211" s="23" t="s">
        <v>108</v>
      </c>
      <c r="B211" s="29" t="str">
        <f>RIGHT(Table5[[#This Row],[Customer_Name]],LEN(Table5[[#This Row],[Customer_Name]])-FIND(",",Table5[[#This Row],[Customer_Name]])-1)</f>
        <v>Sophia</v>
      </c>
      <c r="C211" s="29" t="str">
        <f>LEFT(Table5[[#This Row],[Customer_Name]],FIND(",",Table5[[#This Row],[Customer_Name]])-1)</f>
        <v>Garcia</v>
      </c>
      <c r="D211" s="30" t="str">
        <f>LEFT(Table5[[#This Row],[First_Name]],2)&amp;LEFT(Table5[[#This Row],[Last_Name]],2)&amp;ROW()</f>
        <v>SoGa211</v>
      </c>
    </row>
    <row r="212" spans="1:4" x14ac:dyDescent="0.25">
      <c r="A212" s="23" t="s">
        <v>93</v>
      </c>
      <c r="B212" s="29" t="str">
        <f>RIGHT(Table5[[#This Row],[Customer_Name]],LEN(Table5[[#This Row],[Customer_Name]])-FIND(",",Table5[[#This Row],[Customer_Name]])-1)</f>
        <v>Sophia</v>
      </c>
      <c r="C212" s="29" t="str">
        <f>LEFT(Table5[[#This Row],[Customer_Name]],FIND(",",Table5[[#This Row],[Customer_Name]])-1)</f>
        <v>Hernandez</v>
      </c>
      <c r="D212" s="30" t="str">
        <f>LEFT(Table5[[#This Row],[First_Name]],2)&amp;LEFT(Table5[[#This Row],[Last_Name]],2)&amp;ROW()</f>
        <v>SoHe212</v>
      </c>
    </row>
    <row r="213" spans="1:4" x14ac:dyDescent="0.25">
      <c r="A213" s="23" t="s">
        <v>354</v>
      </c>
      <c r="B213" s="29" t="str">
        <f>RIGHT(Table5[[#This Row],[Customer_Name]],LEN(Table5[[#This Row],[Customer_Name]])-FIND(",",Table5[[#This Row],[Customer_Name]])-1)</f>
        <v>David</v>
      </c>
      <c r="C213" s="29" t="str">
        <f>LEFT(Table5[[#This Row],[Customer_Name]],FIND(",",Table5[[#This Row],[Customer_Name]])-1)</f>
        <v>Brown</v>
      </c>
      <c r="D213" s="30" t="str">
        <f>LEFT(Table5[[#This Row],[First_Name]],2)&amp;LEFT(Table5[[#This Row],[Last_Name]],2)&amp;ROW()</f>
        <v>DaBr213</v>
      </c>
    </row>
    <row r="214" spans="1:4" x14ac:dyDescent="0.25">
      <c r="A214" s="23" t="s">
        <v>149</v>
      </c>
      <c r="B214" s="29" t="str">
        <f>RIGHT(Table5[[#This Row],[Customer_Name]],LEN(Table5[[#This Row],[Customer_Name]])-FIND(",",Table5[[#This Row],[Customer_Name]])-1)</f>
        <v>Sarah</v>
      </c>
      <c r="C214" s="29" t="str">
        <f>LEFT(Table5[[#This Row],[Customer_Name]],FIND(",",Table5[[#This Row],[Customer_Name]])-1)</f>
        <v>Garcia</v>
      </c>
      <c r="D214" s="30" t="str">
        <f>LEFT(Table5[[#This Row],[First_Name]],2)&amp;LEFT(Table5[[#This Row],[Last_Name]],2)&amp;ROW()</f>
        <v>SaGa214</v>
      </c>
    </row>
    <row r="215" spans="1:4" x14ac:dyDescent="0.25">
      <c r="A215" s="23" t="s">
        <v>231</v>
      </c>
      <c r="B215" s="29" t="str">
        <f>RIGHT(Table5[[#This Row],[Customer_Name]],LEN(Table5[[#This Row],[Customer_Name]])-FIND(",",Table5[[#This Row],[Customer_Name]])-1)</f>
        <v>Emily</v>
      </c>
      <c r="C215" s="29" t="str">
        <f>LEFT(Table5[[#This Row],[Customer_Name]],FIND(",",Table5[[#This Row],[Customer_Name]])-1)</f>
        <v>Martinez</v>
      </c>
      <c r="D215" s="30" t="str">
        <f>LEFT(Table5[[#This Row],[First_Name]],2)&amp;LEFT(Table5[[#This Row],[Last_Name]],2)&amp;ROW()</f>
        <v>EmMa215</v>
      </c>
    </row>
    <row r="216" spans="1:4" x14ac:dyDescent="0.25">
      <c r="A216" s="23" t="s">
        <v>354</v>
      </c>
      <c r="B216" s="29" t="str">
        <f>RIGHT(Table5[[#This Row],[Customer_Name]],LEN(Table5[[#This Row],[Customer_Name]])-FIND(",",Table5[[#This Row],[Customer_Name]])-1)</f>
        <v>David</v>
      </c>
      <c r="C216" s="29" t="str">
        <f>LEFT(Table5[[#This Row],[Customer_Name]],FIND(",",Table5[[#This Row],[Customer_Name]])-1)</f>
        <v>Brown</v>
      </c>
      <c r="D216" s="30" t="str">
        <f>LEFT(Table5[[#This Row],[First_Name]],2)&amp;LEFT(Table5[[#This Row],[Last_Name]],2)&amp;ROW()</f>
        <v>DaBr216</v>
      </c>
    </row>
    <row r="217" spans="1:4" x14ac:dyDescent="0.25">
      <c r="A217" s="23" t="s">
        <v>108</v>
      </c>
      <c r="B217" s="29" t="str">
        <f>RIGHT(Table5[[#This Row],[Customer_Name]],LEN(Table5[[#This Row],[Customer_Name]])-FIND(",",Table5[[#This Row],[Customer_Name]])-1)</f>
        <v>Sophia</v>
      </c>
      <c r="C217" s="29" t="str">
        <f>LEFT(Table5[[#This Row],[Customer_Name]],FIND(",",Table5[[#This Row],[Customer_Name]])-1)</f>
        <v>Garcia</v>
      </c>
      <c r="D217" s="30" t="str">
        <f>LEFT(Table5[[#This Row],[First_Name]],2)&amp;LEFT(Table5[[#This Row],[Last_Name]],2)&amp;ROW()</f>
        <v>SoGa217</v>
      </c>
    </row>
    <row r="218" spans="1:4" x14ac:dyDescent="0.25">
      <c r="A218" s="23" t="s">
        <v>360</v>
      </c>
      <c r="B218" s="29" t="str">
        <f>RIGHT(Table5[[#This Row],[Customer_Name]],LEN(Table5[[#This Row],[Customer_Name]])-FIND(",",Table5[[#This Row],[Customer_Name]])-1)</f>
        <v>John</v>
      </c>
      <c r="C218" s="29" t="str">
        <f>LEFT(Table5[[#This Row],[Customer_Name]],FIND(",",Table5[[#This Row],[Customer_Name]])-1)</f>
        <v>Johnson</v>
      </c>
      <c r="D218" s="30" t="str">
        <f>LEFT(Table5[[#This Row],[First_Name]],2)&amp;LEFT(Table5[[#This Row],[Last_Name]],2)&amp;ROW()</f>
        <v>JoJo218</v>
      </c>
    </row>
    <row r="219" spans="1:4" x14ac:dyDescent="0.25">
      <c r="A219" s="23" t="s">
        <v>323</v>
      </c>
      <c r="B219" s="29" t="str">
        <f>RIGHT(Table5[[#This Row],[Customer_Name]],LEN(Table5[[#This Row],[Customer_Name]])-FIND(",",Table5[[#This Row],[Customer_Name]])-1)</f>
        <v>Emma</v>
      </c>
      <c r="C219" s="29" t="str">
        <f>LEFT(Table5[[#This Row],[Customer_Name]],FIND(",",Table5[[#This Row],[Customer_Name]])-1)</f>
        <v>Miller</v>
      </c>
      <c r="D219" s="30" t="str">
        <f>LEFT(Table5[[#This Row],[First_Name]],2)&amp;LEFT(Table5[[#This Row],[Last_Name]],2)&amp;ROW()</f>
        <v>EmMi219</v>
      </c>
    </row>
    <row r="220" spans="1:4" x14ac:dyDescent="0.25">
      <c r="A220" s="23" t="s">
        <v>113</v>
      </c>
      <c r="B220" s="29" t="str">
        <f>RIGHT(Table5[[#This Row],[Customer_Name]],LEN(Table5[[#This Row],[Customer_Name]])-FIND(",",Table5[[#This Row],[Customer_Name]])-1)</f>
        <v>John</v>
      </c>
      <c r="C220" s="29" t="str">
        <f>LEFT(Table5[[#This Row],[Customer_Name]],FIND(",",Table5[[#This Row],[Customer_Name]])-1)</f>
        <v>Hernandez</v>
      </c>
      <c r="D220" s="30" t="str">
        <f>LEFT(Table5[[#This Row],[First_Name]],2)&amp;LEFT(Table5[[#This Row],[Last_Name]],2)&amp;ROW()</f>
        <v>JoHe220</v>
      </c>
    </row>
    <row r="221" spans="1:4" x14ac:dyDescent="0.25">
      <c r="A221" s="23" t="s">
        <v>364</v>
      </c>
      <c r="B221" s="29" t="str">
        <f>RIGHT(Table5[[#This Row],[Customer_Name]],LEN(Table5[[#This Row],[Customer_Name]])-FIND(",",Table5[[#This Row],[Customer_Name]])-1)</f>
        <v>Sophia</v>
      </c>
      <c r="C221" s="29" t="str">
        <f>LEFT(Table5[[#This Row],[Customer_Name]],FIND(",",Table5[[#This Row],[Customer_Name]])-1)</f>
        <v>Brown</v>
      </c>
      <c r="D221" s="30" t="str">
        <f>LEFT(Table5[[#This Row],[First_Name]],2)&amp;LEFT(Table5[[#This Row],[Last_Name]],2)&amp;ROW()</f>
        <v>SoBr221</v>
      </c>
    </row>
    <row r="222" spans="1:4" x14ac:dyDescent="0.25">
      <c r="A222" s="23" t="s">
        <v>65</v>
      </c>
      <c r="B222" s="29" t="str">
        <f>RIGHT(Table5[[#This Row],[Customer_Name]],LEN(Table5[[#This Row],[Customer_Name]])-FIND(",",Table5[[#This Row],[Customer_Name]])-1)</f>
        <v>James</v>
      </c>
      <c r="C222" s="29" t="str">
        <f>LEFT(Table5[[#This Row],[Customer_Name]],FIND(",",Table5[[#This Row],[Customer_Name]])-1)</f>
        <v>Martinez</v>
      </c>
      <c r="D222" s="30" t="str">
        <f>LEFT(Table5[[#This Row],[First_Name]],2)&amp;LEFT(Table5[[#This Row],[Last_Name]],2)&amp;ROW()</f>
        <v>JaMa222</v>
      </c>
    </row>
    <row r="223" spans="1:4" x14ac:dyDescent="0.25">
      <c r="A223" s="23" t="s">
        <v>257</v>
      </c>
      <c r="B223" s="29" t="str">
        <f>RIGHT(Table5[[#This Row],[Customer_Name]],LEN(Table5[[#This Row],[Customer_Name]])-FIND(",",Table5[[#This Row],[Customer_Name]])-1)</f>
        <v>James</v>
      </c>
      <c r="C223" s="29" t="str">
        <f>LEFT(Table5[[#This Row],[Customer_Name]],FIND(",",Table5[[#This Row],[Customer_Name]])-1)</f>
        <v>Smith</v>
      </c>
      <c r="D223" s="30" t="str">
        <f>LEFT(Table5[[#This Row],[First_Name]],2)&amp;LEFT(Table5[[#This Row],[Last_Name]],2)&amp;ROW()</f>
        <v>JaSm223</v>
      </c>
    </row>
    <row r="224" spans="1:4" x14ac:dyDescent="0.25">
      <c r="A224" s="23" t="s">
        <v>117</v>
      </c>
      <c r="B224" s="29" t="str">
        <f>RIGHT(Table5[[#This Row],[Customer_Name]],LEN(Table5[[#This Row],[Customer_Name]])-FIND(",",Table5[[#This Row],[Customer_Name]])-1)</f>
        <v>David</v>
      </c>
      <c r="C224" s="29" t="str">
        <f>LEFT(Table5[[#This Row],[Customer_Name]],FIND(",",Table5[[#This Row],[Customer_Name]])-1)</f>
        <v>Miller</v>
      </c>
      <c r="D224" s="30" t="str">
        <f>LEFT(Table5[[#This Row],[First_Name]],2)&amp;LEFT(Table5[[#This Row],[Last_Name]],2)&amp;ROW()</f>
        <v>DaMi224</v>
      </c>
    </row>
    <row r="225" spans="1:4" x14ac:dyDescent="0.25">
      <c r="A225" s="23" t="s">
        <v>360</v>
      </c>
      <c r="B225" s="29" t="str">
        <f>RIGHT(Table5[[#This Row],[Customer_Name]],LEN(Table5[[#This Row],[Customer_Name]])-FIND(",",Table5[[#This Row],[Customer_Name]])-1)</f>
        <v>John</v>
      </c>
      <c r="C225" s="29" t="str">
        <f>LEFT(Table5[[#This Row],[Customer_Name]],FIND(",",Table5[[#This Row],[Customer_Name]])-1)</f>
        <v>Johnson</v>
      </c>
      <c r="D225" s="30" t="str">
        <f>LEFT(Table5[[#This Row],[First_Name]],2)&amp;LEFT(Table5[[#This Row],[Last_Name]],2)&amp;ROW()</f>
        <v>JoJo225</v>
      </c>
    </row>
    <row r="226" spans="1:4" x14ac:dyDescent="0.25">
      <c r="A226" s="23" t="s">
        <v>46</v>
      </c>
      <c r="B226" s="29" t="str">
        <f>RIGHT(Table5[[#This Row],[Customer_Name]],LEN(Table5[[#This Row],[Customer_Name]])-FIND(",",Table5[[#This Row],[Customer_Name]])-1)</f>
        <v>Michael</v>
      </c>
      <c r="C226" s="29" t="str">
        <f>LEFT(Table5[[#This Row],[Customer_Name]],FIND(",",Table5[[#This Row],[Customer_Name]])-1)</f>
        <v>Johnson</v>
      </c>
      <c r="D226" s="30" t="str">
        <f>LEFT(Table5[[#This Row],[First_Name]],2)&amp;LEFT(Table5[[#This Row],[Last_Name]],2)&amp;ROW()</f>
        <v>MiJo226</v>
      </c>
    </row>
    <row r="227" spans="1:4" x14ac:dyDescent="0.25">
      <c r="A227" s="23" t="s">
        <v>371</v>
      </c>
      <c r="B227" s="29" t="str">
        <f>RIGHT(Table5[[#This Row],[Customer_Name]],LEN(Table5[[#This Row],[Customer_Name]])-FIND(",",Table5[[#This Row],[Customer_Name]])-1)</f>
        <v>Emma</v>
      </c>
      <c r="C227" s="29" t="str">
        <f>LEFT(Table5[[#This Row],[Customer_Name]],FIND(",",Table5[[#This Row],[Customer_Name]])-1)</f>
        <v>Jones</v>
      </c>
      <c r="D227" s="30" t="str">
        <f>LEFT(Table5[[#This Row],[First_Name]],2)&amp;LEFT(Table5[[#This Row],[Last_Name]],2)&amp;ROW()</f>
        <v>EmJo227</v>
      </c>
    </row>
    <row r="228" spans="1:4" x14ac:dyDescent="0.25">
      <c r="A228" s="23" t="s">
        <v>207</v>
      </c>
      <c r="B228" s="29" t="str">
        <f>RIGHT(Table5[[#This Row],[Customer_Name]],LEN(Table5[[#This Row],[Customer_Name]])-FIND(",",Table5[[#This Row],[Customer_Name]])-1)</f>
        <v>Sarah</v>
      </c>
      <c r="C228" s="29" t="str">
        <f>LEFT(Table5[[#This Row],[Customer_Name]],FIND(",",Table5[[#This Row],[Customer_Name]])-1)</f>
        <v>Miller</v>
      </c>
      <c r="D228" s="30" t="str">
        <f>LEFT(Table5[[#This Row],[First_Name]],2)&amp;LEFT(Table5[[#This Row],[Last_Name]],2)&amp;ROW()</f>
        <v>SaMi228</v>
      </c>
    </row>
    <row r="229" spans="1:4" x14ac:dyDescent="0.25">
      <c r="A229" s="23" t="s">
        <v>30</v>
      </c>
      <c r="B229" s="29" t="str">
        <f>RIGHT(Table5[[#This Row],[Customer_Name]],LEN(Table5[[#This Row],[Customer_Name]])-FIND(",",Table5[[#This Row],[Customer_Name]])-1)</f>
        <v>John</v>
      </c>
      <c r="C229" s="29" t="str">
        <f>LEFT(Table5[[#This Row],[Customer_Name]],FIND(",",Table5[[#This Row],[Customer_Name]])-1)</f>
        <v>Davis</v>
      </c>
      <c r="D229" s="30" t="str">
        <f>LEFT(Table5[[#This Row],[First_Name]],2)&amp;LEFT(Table5[[#This Row],[Last_Name]],2)&amp;ROW()</f>
        <v>JoDa229</v>
      </c>
    </row>
    <row r="230" spans="1:4" x14ac:dyDescent="0.25">
      <c r="A230" s="23" t="s">
        <v>34</v>
      </c>
      <c r="B230" s="29" t="str">
        <f>RIGHT(Table5[[#This Row],[Customer_Name]],LEN(Table5[[#This Row],[Customer_Name]])-FIND(",",Table5[[#This Row],[Customer_Name]])-1)</f>
        <v>Daniel</v>
      </c>
      <c r="C230" s="29" t="str">
        <f>LEFT(Table5[[#This Row],[Customer_Name]],FIND(",",Table5[[#This Row],[Customer_Name]])-1)</f>
        <v>Miller</v>
      </c>
      <c r="D230" s="30" t="str">
        <f>LEFT(Table5[[#This Row],[First_Name]],2)&amp;LEFT(Table5[[#This Row],[Last_Name]],2)&amp;ROW()</f>
        <v>DaMi230</v>
      </c>
    </row>
    <row r="231" spans="1:4" x14ac:dyDescent="0.25">
      <c r="A231" s="23" t="s">
        <v>303</v>
      </c>
      <c r="B231" s="29" t="str">
        <f>RIGHT(Table5[[#This Row],[Customer_Name]],LEN(Table5[[#This Row],[Customer_Name]])-FIND(",",Table5[[#This Row],[Customer_Name]])-1)</f>
        <v>Emily</v>
      </c>
      <c r="C231" s="29" t="str">
        <f>LEFT(Table5[[#This Row],[Customer_Name]],FIND(",",Table5[[#This Row],[Customer_Name]])-1)</f>
        <v>Jones</v>
      </c>
      <c r="D231" s="30" t="str">
        <f>LEFT(Table5[[#This Row],[First_Name]],2)&amp;LEFT(Table5[[#This Row],[Last_Name]],2)&amp;ROW()</f>
        <v>EmJo231</v>
      </c>
    </row>
    <row r="232" spans="1:4" x14ac:dyDescent="0.25">
      <c r="A232" s="23" t="s">
        <v>135</v>
      </c>
      <c r="B232" s="29" t="str">
        <f>RIGHT(Table5[[#This Row],[Customer_Name]],LEN(Table5[[#This Row],[Customer_Name]])-FIND(",",Table5[[#This Row],[Customer_Name]])-1)</f>
        <v>Daniel</v>
      </c>
      <c r="C232" s="29" t="str">
        <f>LEFT(Table5[[#This Row],[Customer_Name]],FIND(",",Table5[[#This Row],[Customer_Name]])-1)</f>
        <v>Smith</v>
      </c>
      <c r="D232" s="30" t="str">
        <f>LEFT(Table5[[#This Row],[First_Name]],2)&amp;LEFT(Table5[[#This Row],[Last_Name]],2)&amp;ROW()</f>
        <v>DaSm232</v>
      </c>
    </row>
    <row r="233" spans="1:4" x14ac:dyDescent="0.25">
      <c r="A233" s="23" t="s">
        <v>233</v>
      </c>
      <c r="B233" s="29" t="str">
        <f>RIGHT(Table5[[#This Row],[Customer_Name]],LEN(Table5[[#This Row],[Customer_Name]])-FIND(",",Table5[[#This Row],[Customer_Name]])-1)</f>
        <v>Daniel</v>
      </c>
      <c r="C233" s="29" t="str">
        <f>LEFT(Table5[[#This Row],[Customer_Name]],FIND(",",Table5[[#This Row],[Customer_Name]])-1)</f>
        <v>Hernandez</v>
      </c>
      <c r="D233" s="30" t="str">
        <f>LEFT(Table5[[#This Row],[First_Name]],2)&amp;LEFT(Table5[[#This Row],[Last_Name]],2)&amp;ROW()</f>
        <v>DaHe233</v>
      </c>
    </row>
    <row r="234" spans="1:4" x14ac:dyDescent="0.25">
      <c r="A234" s="23" t="s">
        <v>121</v>
      </c>
      <c r="B234" s="29" t="str">
        <f>RIGHT(Table5[[#This Row],[Customer_Name]],LEN(Table5[[#This Row],[Customer_Name]])-FIND(",",Table5[[#This Row],[Customer_Name]])-1)</f>
        <v>Sarah</v>
      </c>
      <c r="C234" s="29" t="str">
        <f>LEFT(Table5[[#This Row],[Customer_Name]],FIND(",",Table5[[#This Row],[Customer_Name]])-1)</f>
        <v>Martinez</v>
      </c>
      <c r="D234" s="30" t="str">
        <f>LEFT(Table5[[#This Row],[First_Name]],2)&amp;LEFT(Table5[[#This Row],[Last_Name]],2)&amp;ROW()</f>
        <v>SaMa234</v>
      </c>
    </row>
    <row r="235" spans="1:4" x14ac:dyDescent="0.25">
      <c r="A235" s="23" t="s">
        <v>179</v>
      </c>
      <c r="B235" s="29" t="str">
        <f>RIGHT(Table5[[#This Row],[Customer_Name]],LEN(Table5[[#This Row],[Customer_Name]])-FIND(",",Table5[[#This Row],[Customer_Name]])-1)</f>
        <v>Sophia</v>
      </c>
      <c r="C235" s="29" t="str">
        <f>LEFT(Table5[[#This Row],[Customer_Name]],FIND(",",Table5[[#This Row],[Customer_Name]])-1)</f>
        <v>Miller</v>
      </c>
      <c r="D235" s="30" t="str">
        <f>LEFT(Table5[[#This Row],[First_Name]],2)&amp;LEFT(Table5[[#This Row],[Last_Name]],2)&amp;ROW()</f>
        <v>SoMi235</v>
      </c>
    </row>
    <row r="236" spans="1:4" x14ac:dyDescent="0.25">
      <c r="A236" s="23" t="s">
        <v>233</v>
      </c>
      <c r="B236" s="29" t="str">
        <f>RIGHT(Table5[[#This Row],[Customer_Name]],LEN(Table5[[#This Row],[Customer_Name]])-FIND(",",Table5[[#This Row],[Customer_Name]])-1)</f>
        <v>Daniel</v>
      </c>
      <c r="C236" s="29" t="str">
        <f>LEFT(Table5[[#This Row],[Customer_Name]],FIND(",",Table5[[#This Row],[Customer_Name]])-1)</f>
        <v>Hernandez</v>
      </c>
      <c r="D236" s="30" t="str">
        <f>LEFT(Table5[[#This Row],[First_Name]],2)&amp;LEFT(Table5[[#This Row],[Last_Name]],2)&amp;ROW()</f>
        <v>DaHe236</v>
      </c>
    </row>
    <row r="237" spans="1:4" x14ac:dyDescent="0.25">
      <c r="A237" s="23" t="s">
        <v>115</v>
      </c>
      <c r="B237" s="29" t="str">
        <f>RIGHT(Table5[[#This Row],[Customer_Name]],LEN(Table5[[#This Row],[Customer_Name]])-FIND(",",Table5[[#This Row],[Customer_Name]])-1)</f>
        <v>Laura</v>
      </c>
      <c r="C237" s="29" t="str">
        <f>LEFT(Table5[[#This Row],[Customer_Name]],FIND(",",Table5[[#This Row],[Customer_Name]])-1)</f>
        <v>Williams</v>
      </c>
      <c r="D237" s="30" t="str">
        <f>LEFT(Table5[[#This Row],[First_Name]],2)&amp;LEFT(Table5[[#This Row],[Last_Name]],2)&amp;ROW()</f>
        <v>LaWi237</v>
      </c>
    </row>
    <row r="238" spans="1:4" x14ac:dyDescent="0.25">
      <c r="A238" s="23" t="s">
        <v>278</v>
      </c>
      <c r="B238" s="29" t="str">
        <f>RIGHT(Table5[[#This Row],[Customer_Name]],LEN(Table5[[#This Row],[Customer_Name]])-FIND(",",Table5[[#This Row],[Customer_Name]])-1)</f>
        <v>Daniel</v>
      </c>
      <c r="C238" s="29" t="str">
        <f>LEFT(Table5[[#This Row],[Customer_Name]],FIND(",",Table5[[#This Row],[Customer_Name]])-1)</f>
        <v>Jones</v>
      </c>
      <c r="D238" s="30" t="str">
        <f>LEFT(Table5[[#This Row],[First_Name]],2)&amp;LEFT(Table5[[#This Row],[Last_Name]],2)&amp;ROW()</f>
        <v>DaJo238</v>
      </c>
    </row>
    <row r="239" spans="1:4" x14ac:dyDescent="0.25">
      <c r="A239" s="23" t="s">
        <v>207</v>
      </c>
      <c r="B239" s="29" t="str">
        <f>RIGHT(Table5[[#This Row],[Customer_Name]],LEN(Table5[[#This Row],[Customer_Name]])-FIND(",",Table5[[#This Row],[Customer_Name]])-1)</f>
        <v>Sarah</v>
      </c>
      <c r="C239" s="29" t="str">
        <f>LEFT(Table5[[#This Row],[Customer_Name]],FIND(",",Table5[[#This Row],[Customer_Name]])-1)</f>
        <v>Miller</v>
      </c>
      <c r="D239" s="30" t="str">
        <f>LEFT(Table5[[#This Row],[First_Name]],2)&amp;LEFT(Table5[[#This Row],[Last_Name]],2)&amp;ROW()</f>
        <v>SaMi239</v>
      </c>
    </row>
    <row r="240" spans="1:4" x14ac:dyDescent="0.25">
      <c r="A240" s="23" t="s">
        <v>76</v>
      </c>
      <c r="B240" s="29" t="str">
        <f>RIGHT(Table5[[#This Row],[Customer_Name]],LEN(Table5[[#This Row],[Customer_Name]])-FIND(",",Table5[[#This Row],[Customer_Name]])-1)</f>
        <v>David</v>
      </c>
      <c r="C240" s="29" t="str">
        <f>LEFT(Table5[[#This Row],[Customer_Name]],FIND(",",Table5[[#This Row],[Customer_Name]])-1)</f>
        <v>Williams</v>
      </c>
      <c r="D240" s="30" t="str">
        <f>LEFT(Table5[[#This Row],[First_Name]],2)&amp;LEFT(Table5[[#This Row],[Last_Name]],2)&amp;ROW()</f>
        <v>DaWi240</v>
      </c>
    </row>
    <row r="241" spans="1:4" x14ac:dyDescent="0.25">
      <c r="A241" s="23" t="s">
        <v>274</v>
      </c>
      <c r="B241" s="29" t="str">
        <f>RIGHT(Table5[[#This Row],[Customer_Name]],LEN(Table5[[#This Row],[Customer_Name]])-FIND(",",Table5[[#This Row],[Customer_Name]])-1)</f>
        <v>Sophia</v>
      </c>
      <c r="C241" s="29" t="str">
        <f>LEFT(Table5[[#This Row],[Customer_Name]],FIND(",",Table5[[#This Row],[Customer_Name]])-1)</f>
        <v>Johnson</v>
      </c>
      <c r="D241" s="30" t="str">
        <f>LEFT(Table5[[#This Row],[First_Name]],2)&amp;LEFT(Table5[[#This Row],[Last_Name]],2)&amp;ROW()</f>
        <v>SoJo241</v>
      </c>
    </row>
    <row r="242" spans="1:4" x14ac:dyDescent="0.25">
      <c r="A242" s="23" t="s">
        <v>291</v>
      </c>
      <c r="B242" s="29" t="str">
        <f>RIGHT(Table5[[#This Row],[Customer_Name]],LEN(Table5[[#This Row],[Customer_Name]])-FIND(",",Table5[[#This Row],[Customer_Name]])-1)</f>
        <v>John</v>
      </c>
      <c r="C242" s="29" t="str">
        <f>LEFT(Table5[[#This Row],[Customer_Name]],FIND(",",Table5[[#This Row],[Customer_Name]])-1)</f>
        <v>Brown</v>
      </c>
      <c r="D242" s="30" t="str">
        <f>LEFT(Table5[[#This Row],[First_Name]],2)&amp;LEFT(Table5[[#This Row],[Last_Name]],2)&amp;ROW()</f>
        <v>JoBr242</v>
      </c>
    </row>
    <row r="243" spans="1:4" x14ac:dyDescent="0.25">
      <c r="A243" s="23" t="s">
        <v>113</v>
      </c>
      <c r="B243" s="29" t="str">
        <f>RIGHT(Table5[[#This Row],[Customer_Name]],LEN(Table5[[#This Row],[Customer_Name]])-FIND(",",Table5[[#This Row],[Customer_Name]])-1)</f>
        <v>John</v>
      </c>
      <c r="C243" s="29" t="str">
        <f>LEFT(Table5[[#This Row],[Customer_Name]],FIND(",",Table5[[#This Row],[Customer_Name]])-1)</f>
        <v>Hernandez</v>
      </c>
      <c r="D243" s="30" t="str">
        <f>LEFT(Table5[[#This Row],[First_Name]],2)&amp;LEFT(Table5[[#This Row],[Last_Name]],2)&amp;ROW()</f>
        <v>JoHe243</v>
      </c>
    </row>
    <row r="244" spans="1:4" x14ac:dyDescent="0.25">
      <c r="A244" s="23" t="s">
        <v>389</v>
      </c>
      <c r="B244" s="29" t="str">
        <f>RIGHT(Table5[[#This Row],[Customer_Name]],LEN(Table5[[#This Row],[Customer_Name]])-FIND(",",Table5[[#This Row],[Customer_Name]])-1)</f>
        <v>Laura</v>
      </c>
      <c r="C244" s="29" t="str">
        <f>LEFT(Table5[[#This Row],[Customer_Name]],FIND(",",Table5[[#This Row],[Customer_Name]])-1)</f>
        <v>Johnson</v>
      </c>
      <c r="D244" s="30" t="str">
        <f>LEFT(Table5[[#This Row],[First_Name]],2)&amp;LEFT(Table5[[#This Row],[Last_Name]],2)&amp;ROW()</f>
        <v>LaJo244</v>
      </c>
    </row>
    <row r="245" spans="1:4" x14ac:dyDescent="0.25">
      <c r="A245" s="23" t="s">
        <v>15</v>
      </c>
      <c r="B245" s="29" t="str">
        <f>RIGHT(Table5[[#This Row],[Customer_Name]],LEN(Table5[[#This Row],[Customer_Name]])-FIND(",",Table5[[#This Row],[Customer_Name]])-1)</f>
        <v>Emily</v>
      </c>
      <c r="C245" s="29" t="str">
        <f>LEFT(Table5[[#This Row],[Customer_Name]],FIND(",",Table5[[#This Row],[Customer_Name]])-1)</f>
        <v>Smith</v>
      </c>
      <c r="D245" s="30" t="str">
        <f>LEFT(Table5[[#This Row],[First_Name]],2)&amp;LEFT(Table5[[#This Row],[Last_Name]],2)&amp;ROW()</f>
        <v>EmSm245</v>
      </c>
    </row>
    <row r="246" spans="1:4" x14ac:dyDescent="0.25">
      <c r="A246" s="23" t="s">
        <v>102</v>
      </c>
      <c r="B246" s="29" t="str">
        <f>RIGHT(Table5[[#This Row],[Customer_Name]],LEN(Table5[[#This Row],[Customer_Name]])-FIND(",",Table5[[#This Row],[Customer_Name]])-1)</f>
        <v>Michael</v>
      </c>
      <c r="C246" s="29" t="str">
        <f>LEFT(Table5[[#This Row],[Customer_Name]],FIND(",",Table5[[#This Row],[Customer_Name]])-1)</f>
        <v>Brown</v>
      </c>
      <c r="D246" s="30" t="str">
        <f>LEFT(Table5[[#This Row],[First_Name]],2)&amp;LEFT(Table5[[#This Row],[Last_Name]],2)&amp;ROW()</f>
        <v>MiBr246</v>
      </c>
    </row>
    <row r="247" spans="1:4" x14ac:dyDescent="0.25">
      <c r="A247" s="23" t="s">
        <v>125</v>
      </c>
      <c r="B247" s="29" t="str">
        <f>RIGHT(Table5[[#This Row],[Customer_Name]],LEN(Table5[[#This Row],[Customer_Name]])-FIND(",",Table5[[#This Row],[Customer_Name]])-1)</f>
        <v>Emma</v>
      </c>
      <c r="C247" s="29" t="str">
        <f>LEFT(Table5[[#This Row],[Customer_Name]],FIND(",",Table5[[#This Row],[Customer_Name]])-1)</f>
        <v>Williams</v>
      </c>
      <c r="D247" s="30" t="str">
        <f>LEFT(Table5[[#This Row],[First_Name]],2)&amp;LEFT(Table5[[#This Row],[Last_Name]],2)&amp;ROW()</f>
        <v>EmWi247</v>
      </c>
    </row>
    <row r="248" spans="1:4" x14ac:dyDescent="0.25">
      <c r="A248" s="23" t="s">
        <v>211</v>
      </c>
      <c r="B248" s="29" t="str">
        <f>RIGHT(Table5[[#This Row],[Customer_Name]],LEN(Table5[[#This Row],[Customer_Name]])-FIND(",",Table5[[#This Row],[Customer_Name]])-1)</f>
        <v>Emma</v>
      </c>
      <c r="C248" s="29" t="str">
        <f>LEFT(Table5[[#This Row],[Customer_Name]],FIND(",",Table5[[#This Row],[Customer_Name]])-1)</f>
        <v>Garcia</v>
      </c>
      <c r="D248" s="30" t="str">
        <f>LEFT(Table5[[#This Row],[First_Name]],2)&amp;LEFT(Table5[[#This Row],[Last_Name]],2)&amp;ROW()</f>
        <v>EmGa248</v>
      </c>
    </row>
    <row r="249" spans="1:4" x14ac:dyDescent="0.25">
      <c r="A249" s="23" t="s">
        <v>231</v>
      </c>
      <c r="B249" s="29" t="str">
        <f>RIGHT(Table5[[#This Row],[Customer_Name]],LEN(Table5[[#This Row],[Customer_Name]])-FIND(",",Table5[[#This Row],[Customer_Name]])-1)</f>
        <v>Emily</v>
      </c>
      <c r="C249" s="29" t="str">
        <f>LEFT(Table5[[#This Row],[Customer_Name]],FIND(",",Table5[[#This Row],[Customer_Name]])-1)</f>
        <v>Martinez</v>
      </c>
      <c r="D249" s="30" t="str">
        <f>LEFT(Table5[[#This Row],[First_Name]],2)&amp;LEFT(Table5[[#This Row],[Last_Name]],2)&amp;ROW()</f>
        <v>EmMa249</v>
      </c>
    </row>
    <row r="250" spans="1:4" x14ac:dyDescent="0.25">
      <c r="A250" s="23" t="s">
        <v>261</v>
      </c>
      <c r="B250" s="29" t="str">
        <f>RIGHT(Table5[[#This Row],[Customer_Name]],LEN(Table5[[#This Row],[Customer_Name]])-FIND(",",Table5[[#This Row],[Customer_Name]])-1)</f>
        <v>Emily</v>
      </c>
      <c r="C250" s="29" t="str">
        <f>LEFT(Table5[[#This Row],[Customer_Name]],FIND(",",Table5[[#This Row],[Customer_Name]])-1)</f>
        <v>Brown</v>
      </c>
      <c r="D250" s="30" t="str">
        <f>LEFT(Table5[[#This Row],[First_Name]],2)&amp;LEFT(Table5[[#This Row],[Last_Name]],2)&amp;ROW()</f>
        <v>EmBr250</v>
      </c>
    </row>
    <row r="251" spans="1:4" x14ac:dyDescent="0.25">
      <c r="A251" s="23" t="s">
        <v>166</v>
      </c>
      <c r="B251" s="29" t="str">
        <f>RIGHT(Table5[[#This Row],[Customer_Name]],LEN(Table5[[#This Row],[Customer_Name]])-FIND(",",Table5[[#This Row],[Customer_Name]])-1)</f>
        <v>Daniel</v>
      </c>
      <c r="C251" s="29" t="str">
        <f>LEFT(Table5[[#This Row],[Customer_Name]],FIND(",",Table5[[#This Row],[Customer_Name]])-1)</f>
        <v>Brown</v>
      </c>
      <c r="D251" s="30" t="str">
        <f>LEFT(Table5[[#This Row],[First_Name]],2)&amp;LEFT(Table5[[#This Row],[Last_Name]],2)&amp;ROW()</f>
        <v>DaBr251</v>
      </c>
    </row>
    <row r="252" spans="1:4" x14ac:dyDescent="0.25">
      <c r="A252" s="23" t="s">
        <v>389</v>
      </c>
      <c r="B252" s="29" t="str">
        <f>RIGHT(Table5[[#This Row],[Customer_Name]],LEN(Table5[[#This Row],[Customer_Name]])-FIND(",",Table5[[#This Row],[Customer_Name]])-1)</f>
        <v>Laura</v>
      </c>
      <c r="C252" s="29" t="str">
        <f>LEFT(Table5[[#This Row],[Customer_Name]],FIND(",",Table5[[#This Row],[Customer_Name]])-1)</f>
        <v>Johnson</v>
      </c>
      <c r="D252" s="30" t="str">
        <f>LEFT(Table5[[#This Row],[First_Name]],2)&amp;LEFT(Table5[[#This Row],[Last_Name]],2)&amp;ROW()</f>
        <v>LaJo252</v>
      </c>
    </row>
    <row r="253" spans="1:4" x14ac:dyDescent="0.25">
      <c r="A253" s="23" t="s">
        <v>399</v>
      </c>
      <c r="B253" s="29" t="str">
        <f>RIGHT(Table5[[#This Row],[Customer_Name]],LEN(Table5[[#This Row],[Customer_Name]])-FIND(",",Table5[[#This Row],[Customer_Name]])-1)</f>
        <v>John</v>
      </c>
      <c r="C253" s="29" t="str">
        <f>LEFT(Table5[[#This Row],[Customer_Name]],FIND(",",Table5[[#This Row],[Customer_Name]])-1)</f>
        <v>Smith</v>
      </c>
      <c r="D253" s="30" t="str">
        <f>LEFT(Table5[[#This Row],[First_Name]],2)&amp;LEFT(Table5[[#This Row],[Last_Name]],2)&amp;ROW()</f>
        <v>JoSm253</v>
      </c>
    </row>
    <row r="254" spans="1:4" x14ac:dyDescent="0.25">
      <c r="A254" s="23" t="s">
        <v>34</v>
      </c>
      <c r="B254" s="29" t="str">
        <f>RIGHT(Table5[[#This Row],[Customer_Name]],LEN(Table5[[#This Row],[Customer_Name]])-FIND(",",Table5[[#This Row],[Customer_Name]])-1)</f>
        <v>Daniel</v>
      </c>
      <c r="C254" s="29" t="str">
        <f>LEFT(Table5[[#This Row],[Customer_Name]],FIND(",",Table5[[#This Row],[Customer_Name]])-1)</f>
        <v>Miller</v>
      </c>
      <c r="D254" s="30" t="str">
        <f>LEFT(Table5[[#This Row],[First_Name]],2)&amp;LEFT(Table5[[#This Row],[Last_Name]],2)&amp;ROW()</f>
        <v>DaMi254</v>
      </c>
    </row>
    <row r="255" spans="1:4" x14ac:dyDescent="0.25">
      <c r="A255" s="23" t="s">
        <v>319</v>
      </c>
      <c r="B255" s="29" t="str">
        <f>RIGHT(Table5[[#This Row],[Customer_Name]],LEN(Table5[[#This Row],[Customer_Name]])-FIND(",",Table5[[#This Row],[Customer_Name]])-1)</f>
        <v>Daniel</v>
      </c>
      <c r="C255" s="29" t="str">
        <f>LEFT(Table5[[#This Row],[Customer_Name]],FIND(",",Table5[[#This Row],[Customer_Name]])-1)</f>
        <v>Davis</v>
      </c>
      <c r="D255" s="30" t="str">
        <f>LEFT(Table5[[#This Row],[First_Name]],2)&amp;LEFT(Table5[[#This Row],[Last_Name]],2)&amp;ROW()</f>
        <v>DaDa255</v>
      </c>
    </row>
    <row r="256" spans="1:4" x14ac:dyDescent="0.25">
      <c r="A256" s="23" t="s">
        <v>199</v>
      </c>
      <c r="B256" s="29" t="str">
        <f>RIGHT(Table5[[#This Row],[Customer_Name]],LEN(Table5[[#This Row],[Customer_Name]])-FIND(",",Table5[[#This Row],[Customer_Name]])-1)</f>
        <v>Emily</v>
      </c>
      <c r="C256" s="29" t="str">
        <f>LEFT(Table5[[#This Row],[Customer_Name]],FIND(",",Table5[[#This Row],[Customer_Name]])-1)</f>
        <v>Davis</v>
      </c>
      <c r="D256" s="30" t="str">
        <f>LEFT(Table5[[#This Row],[First_Name]],2)&amp;LEFT(Table5[[#This Row],[Last_Name]],2)&amp;ROW()</f>
        <v>EmDa256</v>
      </c>
    </row>
    <row r="257" spans="1:4" x14ac:dyDescent="0.25">
      <c r="A257" s="23" t="s">
        <v>135</v>
      </c>
      <c r="B257" s="29" t="str">
        <f>RIGHT(Table5[[#This Row],[Customer_Name]],LEN(Table5[[#This Row],[Customer_Name]])-FIND(",",Table5[[#This Row],[Customer_Name]])-1)</f>
        <v>Daniel</v>
      </c>
      <c r="C257" s="29" t="str">
        <f>LEFT(Table5[[#This Row],[Customer_Name]],FIND(",",Table5[[#This Row],[Customer_Name]])-1)</f>
        <v>Smith</v>
      </c>
      <c r="D257" s="30" t="str">
        <f>LEFT(Table5[[#This Row],[First_Name]],2)&amp;LEFT(Table5[[#This Row],[Last_Name]],2)&amp;ROW()</f>
        <v>DaSm257</v>
      </c>
    </row>
    <row r="258" spans="1:4" x14ac:dyDescent="0.25">
      <c r="A258" s="23" t="s">
        <v>306</v>
      </c>
      <c r="B258" s="29" t="str">
        <f>RIGHT(Table5[[#This Row],[Customer_Name]],LEN(Table5[[#This Row],[Customer_Name]])-FIND(",",Table5[[#This Row],[Customer_Name]])-1)</f>
        <v>James</v>
      </c>
      <c r="C258" s="29" t="str">
        <f>LEFT(Table5[[#This Row],[Customer_Name]],FIND(",",Table5[[#This Row],[Customer_Name]])-1)</f>
        <v>Miller</v>
      </c>
      <c r="D258" s="30" t="str">
        <f>LEFT(Table5[[#This Row],[First_Name]],2)&amp;LEFT(Table5[[#This Row],[Last_Name]],2)&amp;ROW()</f>
        <v>JaMi258</v>
      </c>
    </row>
    <row r="259" spans="1:4" x14ac:dyDescent="0.25">
      <c r="A259" s="23" t="s">
        <v>166</v>
      </c>
      <c r="B259" s="29" t="str">
        <f>RIGHT(Table5[[#This Row],[Customer_Name]],LEN(Table5[[#This Row],[Customer_Name]])-FIND(",",Table5[[#This Row],[Customer_Name]])-1)</f>
        <v>Daniel</v>
      </c>
      <c r="C259" s="29" t="str">
        <f>LEFT(Table5[[#This Row],[Customer_Name]],FIND(",",Table5[[#This Row],[Customer_Name]])-1)</f>
        <v>Brown</v>
      </c>
      <c r="D259" s="30" t="str">
        <f>LEFT(Table5[[#This Row],[First_Name]],2)&amp;LEFT(Table5[[#This Row],[Last_Name]],2)&amp;ROW()</f>
        <v>DaBr259</v>
      </c>
    </row>
    <row r="260" spans="1:4" x14ac:dyDescent="0.25">
      <c r="A260" s="23" t="s">
        <v>293</v>
      </c>
      <c r="B260" s="29" t="str">
        <f>RIGHT(Table5[[#This Row],[Customer_Name]],LEN(Table5[[#This Row],[Customer_Name]])-FIND(",",Table5[[#This Row],[Customer_Name]])-1)</f>
        <v>David</v>
      </c>
      <c r="C260" s="29" t="str">
        <f>LEFT(Table5[[#This Row],[Customer_Name]],FIND(",",Table5[[#This Row],[Customer_Name]])-1)</f>
        <v>Martinez</v>
      </c>
      <c r="D260" s="30" t="str">
        <f>LEFT(Table5[[#This Row],[First_Name]],2)&amp;LEFT(Table5[[#This Row],[Last_Name]],2)&amp;ROW()</f>
        <v>DaMa260</v>
      </c>
    </row>
    <row r="261" spans="1:4" x14ac:dyDescent="0.25">
      <c r="A261" s="23" t="s">
        <v>408</v>
      </c>
      <c r="B261" s="29" t="str">
        <f>RIGHT(Table5[[#This Row],[Customer_Name]],LEN(Table5[[#This Row],[Customer_Name]])-FIND(",",Table5[[#This Row],[Customer_Name]])-1)</f>
        <v>Sophia</v>
      </c>
      <c r="C261" s="29" t="str">
        <f>LEFT(Table5[[#This Row],[Customer_Name]],FIND(",",Table5[[#This Row],[Customer_Name]])-1)</f>
        <v>Williams</v>
      </c>
      <c r="D261" s="30" t="str">
        <f>LEFT(Table5[[#This Row],[First_Name]],2)&amp;LEFT(Table5[[#This Row],[Last_Name]],2)&amp;ROW()</f>
        <v>SoWi261</v>
      </c>
    </row>
    <row r="262" spans="1:4" x14ac:dyDescent="0.25">
      <c r="A262" s="23" t="s">
        <v>410</v>
      </c>
      <c r="B262" s="29" t="str">
        <f>RIGHT(Table5[[#This Row],[Customer_Name]],LEN(Table5[[#This Row],[Customer_Name]])-FIND(",",Table5[[#This Row],[Customer_Name]])-1)</f>
        <v>James</v>
      </c>
      <c r="C262" s="29" t="str">
        <f>LEFT(Table5[[#This Row],[Customer_Name]],FIND(",",Table5[[#This Row],[Customer_Name]])-1)</f>
        <v>Garcia</v>
      </c>
      <c r="D262" s="30" t="str">
        <f>LEFT(Table5[[#This Row],[First_Name]],2)&amp;LEFT(Table5[[#This Row],[Last_Name]],2)&amp;ROW()</f>
        <v>JaGa262</v>
      </c>
    </row>
    <row r="263" spans="1:4" x14ac:dyDescent="0.25">
      <c r="A263" s="23" t="s">
        <v>278</v>
      </c>
      <c r="B263" s="29" t="str">
        <f>RIGHT(Table5[[#This Row],[Customer_Name]],LEN(Table5[[#This Row],[Customer_Name]])-FIND(",",Table5[[#This Row],[Customer_Name]])-1)</f>
        <v>Daniel</v>
      </c>
      <c r="C263" s="29" t="str">
        <f>LEFT(Table5[[#This Row],[Customer_Name]],FIND(",",Table5[[#This Row],[Customer_Name]])-1)</f>
        <v>Jones</v>
      </c>
      <c r="D263" s="30" t="str">
        <f>LEFT(Table5[[#This Row],[First_Name]],2)&amp;LEFT(Table5[[#This Row],[Last_Name]],2)&amp;ROW()</f>
        <v>DaJo263</v>
      </c>
    </row>
    <row r="264" spans="1:4" x14ac:dyDescent="0.25">
      <c r="A264" s="23" t="s">
        <v>364</v>
      </c>
      <c r="B264" s="29" t="str">
        <f>RIGHT(Table5[[#This Row],[Customer_Name]],LEN(Table5[[#This Row],[Customer_Name]])-FIND(",",Table5[[#This Row],[Customer_Name]])-1)</f>
        <v>Sophia</v>
      </c>
      <c r="C264" s="29" t="str">
        <f>LEFT(Table5[[#This Row],[Customer_Name]],FIND(",",Table5[[#This Row],[Customer_Name]])-1)</f>
        <v>Brown</v>
      </c>
      <c r="D264" s="30" t="str">
        <f>LEFT(Table5[[#This Row],[First_Name]],2)&amp;LEFT(Table5[[#This Row],[Last_Name]],2)&amp;ROW()</f>
        <v>SoBr264</v>
      </c>
    </row>
    <row r="265" spans="1:4" x14ac:dyDescent="0.25">
      <c r="A265" s="23" t="s">
        <v>166</v>
      </c>
      <c r="B265" s="29" t="str">
        <f>RIGHT(Table5[[#This Row],[Customer_Name]],LEN(Table5[[#This Row],[Customer_Name]])-FIND(",",Table5[[#This Row],[Customer_Name]])-1)</f>
        <v>Daniel</v>
      </c>
      <c r="C265" s="29" t="str">
        <f>LEFT(Table5[[#This Row],[Customer_Name]],FIND(",",Table5[[#This Row],[Customer_Name]])-1)</f>
        <v>Brown</v>
      </c>
      <c r="D265" s="30" t="str">
        <f>LEFT(Table5[[#This Row],[First_Name]],2)&amp;LEFT(Table5[[#This Row],[Last_Name]],2)&amp;ROW()</f>
        <v>DaBr265</v>
      </c>
    </row>
    <row r="266" spans="1:4" x14ac:dyDescent="0.25">
      <c r="A266" s="23" t="s">
        <v>199</v>
      </c>
      <c r="B266" s="29" t="str">
        <f>RIGHT(Table5[[#This Row],[Customer_Name]],LEN(Table5[[#This Row],[Customer_Name]])-FIND(",",Table5[[#This Row],[Customer_Name]])-1)</f>
        <v>Emily</v>
      </c>
      <c r="C266" s="29" t="str">
        <f>LEFT(Table5[[#This Row],[Customer_Name]],FIND(",",Table5[[#This Row],[Customer_Name]])-1)</f>
        <v>Davis</v>
      </c>
      <c r="D266" s="30" t="str">
        <f>LEFT(Table5[[#This Row],[First_Name]],2)&amp;LEFT(Table5[[#This Row],[Last_Name]],2)&amp;ROW()</f>
        <v>EmDa266</v>
      </c>
    </row>
    <row r="267" spans="1:4" x14ac:dyDescent="0.25">
      <c r="A267" s="23" t="s">
        <v>276</v>
      </c>
      <c r="B267" s="29" t="str">
        <f>RIGHT(Table5[[#This Row],[Customer_Name]],LEN(Table5[[#This Row],[Customer_Name]])-FIND(",",Table5[[#This Row],[Customer_Name]])-1)</f>
        <v>Sophia</v>
      </c>
      <c r="C267" s="29" t="str">
        <f>LEFT(Table5[[#This Row],[Customer_Name]],FIND(",",Table5[[#This Row],[Customer_Name]])-1)</f>
        <v>Davis</v>
      </c>
      <c r="D267" s="30" t="str">
        <f>LEFT(Table5[[#This Row],[First_Name]],2)&amp;LEFT(Table5[[#This Row],[Last_Name]],2)&amp;ROW()</f>
        <v>SoDa267</v>
      </c>
    </row>
    <row r="268" spans="1:4" x14ac:dyDescent="0.25">
      <c r="A268" s="23" t="s">
        <v>97</v>
      </c>
      <c r="B268" s="29" t="str">
        <f>RIGHT(Table5[[#This Row],[Customer_Name]],LEN(Table5[[#This Row],[Customer_Name]])-FIND(",",Table5[[#This Row],[Customer_Name]])-1)</f>
        <v>Michael</v>
      </c>
      <c r="C268" s="29" t="str">
        <f>LEFT(Table5[[#This Row],[Customer_Name]],FIND(",",Table5[[#This Row],[Customer_Name]])-1)</f>
        <v>Martinez</v>
      </c>
      <c r="D268" s="30" t="str">
        <f>LEFT(Table5[[#This Row],[First_Name]],2)&amp;LEFT(Table5[[#This Row],[Last_Name]],2)&amp;ROW()</f>
        <v>MiMa268</v>
      </c>
    </row>
    <row r="269" spans="1:4" x14ac:dyDescent="0.25">
      <c r="A269" s="23" t="s">
        <v>297</v>
      </c>
      <c r="B269" s="29" t="str">
        <f>RIGHT(Table5[[#This Row],[Customer_Name]],LEN(Table5[[#This Row],[Customer_Name]])-FIND(",",Table5[[#This Row],[Customer_Name]])-1)</f>
        <v>Emily</v>
      </c>
      <c r="C269" s="29" t="str">
        <f>LEFT(Table5[[#This Row],[Customer_Name]],FIND(",",Table5[[#This Row],[Customer_Name]])-1)</f>
        <v>Johnson</v>
      </c>
      <c r="D269" s="30" t="str">
        <f>LEFT(Table5[[#This Row],[First_Name]],2)&amp;LEFT(Table5[[#This Row],[Last_Name]],2)&amp;ROW()</f>
        <v>EmJo269</v>
      </c>
    </row>
    <row r="270" spans="1:4" x14ac:dyDescent="0.25">
      <c r="A270" s="23" t="s">
        <v>50</v>
      </c>
      <c r="B270" s="29" t="str">
        <f>RIGHT(Table5[[#This Row],[Customer_Name]],LEN(Table5[[#This Row],[Customer_Name]])-FIND(",",Table5[[#This Row],[Customer_Name]])-1)</f>
        <v>Emma</v>
      </c>
      <c r="C270" s="29" t="str">
        <f>LEFT(Table5[[#This Row],[Customer_Name]],FIND(",",Table5[[#This Row],[Customer_Name]])-1)</f>
        <v>Hernandez</v>
      </c>
      <c r="D270" s="30" t="str">
        <f>LEFT(Table5[[#This Row],[First_Name]],2)&amp;LEFT(Table5[[#This Row],[Last_Name]],2)&amp;ROW()</f>
        <v>EmHe270</v>
      </c>
    </row>
    <row r="271" spans="1:4" x14ac:dyDescent="0.25">
      <c r="A271" s="23" t="s">
        <v>105</v>
      </c>
      <c r="B271" s="29" t="str">
        <f>RIGHT(Table5[[#This Row],[Customer_Name]],LEN(Table5[[#This Row],[Customer_Name]])-FIND(",",Table5[[#This Row],[Customer_Name]])-1)</f>
        <v>Laura</v>
      </c>
      <c r="C271" s="29" t="str">
        <f>LEFT(Table5[[#This Row],[Customer_Name]],FIND(",",Table5[[#This Row],[Customer_Name]])-1)</f>
        <v>Miller</v>
      </c>
      <c r="D271" s="30" t="str">
        <f>LEFT(Table5[[#This Row],[First_Name]],2)&amp;LEFT(Table5[[#This Row],[Last_Name]],2)&amp;ROW()</f>
        <v>LaMi271</v>
      </c>
    </row>
    <row r="272" spans="1:4" x14ac:dyDescent="0.25">
      <c r="A272" s="23" t="s">
        <v>421</v>
      </c>
      <c r="B272" s="29" t="str">
        <f>RIGHT(Table5[[#This Row],[Customer_Name]],LEN(Table5[[#This Row],[Customer_Name]])-FIND(",",Table5[[#This Row],[Customer_Name]])-1)</f>
        <v>Laura</v>
      </c>
      <c r="C272" s="29" t="str">
        <f>LEFT(Table5[[#This Row],[Customer_Name]],FIND(",",Table5[[#This Row],[Customer_Name]])-1)</f>
        <v>Smith</v>
      </c>
      <c r="D272" s="30" t="str">
        <f>LEFT(Table5[[#This Row],[First_Name]],2)&amp;LEFT(Table5[[#This Row],[Last_Name]],2)&amp;ROW()</f>
        <v>LaSm272</v>
      </c>
    </row>
    <row r="273" spans="1:4" x14ac:dyDescent="0.25">
      <c r="A273" s="23" t="s">
        <v>89</v>
      </c>
      <c r="B273" s="29" t="str">
        <f>RIGHT(Table5[[#This Row],[Customer_Name]],LEN(Table5[[#This Row],[Customer_Name]])-FIND(",",Table5[[#This Row],[Customer_Name]])-1)</f>
        <v>David</v>
      </c>
      <c r="C273" s="29" t="str">
        <f>LEFT(Table5[[#This Row],[Customer_Name]],FIND(",",Table5[[#This Row],[Customer_Name]])-1)</f>
        <v>Davis</v>
      </c>
      <c r="D273" s="30" t="str">
        <f>LEFT(Table5[[#This Row],[First_Name]],2)&amp;LEFT(Table5[[#This Row],[Last_Name]],2)&amp;ROW()</f>
        <v>DaDa273</v>
      </c>
    </row>
    <row r="274" spans="1:4" x14ac:dyDescent="0.25">
      <c r="A274" s="23" t="s">
        <v>300</v>
      </c>
      <c r="B274" s="29" t="str">
        <f>RIGHT(Table5[[#This Row],[Customer_Name]],LEN(Table5[[#This Row],[Customer_Name]])-FIND(",",Table5[[#This Row],[Customer_Name]])-1)</f>
        <v>John</v>
      </c>
      <c r="C274" s="29" t="str">
        <f>LEFT(Table5[[#This Row],[Customer_Name]],FIND(",",Table5[[#This Row],[Customer_Name]])-1)</f>
        <v>Garcia</v>
      </c>
      <c r="D274" s="30" t="str">
        <f>LEFT(Table5[[#This Row],[First_Name]],2)&amp;LEFT(Table5[[#This Row],[Last_Name]],2)&amp;ROW()</f>
        <v>JoGa274</v>
      </c>
    </row>
    <row r="275" spans="1:4" x14ac:dyDescent="0.25">
      <c r="A275" s="23" t="s">
        <v>199</v>
      </c>
      <c r="B275" s="29" t="str">
        <f>RIGHT(Table5[[#This Row],[Customer_Name]],LEN(Table5[[#This Row],[Customer_Name]])-FIND(",",Table5[[#This Row],[Customer_Name]])-1)</f>
        <v>Emily</v>
      </c>
      <c r="C275" s="29" t="str">
        <f>LEFT(Table5[[#This Row],[Customer_Name]],FIND(",",Table5[[#This Row],[Customer_Name]])-1)</f>
        <v>Davis</v>
      </c>
      <c r="D275" s="30" t="str">
        <f>LEFT(Table5[[#This Row],[First_Name]],2)&amp;LEFT(Table5[[#This Row],[Last_Name]],2)&amp;ROW()</f>
        <v>EmDa275</v>
      </c>
    </row>
    <row r="276" spans="1:4" x14ac:dyDescent="0.25">
      <c r="A276" s="23" t="s">
        <v>154</v>
      </c>
      <c r="B276" s="29" t="str">
        <f>RIGHT(Table5[[#This Row],[Customer_Name]],LEN(Table5[[#This Row],[Customer_Name]])-FIND(",",Table5[[#This Row],[Customer_Name]])-1)</f>
        <v>Michael</v>
      </c>
      <c r="C276" s="29" t="str">
        <f>LEFT(Table5[[#This Row],[Customer_Name]],FIND(",",Table5[[#This Row],[Customer_Name]])-1)</f>
        <v>Williams</v>
      </c>
      <c r="D276" s="30" t="str">
        <f>LEFT(Table5[[#This Row],[First_Name]],2)&amp;LEFT(Table5[[#This Row],[Last_Name]],2)&amp;ROW()</f>
        <v>MiWi276</v>
      </c>
    </row>
    <row r="277" spans="1:4" x14ac:dyDescent="0.25">
      <c r="A277" s="23" t="s">
        <v>286</v>
      </c>
      <c r="B277" s="29" t="str">
        <f>RIGHT(Table5[[#This Row],[Customer_Name]],LEN(Table5[[#This Row],[Customer_Name]])-FIND(",",Table5[[#This Row],[Customer_Name]])-1)</f>
        <v>Michael</v>
      </c>
      <c r="C277" s="29" t="str">
        <f>LEFT(Table5[[#This Row],[Customer_Name]],FIND(",",Table5[[#This Row],[Customer_Name]])-1)</f>
        <v>Hernandez</v>
      </c>
      <c r="D277" s="30" t="str">
        <f>LEFT(Table5[[#This Row],[First_Name]],2)&amp;LEFT(Table5[[#This Row],[Last_Name]],2)&amp;ROW()</f>
        <v>MiHe277</v>
      </c>
    </row>
    <row r="278" spans="1:4" x14ac:dyDescent="0.25">
      <c r="A278" s="23" t="s">
        <v>364</v>
      </c>
      <c r="B278" s="29" t="str">
        <f>RIGHT(Table5[[#This Row],[Customer_Name]],LEN(Table5[[#This Row],[Customer_Name]])-FIND(",",Table5[[#This Row],[Customer_Name]])-1)</f>
        <v>Sophia</v>
      </c>
      <c r="C278" s="29" t="str">
        <f>LEFT(Table5[[#This Row],[Customer_Name]],FIND(",",Table5[[#This Row],[Customer_Name]])-1)</f>
        <v>Brown</v>
      </c>
      <c r="D278" s="30" t="str">
        <f>LEFT(Table5[[#This Row],[First_Name]],2)&amp;LEFT(Table5[[#This Row],[Last_Name]],2)&amp;ROW()</f>
        <v>SoBr278</v>
      </c>
    </row>
    <row r="279" spans="1:4" x14ac:dyDescent="0.25">
      <c r="A279" s="23" t="s">
        <v>240</v>
      </c>
      <c r="B279" s="29" t="str">
        <f>RIGHT(Table5[[#This Row],[Customer_Name]],LEN(Table5[[#This Row],[Customer_Name]])-FIND(",",Table5[[#This Row],[Customer_Name]])-1)</f>
        <v>David</v>
      </c>
      <c r="C279" s="29" t="str">
        <f>LEFT(Table5[[#This Row],[Customer_Name]],FIND(",",Table5[[#This Row],[Customer_Name]])-1)</f>
        <v>Hernandez</v>
      </c>
      <c r="D279" s="30" t="str">
        <f>LEFT(Table5[[#This Row],[First_Name]],2)&amp;LEFT(Table5[[#This Row],[Last_Name]],2)&amp;ROW()</f>
        <v>DaHe279</v>
      </c>
    </row>
    <row r="280" spans="1:4" x14ac:dyDescent="0.25">
      <c r="A280" s="23" t="s">
        <v>315</v>
      </c>
      <c r="B280" s="29" t="str">
        <f>RIGHT(Table5[[#This Row],[Customer_Name]],LEN(Table5[[#This Row],[Customer_Name]])-FIND(",",Table5[[#This Row],[Customer_Name]])-1)</f>
        <v>Sarah</v>
      </c>
      <c r="C280" s="29" t="str">
        <f>LEFT(Table5[[#This Row],[Customer_Name]],FIND(",",Table5[[#This Row],[Customer_Name]])-1)</f>
        <v>Hernandez</v>
      </c>
      <c r="D280" s="30" t="str">
        <f>LEFT(Table5[[#This Row],[First_Name]],2)&amp;LEFT(Table5[[#This Row],[Last_Name]],2)&amp;ROW()</f>
        <v>SaHe280</v>
      </c>
    </row>
    <row r="281" spans="1:4" x14ac:dyDescent="0.25">
      <c r="A281" s="23" t="s">
        <v>113</v>
      </c>
      <c r="B281" s="29" t="str">
        <f>RIGHT(Table5[[#This Row],[Customer_Name]],LEN(Table5[[#This Row],[Customer_Name]])-FIND(",",Table5[[#This Row],[Customer_Name]])-1)</f>
        <v>John</v>
      </c>
      <c r="C281" s="29" t="str">
        <f>LEFT(Table5[[#This Row],[Customer_Name]],FIND(",",Table5[[#This Row],[Customer_Name]])-1)</f>
        <v>Hernandez</v>
      </c>
      <c r="D281" s="30" t="str">
        <f>LEFT(Table5[[#This Row],[First_Name]],2)&amp;LEFT(Table5[[#This Row],[Last_Name]],2)&amp;ROW()</f>
        <v>JoHe281</v>
      </c>
    </row>
    <row r="282" spans="1:4" x14ac:dyDescent="0.25">
      <c r="A282" s="23" t="s">
        <v>67</v>
      </c>
      <c r="B282" s="29" t="str">
        <f>RIGHT(Table5[[#This Row],[Customer_Name]],LEN(Table5[[#This Row],[Customer_Name]])-FIND(",",Table5[[#This Row],[Customer_Name]])-1)</f>
        <v>James</v>
      </c>
      <c r="C282" s="29" t="str">
        <f>LEFT(Table5[[#This Row],[Customer_Name]],FIND(",",Table5[[#This Row],[Customer_Name]])-1)</f>
        <v>Davis</v>
      </c>
      <c r="D282" s="30" t="str">
        <f>LEFT(Table5[[#This Row],[First_Name]],2)&amp;LEFT(Table5[[#This Row],[Last_Name]],2)&amp;ROW()</f>
        <v>JaDa282</v>
      </c>
    </row>
    <row r="283" spans="1:4" x14ac:dyDescent="0.25">
      <c r="A283" s="23" t="s">
        <v>297</v>
      </c>
      <c r="B283" s="29" t="str">
        <f>RIGHT(Table5[[#This Row],[Customer_Name]],LEN(Table5[[#This Row],[Customer_Name]])-FIND(",",Table5[[#This Row],[Customer_Name]])-1)</f>
        <v>Emily</v>
      </c>
      <c r="C283" s="29" t="str">
        <f>LEFT(Table5[[#This Row],[Customer_Name]],FIND(",",Table5[[#This Row],[Customer_Name]])-1)</f>
        <v>Johnson</v>
      </c>
      <c r="D283" s="30" t="str">
        <f>LEFT(Table5[[#This Row],[First_Name]],2)&amp;LEFT(Table5[[#This Row],[Last_Name]],2)&amp;ROW()</f>
        <v>EmJo283</v>
      </c>
    </row>
    <row r="284" spans="1:4" x14ac:dyDescent="0.25">
      <c r="A284" s="23" t="s">
        <v>117</v>
      </c>
      <c r="B284" s="29" t="str">
        <f>RIGHT(Table5[[#This Row],[Customer_Name]],LEN(Table5[[#This Row],[Customer_Name]])-FIND(",",Table5[[#This Row],[Customer_Name]])-1)</f>
        <v>David</v>
      </c>
      <c r="C284" s="29" t="str">
        <f>LEFT(Table5[[#This Row],[Customer_Name]],FIND(",",Table5[[#This Row],[Customer_Name]])-1)</f>
        <v>Miller</v>
      </c>
      <c r="D284" s="30" t="str">
        <f>LEFT(Table5[[#This Row],[First_Name]],2)&amp;LEFT(Table5[[#This Row],[Last_Name]],2)&amp;ROW()</f>
        <v>DaMi284</v>
      </c>
    </row>
    <row r="285" spans="1:4" x14ac:dyDescent="0.25">
      <c r="A285" s="23" t="s">
        <v>221</v>
      </c>
      <c r="B285" s="29" t="str">
        <f>RIGHT(Table5[[#This Row],[Customer_Name]],LEN(Table5[[#This Row],[Customer_Name]])-FIND(",",Table5[[#This Row],[Customer_Name]])-1)</f>
        <v>David</v>
      </c>
      <c r="C285" s="29" t="str">
        <f>LEFT(Table5[[#This Row],[Customer_Name]],FIND(",",Table5[[#This Row],[Customer_Name]])-1)</f>
        <v>Johnson</v>
      </c>
      <c r="D285" s="30" t="str">
        <f>LEFT(Table5[[#This Row],[First_Name]],2)&amp;LEFT(Table5[[#This Row],[Last_Name]],2)&amp;ROW()</f>
        <v>DaJo285</v>
      </c>
    </row>
    <row r="286" spans="1:4" x14ac:dyDescent="0.25">
      <c r="A286" s="23" t="s">
        <v>121</v>
      </c>
      <c r="B286" s="29" t="str">
        <f>RIGHT(Table5[[#This Row],[Customer_Name]],LEN(Table5[[#This Row],[Customer_Name]])-FIND(",",Table5[[#This Row],[Customer_Name]])-1)</f>
        <v>Sarah</v>
      </c>
      <c r="C286" s="29" t="str">
        <f>LEFT(Table5[[#This Row],[Customer_Name]],FIND(",",Table5[[#This Row],[Customer_Name]])-1)</f>
        <v>Martinez</v>
      </c>
      <c r="D286" s="30" t="str">
        <f>LEFT(Table5[[#This Row],[First_Name]],2)&amp;LEFT(Table5[[#This Row],[Last_Name]],2)&amp;ROW()</f>
        <v>SaMa286</v>
      </c>
    </row>
    <row r="287" spans="1:4" x14ac:dyDescent="0.25">
      <c r="A287" s="23" t="s">
        <v>110</v>
      </c>
      <c r="B287" s="29" t="str">
        <f>RIGHT(Table5[[#This Row],[Customer_Name]],LEN(Table5[[#This Row],[Customer_Name]])-FIND(",",Table5[[#This Row],[Customer_Name]])-1)</f>
        <v>Sophia</v>
      </c>
      <c r="C287" s="29" t="str">
        <f>LEFT(Table5[[#This Row],[Customer_Name]],FIND(",",Table5[[#This Row],[Customer_Name]])-1)</f>
        <v>Smith</v>
      </c>
      <c r="D287" s="30" t="str">
        <f>LEFT(Table5[[#This Row],[First_Name]],2)&amp;LEFT(Table5[[#This Row],[Last_Name]],2)&amp;ROW()</f>
        <v>SoSm287</v>
      </c>
    </row>
    <row r="288" spans="1:4" x14ac:dyDescent="0.25">
      <c r="A288" s="23" t="s">
        <v>161</v>
      </c>
      <c r="B288" s="29" t="str">
        <f>RIGHT(Table5[[#This Row],[Customer_Name]],LEN(Table5[[#This Row],[Customer_Name]])-FIND(",",Table5[[#This Row],[Customer_Name]])-1)</f>
        <v>Emily</v>
      </c>
      <c r="C288" s="29" t="str">
        <f>LEFT(Table5[[#This Row],[Customer_Name]],FIND(",",Table5[[#This Row],[Customer_Name]])-1)</f>
        <v>Williams</v>
      </c>
      <c r="D288" s="30" t="str">
        <f>LEFT(Table5[[#This Row],[First_Name]],2)&amp;LEFT(Table5[[#This Row],[Last_Name]],2)&amp;ROW()</f>
        <v>EmWi288</v>
      </c>
    </row>
    <row r="289" spans="1:4" x14ac:dyDescent="0.25">
      <c r="A289" s="23" t="s">
        <v>30</v>
      </c>
      <c r="B289" s="29" t="str">
        <f>RIGHT(Table5[[#This Row],[Customer_Name]],LEN(Table5[[#This Row],[Customer_Name]])-FIND(",",Table5[[#This Row],[Customer_Name]])-1)</f>
        <v>John</v>
      </c>
      <c r="C289" s="29" t="str">
        <f>LEFT(Table5[[#This Row],[Customer_Name]],FIND(",",Table5[[#This Row],[Customer_Name]])-1)</f>
        <v>Davis</v>
      </c>
      <c r="D289" s="30" t="str">
        <f>LEFT(Table5[[#This Row],[First_Name]],2)&amp;LEFT(Table5[[#This Row],[Last_Name]],2)&amp;ROW()</f>
        <v>JoDa289</v>
      </c>
    </row>
    <row r="290" spans="1:4" x14ac:dyDescent="0.25">
      <c r="A290" s="23" t="s">
        <v>221</v>
      </c>
      <c r="B290" s="29" t="str">
        <f>RIGHT(Table5[[#This Row],[Customer_Name]],LEN(Table5[[#This Row],[Customer_Name]])-FIND(",",Table5[[#This Row],[Customer_Name]])-1)</f>
        <v>David</v>
      </c>
      <c r="C290" s="29" t="str">
        <f>LEFT(Table5[[#This Row],[Customer_Name]],FIND(",",Table5[[#This Row],[Customer_Name]])-1)</f>
        <v>Johnson</v>
      </c>
      <c r="D290" s="30" t="str">
        <f>LEFT(Table5[[#This Row],[First_Name]],2)&amp;LEFT(Table5[[#This Row],[Last_Name]],2)&amp;ROW()</f>
        <v>DaJo290</v>
      </c>
    </row>
    <row r="291" spans="1:4" x14ac:dyDescent="0.25">
      <c r="A291" s="23" t="s">
        <v>306</v>
      </c>
      <c r="B291" s="29" t="str">
        <f>RIGHT(Table5[[#This Row],[Customer_Name]],LEN(Table5[[#This Row],[Customer_Name]])-FIND(",",Table5[[#This Row],[Customer_Name]])-1)</f>
        <v>James</v>
      </c>
      <c r="C291" s="29" t="str">
        <f>LEFT(Table5[[#This Row],[Customer_Name]],FIND(",",Table5[[#This Row],[Customer_Name]])-1)</f>
        <v>Miller</v>
      </c>
      <c r="D291" s="30" t="str">
        <f>LEFT(Table5[[#This Row],[First_Name]],2)&amp;LEFT(Table5[[#This Row],[Last_Name]],2)&amp;ROW()</f>
        <v>JaMi291</v>
      </c>
    </row>
    <row r="292" spans="1:4" x14ac:dyDescent="0.25">
      <c r="A292" s="23" t="s">
        <v>221</v>
      </c>
      <c r="B292" s="29" t="str">
        <f>RIGHT(Table5[[#This Row],[Customer_Name]],LEN(Table5[[#This Row],[Customer_Name]])-FIND(",",Table5[[#This Row],[Customer_Name]])-1)</f>
        <v>David</v>
      </c>
      <c r="C292" s="29" t="str">
        <f>LEFT(Table5[[#This Row],[Customer_Name]],FIND(",",Table5[[#This Row],[Customer_Name]])-1)</f>
        <v>Johnson</v>
      </c>
      <c r="D292" s="30" t="str">
        <f>LEFT(Table5[[#This Row],[First_Name]],2)&amp;LEFT(Table5[[#This Row],[Last_Name]],2)&amp;ROW()</f>
        <v>DaJo292</v>
      </c>
    </row>
    <row r="293" spans="1:4" x14ac:dyDescent="0.25">
      <c r="A293" s="23" t="s">
        <v>300</v>
      </c>
      <c r="B293" s="29" t="str">
        <f>RIGHT(Table5[[#This Row],[Customer_Name]],LEN(Table5[[#This Row],[Customer_Name]])-FIND(",",Table5[[#This Row],[Customer_Name]])-1)</f>
        <v>John</v>
      </c>
      <c r="C293" s="29" t="str">
        <f>LEFT(Table5[[#This Row],[Customer_Name]],FIND(",",Table5[[#This Row],[Customer_Name]])-1)</f>
        <v>Garcia</v>
      </c>
      <c r="D293" s="30" t="str">
        <f>LEFT(Table5[[#This Row],[First_Name]],2)&amp;LEFT(Table5[[#This Row],[Last_Name]],2)&amp;ROW()</f>
        <v>JoGa293</v>
      </c>
    </row>
    <row r="294" spans="1:4" x14ac:dyDescent="0.25">
      <c r="A294" s="23" t="s">
        <v>67</v>
      </c>
      <c r="B294" s="29" t="str">
        <f>RIGHT(Table5[[#This Row],[Customer_Name]],LEN(Table5[[#This Row],[Customer_Name]])-FIND(",",Table5[[#This Row],[Customer_Name]])-1)</f>
        <v>James</v>
      </c>
      <c r="C294" s="29" t="str">
        <f>LEFT(Table5[[#This Row],[Customer_Name]],FIND(",",Table5[[#This Row],[Customer_Name]])-1)</f>
        <v>Davis</v>
      </c>
      <c r="D294" s="30" t="str">
        <f>LEFT(Table5[[#This Row],[First_Name]],2)&amp;LEFT(Table5[[#This Row],[Last_Name]],2)&amp;ROW()</f>
        <v>JaDa294</v>
      </c>
    </row>
    <row r="295" spans="1:4" x14ac:dyDescent="0.25">
      <c r="A295" s="23" t="s">
        <v>135</v>
      </c>
      <c r="B295" s="29" t="str">
        <f>RIGHT(Table5[[#This Row],[Customer_Name]],LEN(Table5[[#This Row],[Customer_Name]])-FIND(",",Table5[[#This Row],[Customer_Name]])-1)</f>
        <v>Daniel</v>
      </c>
      <c r="C295" s="29" t="str">
        <f>LEFT(Table5[[#This Row],[Customer_Name]],FIND(",",Table5[[#This Row],[Customer_Name]])-1)</f>
        <v>Smith</v>
      </c>
      <c r="D295" s="30" t="str">
        <f>LEFT(Table5[[#This Row],[First_Name]],2)&amp;LEFT(Table5[[#This Row],[Last_Name]],2)&amp;ROW()</f>
        <v>DaSm295</v>
      </c>
    </row>
    <row r="296" spans="1:4" x14ac:dyDescent="0.25">
      <c r="A296" s="23" t="s">
        <v>62</v>
      </c>
      <c r="B296" s="29" t="str">
        <f>RIGHT(Table5[[#This Row],[Customer_Name]],LEN(Table5[[#This Row],[Customer_Name]])-FIND(",",Table5[[#This Row],[Customer_Name]])-1)</f>
        <v>Laura</v>
      </c>
      <c r="C296" s="29" t="str">
        <f>LEFT(Table5[[#This Row],[Customer_Name]],FIND(",",Table5[[#This Row],[Customer_Name]])-1)</f>
        <v>Martinez</v>
      </c>
      <c r="D296" s="30" t="str">
        <f>LEFT(Table5[[#This Row],[First_Name]],2)&amp;LEFT(Table5[[#This Row],[Last_Name]],2)&amp;ROW()</f>
        <v>LaMa296</v>
      </c>
    </row>
    <row r="297" spans="1:4" x14ac:dyDescent="0.25">
      <c r="A297" s="23" t="s">
        <v>364</v>
      </c>
      <c r="B297" s="29" t="str">
        <f>RIGHT(Table5[[#This Row],[Customer_Name]],LEN(Table5[[#This Row],[Customer_Name]])-FIND(",",Table5[[#This Row],[Customer_Name]])-1)</f>
        <v>Sophia</v>
      </c>
      <c r="C297" s="29" t="str">
        <f>LEFT(Table5[[#This Row],[Customer_Name]],FIND(",",Table5[[#This Row],[Customer_Name]])-1)</f>
        <v>Brown</v>
      </c>
      <c r="D297" s="30" t="str">
        <f>LEFT(Table5[[#This Row],[First_Name]],2)&amp;LEFT(Table5[[#This Row],[Last_Name]],2)&amp;ROW()</f>
        <v>SoBr297</v>
      </c>
    </row>
    <row r="298" spans="1:4" x14ac:dyDescent="0.25">
      <c r="A298" s="23" t="s">
        <v>100</v>
      </c>
      <c r="B298" s="29" t="str">
        <f>RIGHT(Table5[[#This Row],[Customer_Name]],LEN(Table5[[#This Row],[Customer_Name]])-FIND(",",Table5[[#This Row],[Customer_Name]])-1)</f>
        <v>Laura</v>
      </c>
      <c r="C298" s="29" t="str">
        <f>LEFT(Table5[[#This Row],[Customer_Name]],FIND(",",Table5[[#This Row],[Customer_Name]])-1)</f>
        <v>Jones</v>
      </c>
      <c r="D298" s="30" t="str">
        <f>LEFT(Table5[[#This Row],[First_Name]],2)&amp;LEFT(Table5[[#This Row],[Last_Name]],2)&amp;ROW()</f>
        <v>LaJo298</v>
      </c>
    </row>
    <row r="299" spans="1:4" x14ac:dyDescent="0.25">
      <c r="A299" s="23" t="s">
        <v>166</v>
      </c>
      <c r="B299" s="29" t="str">
        <f>RIGHT(Table5[[#This Row],[Customer_Name]],LEN(Table5[[#This Row],[Customer_Name]])-FIND(",",Table5[[#This Row],[Customer_Name]])-1)</f>
        <v>Daniel</v>
      </c>
      <c r="C299" s="29" t="str">
        <f>LEFT(Table5[[#This Row],[Customer_Name]],FIND(",",Table5[[#This Row],[Customer_Name]])-1)</f>
        <v>Brown</v>
      </c>
      <c r="D299" s="30" t="str">
        <f>LEFT(Table5[[#This Row],[First_Name]],2)&amp;LEFT(Table5[[#This Row],[Last_Name]],2)&amp;ROW()</f>
        <v>DaBr299</v>
      </c>
    </row>
    <row r="300" spans="1:4" x14ac:dyDescent="0.25">
      <c r="A300" s="23" t="s">
        <v>100</v>
      </c>
      <c r="B300" s="29" t="str">
        <f>RIGHT(Table5[[#This Row],[Customer_Name]],LEN(Table5[[#This Row],[Customer_Name]])-FIND(",",Table5[[#This Row],[Customer_Name]])-1)</f>
        <v>Laura</v>
      </c>
      <c r="C300" s="29" t="str">
        <f>LEFT(Table5[[#This Row],[Customer_Name]],FIND(",",Table5[[#This Row],[Customer_Name]])-1)</f>
        <v>Jones</v>
      </c>
      <c r="D300" s="30" t="str">
        <f>LEFT(Table5[[#This Row],[First_Name]],2)&amp;LEFT(Table5[[#This Row],[Last_Name]],2)&amp;ROW()</f>
        <v>LaJo300</v>
      </c>
    </row>
    <row r="301" spans="1:4" x14ac:dyDescent="0.25">
      <c r="A301" s="23" t="s">
        <v>23</v>
      </c>
      <c r="B301" s="29" t="str">
        <f>RIGHT(Table5[[#This Row],[Customer_Name]],LEN(Table5[[#This Row],[Customer_Name]])-FIND(",",Table5[[#This Row],[Customer_Name]])-1)</f>
        <v>Laura</v>
      </c>
      <c r="C301" s="29" t="str">
        <f>LEFT(Table5[[#This Row],[Customer_Name]],FIND(",",Table5[[#This Row],[Customer_Name]])-1)</f>
        <v>Brown</v>
      </c>
      <c r="D301" s="30" t="str">
        <f>LEFT(Table5[[#This Row],[First_Name]],2)&amp;LEFT(Table5[[#This Row],[Last_Name]],2)&amp;ROW()</f>
        <v>LaBr301</v>
      </c>
    </row>
    <row r="302" spans="1:4" x14ac:dyDescent="0.25">
      <c r="A302" s="23" t="s">
        <v>91</v>
      </c>
      <c r="B302" s="29" t="str">
        <f>RIGHT(Table5[[#This Row],[Customer_Name]],LEN(Table5[[#This Row],[Customer_Name]])-FIND(",",Table5[[#This Row],[Customer_Name]])-1)</f>
        <v>Sarah</v>
      </c>
      <c r="C302" s="29" t="str">
        <f>LEFT(Table5[[#This Row],[Customer_Name]],FIND(",",Table5[[#This Row],[Customer_Name]])-1)</f>
        <v>Johnson</v>
      </c>
      <c r="D302" s="30" t="str">
        <f>LEFT(Table5[[#This Row],[First_Name]],2)&amp;LEFT(Table5[[#This Row],[Last_Name]],2)&amp;ROW()</f>
        <v>SaJo302</v>
      </c>
    </row>
    <row r="303" spans="1:4" x14ac:dyDescent="0.25">
      <c r="A303" s="23" t="s">
        <v>183</v>
      </c>
      <c r="B303" s="29" t="str">
        <f>RIGHT(Table5[[#This Row],[Customer_Name]],LEN(Table5[[#This Row],[Customer_Name]])-FIND(",",Table5[[#This Row],[Customer_Name]])-1)</f>
        <v>Michael</v>
      </c>
      <c r="C303" s="29" t="str">
        <f>LEFT(Table5[[#This Row],[Customer_Name]],FIND(",",Table5[[#This Row],[Customer_Name]])-1)</f>
        <v>Davis</v>
      </c>
      <c r="D303" s="30" t="str">
        <f>LEFT(Table5[[#This Row],[First_Name]],2)&amp;LEFT(Table5[[#This Row],[Last_Name]],2)&amp;ROW()</f>
        <v>MiDa303</v>
      </c>
    </row>
    <row r="304" spans="1:4" x14ac:dyDescent="0.25">
      <c r="A304" s="23" t="s">
        <v>154</v>
      </c>
      <c r="B304" s="29" t="str">
        <f>RIGHT(Table5[[#This Row],[Customer_Name]],LEN(Table5[[#This Row],[Customer_Name]])-FIND(",",Table5[[#This Row],[Customer_Name]])-1)</f>
        <v>Michael</v>
      </c>
      <c r="C304" s="29" t="str">
        <f>LEFT(Table5[[#This Row],[Customer_Name]],FIND(",",Table5[[#This Row],[Customer_Name]])-1)</f>
        <v>Williams</v>
      </c>
      <c r="D304" s="30" t="str">
        <f>LEFT(Table5[[#This Row],[First_Name]],2)&amp;LEFT(Table5[[#This Row],[Last_Name]],2)&amp;ROW()</f>
        <v>MiWi304</v>
      </c>
    </row>
    <row r="305" spans="1:4" x14ac:dyDescent="0.25">
      <c r="A305" s="23" t="s">
        <v>145</v>
      </c>
      <c r="B305" s="29" t="str">
        <f>RIGHT(Table5[[#This Row],[Customer_Name]],LEN(Table5[[#This Row],[Customer_Name]])-FIND(",",Table5[[#This Row],[Customer_Name]])-1)</f>
        <v>Daniel</v>
      </c>
      <c r="C305" s="29" t="str">
        <f>LEFT(Table5[[#This Row],[Customer_Name]],FIND(",",Table5[[#This Row],[Customer_Name]])-1)</f>
        <v>Johnson</v>
      </c>
      <c r="D305" s="30" t="str">
        <f>LEFT(Table5[[#This Row],[First_Name]],2)&amp;LEFT(Table5[[#This Row],[Last_Name]],2)&amp;ROW()</f>
        <v>DaJo305</v>
      </c>
    </row>
    <row r="306" spans="1:4" x14ac:dyDescent="0.25">
      <c r="A306" s="23" t="s">
        <v>119</v>
      </c>
      <c r="B306" s="29" t="str">
        <f>RIGHT(Table5[[#This Row],[Customer_Name]],LEN(Table5[[#This Row],[Customer_Name]])-FIND(",",Table5[[#This Row],[Customer_Name]])-1)</f>
        <v>Michael</v>
      </c>
      <c r="C306" s="29" t="str">
        <f>LEFT(Table5[[#This Row],[Customer_Name]],FIND(",",Table5[[#This Row],[Customer_Name]])-1)</f>
        <v>Smith</v>
      </c>
      <c r="D306" s="30" t="str">
        <f>LEFT(Table5[[#This Row],[First_Name]],2)&amp;LEFT(Table5[[#This Row],[Last_Name]],2)&amp;ROW()</f>
        <v>MiSm306</v>
      </c>
    </row>
    <row r="307" spans="1:4" x14ac:dyDescent="0.25">
      <c r="A307" s="23" t="s">
        <v>246</v>
      </c>
      <c r="B307" s="29" t="str">
        <f>RIGHT(Table5[[#This Row],[Customer_Name]],LEN(Table5[[#This Row],[Customer_Name]])-FIND(",",Table5[[#This Row],[Customer_Name]])-1)</f>
        <v>John</v>
      </c>
      <c r="C307" s="29" t="str">
        <f>LEFT(Table5[[#This Row],[Customer_Name]],FIND(",",Table5[[#This Row],[Customer_Name]])-1)</f>
        <v>Martinez</v>
      </c>
      <c r="D307" s="30" t="str">
        <f>LEFT(Table5[[#This Row],[First_Name]],2)&amp;LEFT(Table5[[#This Row],[Last_Name]],2)&amp;ROW()</f>
        <v>JoMa307</v>
      </c>
    </row>
    <row r="308" spans="1:4" x14ac:dyDescent="0.25">
      <c r="A308" s="23" t="s">
        <v>315</v>
      </c>
      <c r="B308" s="29" t="str">
        <f>RIGHT(Table5[[#This Row],[Customer_Name]],LEN(Table5[[#This Row],[Customer_Name]])-FIND(",",Table5[[#This Row],[Customer_Name]])-1)</f>
        <v>Sarah</v>
      </c>
      <c r="C308" s="29" t="str">
        <f>LEFT(Table5[[#This Row],[Customer_Name]],FIND(",",Table5[[#This Row],[Customer_Name]])-1)</f>
        <v>Hernandez</v>
      </c>
      <c r="D308" s="30" t="str">
        <f>LEFT(Table5[[#This Row],[First_Name]],2)&amp;LEFT(Table5[[#This Row],[Last_Name]],2)&amp;ROW()</f>
        <v>SaHe308</v>
      </c>
    </row>
    <row r="309" spans="1:4" x14ac:dyDescent="0.25">
      <c r="A309" s="23" t="s">
        <v>166</v>
      </c>
      <c r="B309" s="29" t="str">
        <f>RIGHT(Table5[[#This Row],[Customer_Name]],LEN(Table5[[#This Row],[Customer_Name]])-FIND(",",Table5[[#This Row],[Customer_Name]])-1)</f>
        <v>Daniel</v>
      </c>
      <c r="C309" s="29" t="str">
        <f>LEFT(Table5[[#This Row],[Customer_Name]],FIND(",",Table5[[#This Row],[Customer_Name]])-1)</f>
        <v>Brown</v>
      </c>
      <c r="D309" s="30" t="str">
        <f>LEFT(Table5[[#This Row],[First_Name]],2)&amp;LEFT(Table5[[#This Row],[Last_Name]],2)&amp;ROW()</f>
        <v>DaBr309</v>
      </c>
    </row>
    <row r="310" spans="1:4" x14ac:dyDescent="0.25">
      <c r="A310" s="23" t="s">
        <v>291</v>
      </c>
      <c r="B310" s="29" t="str">
        <f>RIGHT(Table5[[#This Row],[Customer_Name]],LEN(Table5[[#This Row],[Customer_Name]])-FIND(",",Table5[[#This Row],[Customer_Name]])-1)</f>
        <v>John</v>
      </c>
      <c r="C310" s="29" t="str">
        <f>LEFT(Table5[[#This Row],[Customer_Name]],FIND(",",Table5[[#This Row],[Customer_Name]])-1)</f>
        <v>Brown</v>
      </c>
      <c r="D310" s="30" t="str">
        <f>LEFT(Table5[[#This Row],[First_Name]],2)&amp;LEFT(Table5[[#This Row],[Last_Name]],2)&amp;ROW()</f>
        <v>JoBr310</v>
      </c>
    </row>
    <row r="311" spans="1:4" x14ac:dyDescent="0.25">
      <c r="A311" s="23" t="s">
        <v>67</v>
      </c>
      <c r="B311" s="29" t="str">
        <f>RIGHT(Table5[[#This Row],[Customer_Name]],LEN(Table5[[#This Row],[Customer_Name]])-FIND(",",Table5[[#This Row],[Customer_Name]])-1)</f>
        <v>James</v>
      </c>
      <c r="C311" s="29" t="str">
        <f>LEFT(Table5[[#This Row],[Customer_Name]],FIND(",",Table5[[#This Row],[Customer_Name]])-1)</f>
        <v>Davis</v>
      </c>
      <c r="D311" s="30" t="str">
        <f>LEFT(Table5[[#This Row],[First_Name]],2)&amp;LEFT(Table5[[#This Row],[Last_Name]],2)&amp;ROW()</f>
        <v>JaDa311</v>
      </c>
    </row>
    <row r="312" spans="1:4" x14ac:dyDescent="0.25">
      <c r="A312" s="23" t="s">
        <v>249</v>
      </c>
      <c r="B312" s="29" t="str">
        <f>RIGHT(Table5[[#This Row],[Customer_Name]],LEN(Table5[[#This Row],[Customer_Name]])-FIND(",",Table5[[#This Row],[Customer_Name]])-1)</f>
        <v>David</v>
      </c>
      <c r="C312" s="29" t="str">
        <f>LEFT(Table5[[#This Row],[Customer_Name]],FIND(",",Table5[[#This Row],[Customer_Name]])-1)</f>
        <v>Garcia</v>
      </c>
      <c r="D312" s="30" t="str">
        <f>LEFT(Table5[[#This Row],[First_Name]],2)&amp;LEFT(Table5[[#This Row],[Last_Name]],2)&amp;ROW()</f>
        <v>DaGa312</v>
      </c>
    </row>
    <row r="313" spans="1:4" x14ac:dyDescent="0.25">
      <c r="A313" s="23" t="s">
        <v>204</v>
      </c>
      <c r="B313" s="29" t="str">
        <f>RIGHT(Table5[[#This Row],[Customer_Name]],LEN(Table5[[#This Row],[Customer_Name]])-FIND(",",Table5[[#This Row],[Customer_Name]])-1)</f>
        <v>Sophia</v>
      </c>
      <c r="C313" s="29" t="str">
        <f>LEFT(Table5[[#This Row],[Customer_Name]],FIND(",",Table5[[#This Row],[Customer_Name]])-1)</f>
        <v>Martinez</v>
      </c>
      <c r="D313" s="30" t="str">
        <f>LEFT(Table5[[#This Row],[First_Name]],2)&amp;LEFT(Table5[[#This Row],[Last_Name]],2)&amp;ROW()</f>
        <v>SoMa313</v>
      </c>
    </row>
    <row r="314" spans="1:4" x14ac:dyDescent="0.25">
      <c r="A314" s="23" t="s">
        <v>113</v>
      </c>
      <c r="B314" s="29" t="str">
        <f>RIGHT(Table5[[#This Row],[Customer_Name]],LEN(Table5[[#This Row],[Customer_Name]])-FIND(",",Table5[[#This Row],[Customer_Name]])-1)</f>
        <v>John</v>
      </c>
      <c r="C314" s="29" t="str">
        <f>LEFT(Table5[[#This Row],[Customer_Name]],FIND(",",Table5[[#This Row],[Customer_Name]])-1)</f>
        <v>Hernandez</v>
      </c>
      <c r="D314" s="30" t="str">
        <f>LEFT(Table5[[#This Row],[First_Name]],2)&amp;LEFT(Table5[[#This Row],[Last_Name]],2)&amp;ROW()</f>
        <v>JoHe314</v>
      </c>
    </row>
    <row r="315" spans="1:4" x14ac:dyDescent="0.25">
      <c r="A315" s="23" t="s">
        <v>465</v>
      </c>
      <c r="B315" s="29" t="str">
        <f>RIGHT(Table5[[#This Row],[Customer_Name]],LEN(Table5[[#This Row],[Customer_Name]])-FIND(",",Table5[[#This Row],[Customer_Name]])-1)</f>
        <v>James</v>
      </c>
      <c r="C315" s="29" t="str">
        <f>LEFT(Table5[[#This Row],[Customer_Name]],FIND(",",Table5[[#This Row],[Customer_Name]])-1)</f>
        <v>Jones</v>
      </c>
      <c r="D315" s="30" t="str">
        <f>LEFT(Table5[[#This Row],[First_Name]],2)&amp;LEFT(Table5[[#This Row],[Last_Name]],2)&amp;ROW()</f>
        <v>JaJo315</v>
      </c>
    </row>
    <row r="316" spans="1:4" x14ac:dyDescent="0.25">
      <c r="A316" s="23" t="s">
        <v>204</v>
      </c>
      <c r="B316" s="29" t="str">
        <f>RIGHT(Table5[[#This Row],[Customer_Name]],LEN(Table5[[#This Row],[Customer_Name]])-FIND(",",Table5[[#This Row],[Customer_Name]])-1)</f>
        <v>Sophia</v>
      </c>
      <c r="C316" s="29" t="str">
        <f>LEFT(Table5[[#This Row],[Customer_Name]],FIND(",",Table5[[#This Row],[Customer_Name]])-1)</f>
        <v>Martinez</v>
      </c>
      <c r="D316" s="30" t="str">
        <f>LEFT(Table5[[#This Row],[First_Name]],2)&amp;LEFT(Table5[[#This Row],[Last_Name]],2)&amp;ROW()</f>
        <v>SoMa316</v>
      </c>
    </row>
    <row r="317" spans="1:4" x14ac:dyDescent="0.25">
      <c r="A317" s="23" t="s">
        <v>364</v>
      </c>
      <c r="B317" s="29" t="str">
        <f>RIGHT(Table5[[#This Row],[Customer_Name]],LEN(Table5[[#This Row],[Customer_Name]])-FIND(",",Table5[[#This Row],[Customer_Name]])-1)</f>
        <v>Sophia</v>
      </c>
      <c r="C317" s="29" t="str">
        <f>LEFT(Table5[[#This Row],[Customer_Name]],FIND(",",Table5[[#This Row],[Customer_Name]])-1)</f>
        <v>Brown</v>
      </c>
      <c r="D317" s="30" t="str">
        <f>LEFT(Table5[[#This Row],[First_Name]],2)&amp;LEFT(Table5[[#This Row],[Last_Name]],2)&amp;ROW()</f>
        <v>SoBr317</v>
      </c>
    </row>
    <row r="318" spans="1:4" x14ac:dyDescent="0.25">
      <c r="A318" s="23" t="s">
        <v>293</v>
      </c>
      <c r="B318" s="29" t="str">
        <f>RIGHT(Table5[[#This Row],[Customer_Name]],LEN(Table5[[#This Row],[Customer_Name]])-FIND(",",Table5[[#This Row],[Customer_Name]])-1)</f>
        <v>David</v>
      </c>
      <c r="C318" s="29" t="str">
        <f>LEFT(Table5[[#This Row],[Customer_Name]],FIND(",",Table5[[#This Row],[Customer_Name]])-1)</f>
        <v>Martinez</v>
      </c>
      <c r="D318" s="30" t="str">
        <f>LEFT(Table5[[#This Row],[First_Name]],2)&amp;LEFT(Table5[[#This Row],[Last_Name]],2)&amp;ROW()</f>
        <v>DaMa318</v>
      </c>
    </row>
    <row r="319" spans="1:4" x14ac:dyDescent="0.25">
      <c r="A319" s="23" t="s">
        <v>181</v>
      </c>
      <c r="B319" s="29" t="str">
        <f>RIGHT(Table5[[#This Row],[Customer_Name]],LEN(Table5[[#This Row],[Customer_Name]])-FIND(",",Table5[[#This Row],[Customer_Name]])-1)</f>
        <v>Laura</v>
      </c>
      <c r="C319" s="29" t="str">
        <f>LEFT(Table5[[#This Row],[Customer_Name]],FIND(",",Table5[[#This Row],[Customer_Name]])-1)</f>
        <v>Garcia</v>
      </c>
      <c r="D319" s="30" t="str">
        <f>LEFT(Table5[[#This Row],[First_Name]],2)&amp;LEFT(Table5[[#This Row],[Last_Name]],2)&amp;ROW()</f>
        <v>LaGa319</v>
      </c>
    </row>
    <row r="320" spans="1:4" x14ac:dyDescent="0.25">
      <c r="A320" s="23" t="s">
        <v>246</v>
      </c>
      <c r="B320" s="29" t="str">
        <f>RIGHT(Table5[[#This Row],[Customer_Name]],LEN(Table5[[#This Row],[Customer_Name]])-FIND(",",Table5[[#This Row],[Customer_Name]])-1)</f>
        <v>John</v>
      </c>
      <c r="C320" s="29" t="str">
        <f>LEFT(Table5[[#This Row],[Customer_Name]],FIND(",",Table5[[#This Row],[Customer_Name]])-1)</f>
        <v>Martinez</v>
      </c>
      <c r="D320" s="30" t="str">
        <f>LEFT(Table5[[#This Row],[First_Name]],2)&amp;LEFT(Table5[[#This Row],[Last_Name]],2)&amp;ROW()</f>
        <v>JoMa320</v>
      </c>
    </row>
    <row r="321" spans="1:4" x14ac:dyDescent="0.25">
      <c r="A321" s="23" t="s">
        <v>399</v>
      </c>
      <c r="B321" s="29" t="str">
        <f>RIGHT(Table5[[#This Row],[Customer_Name]],LEN(Table5[[#This Row],[Customer_Name]])-FIND(",",Table5[[#This Row],[Customer_Name]])-1)</f>
        <v>John</v>
      </c>
      <c r="C321" s="29" t="str">
        <f>LEFT(Table5[[#This Row],[Customer_Name]],FIND(",",Table5[[#This Row],[Customer_Name]])-1)</f>
        <v>Smith</v>
      </c>
      <c r="D321" s="30" t="str">
        <f>LEFT(Table5[[#This Row],[First_Name]],2)&amp;LEFT(Table5[[#This Row],[Last_Name]],2)&amp;ROW()</f>
        <v>JoSm321</v>
      </c>
    </row>
    <row r="322" spans="1:4" x14ac:dyDescent="0.25">
      <c r="A322" s="23" t="s">
        <v>473</v>
      </c>
      <c r="B322" s="29" t="str">
        <f>RIGHT(Table5[[#This Row],[Customer_Name]],LEN(Table5[[#This Row],[Customer_Name]])-FIND(",",Table5[[#This Row],[Customer_Name]])-1)</f>
        <v>John</v>
      </c>
      <c r="C322" s="29" t="str">
        <f>LEFT(Table5[[#This Row],[Customer_Name]],FIND(",",Table5[[#This Row],[Customer_Name]])-1)</f>
        <v>Jones</v>
      </c>
      <c r="D322" s="30" t="str">
        <f>LEFT(Table5[[#This Row],[First_Name]],2)&amp;LEFT(Table5[[#This Row],[Last_Name]],2)&amp;ROW()</f>
        <v>JoJo322</v>
      </c>
    </row>
    <row r="323" spans="1:4" x14ac:dyDescent="0.25">
      <c r="A323" s="23" t="s">
        <v>100</v>
      </c>
      <c r="B323" s="29" t="str">
        <f>RIGHT(Table5[[#This Row],[Customer_Name]],LEN(Table5[[#This Row],[Customer_Name]])-FIND(",",Table5[[#This Row],[Customer_Name]])-1)</f>
        <v>Laura</v>
      </c>
      <c r="C323" s="29" t="str">
        <f>LEFT(Table5[[#This Row],[Customer_Name]],FIND(",",Table5[[#This Row],[Customer_Name]])-1)</f>
        <v>Jones</v>
      </c>
      <c r="D323" s="30" t="str">
        <f>LEFT(Table5[[#This Row],[First_Name]],2)&amp;LEFT(Table5[[#This Row],[Last_Name]],2)&amp;ROW()</f>
        <v>LaJo323</v>
      </c>
    </row>
    <row r="324" spans="1:4" x14ac:dyDescent="0.25">
      <c r="A324" s="23" t="s">
        <v>161</v>
      </c>
      <c r="B324" s="29" t="str">
        <f>RIGHT(Table5[[#This Row],[Customer_Name]],LEN(Table5[[#This Row],[Customer_Name]])-FIND(",",Table5[[#This Row],[Customer_Name]])-1)</f>
        <v>Emily</v>
      </c>
      <c r="C324" s="29" t="str">
        <f>LEFT(Table5[[#This Row],[Customer_Name]],FIND(",",Table5[[#This Row],[Customer_Name]])-1)</f>
        <v>Williams</v>
      </c>
      <c r="D324" s="30" t="str">
        <f>LEFT(Table5[[#This Row],[First_Name]],2)&amp;LEFT(Table5[[#This Row],[Last_Name]],2)&amp;ROW()</f>
        <v>EmWi324</v>
      </c>
    </row>
    <row r="325" spans="1:4" x14ac:dyDescent="0.25">
      <c r="A325" s="23" t="s">
        <v>410</v>
      </c>
      <c r="B325" s="29" t="str">
        <f>RIGHT(Table5[[#This Row],[Customer_Name]],LEN(Table5[[#This Row],[Customer_Name]])-FIND(",",Table5[[#This Row],[Customer_Name]])-1)</f>
        <v>James</v>
      </c>
      <c r="C325" s="29" t="str">
        <f>LEFT(Table5[[#This Row],[Customer_Name]],FIND(",",Table5[[#This Row],[Customer_Name]])-1)</f>
        <v>Garcia</v>
      </c>
      <c r="D325" s="30" t="str">
        <f>LEFT(Table5[[#This Row],[First_Name]],2)&amp;LEFT(Table5[[#This Row],[Last_Name]],2)&amp;ROW()</f>
        <v>JaGa325</v>
      </c>
    </row>
    <row r="326" spans="1:4" x14ac:dyDescent="0.25">
      <c r="A326" s="23" t="s">
        <v>364</v>
      </c>
      <c r="B326" s="29" t="str">
        <f>RIGHT(Table5[[#This Row],[Customer_Name]],LEN(Table5[[#This Row],[Customer_Name]])-FIND(",",Table5[[#This Row],[Customer_Name]])-1)</f>
        <v>Sophia</v>
      </c>
      <c r="C326" s="29" t="str">
        <f>LEFT(Table5[[#This Row],[Customer_Name]],FIND(",",Table5[[#This Row],[Customer_Name]])-1)</f>
        <v>Brown</v>
      </c>
      <c r="D326" s="30" t="str">
        <f>LEFT(Table5[[#This Row],[First_Name]],2)&amp;LEFT(Table5[[#This Row],[Last_Name]],2)&amp;ROW()</f>
        <v>SoBr326</v>
      </c>
    </row>
    <row r="327" spans="1:4" x14ac:dyDescent="0.25">
      <c r="A327" s="23" t="s">
        <v>209</v>
      </c>
      <c r="B327" s="29" t="str">
        <f>RIGHT(Table5[[#This Row],[Customer_Name]],LEN(Table5[[#This Row],[Customer_Name]])-FIND(",",Table5[[#This Row],[Customer_Name]])-1)</f>
        <v>James</v>
      </c>
      <c r="C327" s="29" t="str">
        <f>LEFT(Table5[[#This Row],[Customer_Name]],FIND(",",Table5[[#This Row],[Customer_Name]])-1)</f>
        <v>Williams</v>
      </c>
      <c r="D327" s="30" t="str">
        <f>LEFT(Table5[[#This Row],[First_Name]],2)&amp;LEFT(Table5[[#This Row],[Last_Name]],2)&amp;ROW()</f>
        <v>JaWi327</v>
      </c>
    </row>
    <row r="328" spans="1:4" x14ac:dyDescent="0.25">
      <c r="A328" s="23" t="s">
        <v>54</v>
      </c>
      <c r="B328" s="29" t="str">
        <f>RIGHT(Table5[[#This Row],[Customer_Name]],LEN(Table5[[#This Row],[Customer_Name]])-FIND(",",Table5[[#This Row],[Customer_Name]])-1)</f>
        <v>John</v>
      </c>
      <c r="C328" s="29" t="str">
        <f>LEFT(Table5[[#This Row],[Customer_Name]],FIND(",",Table5[[#This Row],[Customer_Name]])-1)</f>
        <v>Miller</v>
      </c>
      <c r="D328" s="30" t="str">
        <f>LEFT(Table5[[#This Row],[First_Name]],2)&amp;LEFT(Table5[[#This Row],[Last_Name]],2)&amp;ROW()</f>
        <v>JoMi328</v>
      </c>
    </row>
    <row r="329" spans="1:4" x14ac:dyDescent="0.25">
      <c r="A329" s="23" t="s">
        <v>261</v>
      </c>
      <c r="B329" s="29" t="str">
        <f>RIGHT(Table5[[#This Row],[Customer_Name]],LEN(Table5[[#This Row],[Customer_Name]])-FIND(",",Table5[[#This Row],[Customer_Name]])-1)</f>
        <v>Emily</v>
      </c>
      <c r="C329" s="29" t="str">
        <f>LEFT(Table5[[#This Row],[Customer_Name]],FIND(",",Table5[[#This Row],[Customer_Name]])-1)</f>
        <v>Brown</v>
      </c>
      <c r="D329" s="30" t="str">
        <f>LEFT(Table5[[#This Row],[First_Name]],2)&amp;LEFT(Table5[[#This Row],[Last_Name]],2)&amp;ROW()</f>
        <v>EmBr329</v>
      </c>
    </row>
    <row r="330" spans="1:4" x14ac:dyDescent="0.25">
      <c r="A330" s="23" t="s">
        <v>173</v>
      </c>
      <c r="B330" s="29" t="str">
        <f>RIGHT(Table5[[#This Row],[Customer_Name]],LEN(Table5[[#This Row],[Customer_Name]])-FIND(",",Table5[[#This Row],[Customer_Name]])-1)</f>
        <v>Michael</v>
      </c>
      <c r="C330" s="29" t="str">
        <f>LEFT(Table5[[#This Row],[Customer_Name]],FIND(",",Table5[[#This Row],[Customer_Name]])-1)</f>
        <v>Garcia</v>
      </c>
      <c r="D330" s="30" t="str">
        <f>LEFT(Table5[[#This Row],[First_Name]],2)&amp;LEFT(Table5[[#This Row],[Last_Name]],2)&amp;ROW()</f>
        <v>MiGa330</v>
      </c>
    </row>
    <row r="331" spans="1:4" x14ac:dyDescent="0.25">
      <c r="A331" s="23" t="s">
        <v>483</v>
      </c>
      <c r="B331" s="29" t="str">
        <f>RIGHT(Table5[[#This Row],[Customer_Name]],LEN(Table5[[#This Row],[Customer_Name]])-FIND(",",Table5[[#This Row],[Customer_Name]])-1)</f>
        <v>Emily</v>
      </c>
      <c r="C331" s="29" t="str">
        <f>LEFT(Table5[[#This Row],[Customer_Name]],FIND(",",Table5[[#This Row],[Customer_Name]])-1)</f>
        <v>Hernandez</v>
      </c>
      <c r="D331" s="30" t="str">
        <f>LEFT(Table5[[#This Row],[First_Name]],2)&amp;LEFT(Table5[[#This Row],[Last_Name]],2)&amp;ROW()</f>
        <v>EmHe331</v>
      </c>
    </row>
    <row r="332" spans="1:4" x14ac:dyDescent="0.25">
      <c r="A332" s="23" t="s">
        <v>211</v>
      </c>
      <c r="B332" s="29" t="str">
        <f>RIGHT(Table5[[#This Row],[Customer_Name]],LEN(Table5[[#This Row],[Customer_Name]])-FIND(",",Table5[[#This Row],[Customer_Name]])-1)</f>
        <v>Emma</v>
      </c>
      <c r="C332" s="29" t="str">
        <f>LEFT(Table5[[#This Row],[Customer_Name]],FIND(",",Table5[[#This Row],[Customer_Name]])-1)</f>
        <v>Garcia</v>
      </c>
      <c r="D332" s="30" t="str">
        <f>LEFT(Table5[[#This Row],[First_Name]],2)&amp;LEFT(Table5[[#This Row],[Last_Name]],2)&amp;ROW()</f>
        <v>EmGa332</v>
      </c>
    </row>
    <row r="333" spans="1:4" x14ac:dyDescent="0.25">
      <c r="A333" s="23" t="s">
        <v>410</v>
      </c>
      <c r="B333" s="29" t="str">
        <f>RIGHT(Table5[[#This Row],[Customer_Name]],LEN(Table5[[#This Row],[Customer_Name]])-FIND(",",Table5[[#This Row],[Customer_Name]])-1)</f>
        <v>James</v>
      </c>
      <c r="C333" s="29" t="str">
        <f>LEFT(Table5[[#This Row],[Customer_Name]],FIND(",",Table5[[#This Row],[Customer_Name]])-1)</f>
        <v>Garcia</v>
      </c>
      <c r="D333" s="30" t="str">
        <f>LEFT(Table5[[#This Row],[First_Name]],2)&amp;LEFT(Table5[[#This Row],[Last_Name]],2)&amp;ROW()</f>
        <v>JaGa333</v>
      </c>
    </row>
    <row r="334" spans="1:4" x14ac:dyDescent="0.25">
      <c r="A334" s="23" t="s">
        <v>110</v>
      </c>
      <c r="B334" s="29" t="str">
        <f>RIGHT(Table5[[#This Row],[Customer_Name]],LEN(Table5[[#This Row],[Customer_Name]])-FIND(",",Table5[[#This Row],[Customer_Name]])-1)</f>
        <v>Sophia</v>
      </c>
      <c r="C334" s="29" t="str">
        <f>LEFT(Table5[[#This Row],[Customer_Name]],FIND(",",Table5[[#This Row],[Customer_Name]])-1)</f>
        <v>Smith</v>
      </c>
      <c r="D334" s="30" t="str">
        <f>LEFT(Table5[[#This Row],[First_Name]],2)&amp;LEFT(Table5[[#This Row],[Last_Name]],2)&amp;ROW()</f>
        <v>SoSm334</v>
      </c>
    </row>
    <row r="335" spans="1:4" x14ac:dyDescent="0.25">
      <c r="A335" s="23" t="s">
        <v>108</v>
      </c>
      <c r="B335" s="29" t="str">
        <f>RIGHT(Table5[[#This Row],[Customer_Name]],LEN(Table5[[#This Row],[Customer_Name]])-FIND(",",Table5[[#This Row],[Customer_Name]])-1)</f>
        <v>Sophia</v>
      </c>
      <c r="C335" s="29" t="str">
        <f>LEFT(Table5[[#This Row],[Customer_Name]],FIND(",",Table5[[#This Row],[Customer_Name]])-1)</f>
        <v>Garcia</v>
      </c>
      <c r="D335" s="30" t="str">
        <f>LEFT(Table5[[#This Row],[First_Name]],2)&amp;LEFT(Table5[[#This Row],[Last_Name]],2)&amp;ROW()</f>
        <v>SoGa335</v>
      </c>
    </row>
    <row r="336" spans="1:4" x14ac:dyDescent="0.25">
      <c r="A336" s="23" t="s">
        <v>89</v>
      </c>
      <c r="B336" s="29" t="str">
        <f>RIGHT(Table5[[#This Row],[Customer_Name]],LEN(Table5[[#This Row],[Customer_Name]])-FIND(",",Table5[[#This Row],[Customer_Name]])-1)</f>
        <v>David</v>
      </c>
      <c r="C336" s="29" t="str">
        <f>LEFT(Table5[[#This Row],[Customer_Name]],FIND(",",Table5[[#This Row],[Customer_Name]])-1)</f>
        <v>Davis</v>
      </c>
      <c r="D336" s="30" t="str">
        <f>LEFT(Table5[[#This Row],[First_Name]],2)&amp;LEFT(Table5[[#This Row],[Last_Name]],2)&amp;ROW()</f>
        <v>DaDa336</v>
      </c>
    </row>
    <row r="337" spans="1:4" x14ac:dyDescent="0.25">
      <c r="A337" s="23" t="s">
        <v>115</v>
      </c>
      <c r="B337" s="29" t="str">
        <f>RIGHT(Table5[[#This Row],[Customer_Name]],LEN(Table5[[#This Row],[Customer_Name]])-FIND(",",Table5[[#This Row],[Customer_Name]])-1)</f>
        <v>Laura</v>
      </c>
      <c r="C337" s="29" t="str">
        <f>LEFT(Table5[[#This Row],[Customer_Name]],FIND(",",Table5[[#This Row],[Customer_Name]])-1)</f>
        <v>Williams</v>
      </c>
      <c r="D337" s="30" t="str">
        <f>LEFT(Table5[[#This Row],[First_Name]],2)&amp;LEFT(Table5[[#This Row],[Last_Name]],2)&amp;ROW()</f>
        <v>LaWi337</v>
      </c>
    </row>
    <row r="338" spans="1:4" x14ac:dyDescent="0.25">
      <c r="A338" s="23" t="s">
        <v>85</v>
      </c>
      <c r="B338" s="29" t="str">
        <f>RIGHT(Table5[[#This Row],[Customer_Name]],LEN(Table5[[#This Row],[Customer_Name]])-FIND(",",Table5[[#This Row],[Customer_Name]])-1)</f>
        <v>Michael</v>
      </c>
      <c r="C338" s="29" t="str">
        <f>LEFT(Table5[[#This Row],[Customer_Name]],FIND(",",Table5[[#This Row],[Customer_Name]])-1)</f>
        <v>Miller</v>
      </c>
      <c r="D338" s="30" t="str">
        <f>LEFT(Table5[[#This Row],[First_Name]],2)&amp;LEFT(Table5[[#This Row],[Last_Name]],2)&amp;ROW()</f>
        <v>MiMi338</v>
      </c>
    </row>
    <row r="339" spans="1:4" x14ac:dyDescent="0.25">
      <c r="A339" s="23" t="s">
        <v>15</v>
      </c>
      <c r="B339" s="29" t="str">
        <f>RIGHT(Table5[[#This Row],[Customer_Name]],LEN(Table5[[#This Row],[Customer_Name]])-FIND(",",Table5[[#This Row],[Customer_Name]])-1)</f>
        <v>Emily</v>
      </c>
      <c r="C339" s="29" t="str">
        <f>LEFT(Table5[[#This Row],[Customer_Name]],FIND(",",Table5[[#This Row],[Customer_Name]])-1)</f>
        <v>Smith</v>
      </c>
      <c r="D339" s="30" t="str">
        <f>LEFT(Table5[[#This Row],[First_Name]],2)&amp;LEFT(Table5[[#This Row],[Last_Name]],2)&amp;ROW()</f>
        <v>EmSm339</v>
      </c>
    </row>
    <row r="340" spans="1:4" x14ac:dyDescent="0.25">
      <c r="A340" s="23" t="s">
        <v>211</v>
      </c>
      <c r="B340" s="29" t="str">
        <f>RIGHT(Table5[[#This Row],[Customer_Name]],LEN(Table5[[#This Row],[Customer_Name]])-FIND(",",Table5[[#This Row],[Customer_Name]])-1)</f>
        <v>Emma</v>
      </c>
      <c r="C340" s="29" t="str">
        <f>LEFT(Table5[[#This Row],[Customer_Name]],FIND(",",Table5[[#This Row],[Customer_Name]])-1)</f>
        <v>Garcia</v>
      </c>
      <c r="D340" s="30" t="str">
        <f>LEFT(Table5[[#This Row],[First_Name]],2)&amp;LEFT(Table5[[#This Row],[Last_Name]],2)&amp;ROW()</f>
        <v>EmGa340</v>
      </c>
    </row>
    <row r="341" spans="1:4" x14ac:dyDescent="0.25">
      <c r="A341" s="23" t="s">
        <v>342</v>
      </c>
      <c r="B341" s="29" t="str">
        <f>RIGHT(Table5[[#This Row],[Customer_Name]],LEN(Table5[[#This Row],[Customer_Name]])-FIND(",",Table5[[#This Row],[Customer_Name]])-1)</f>
        <v>Sarah</v>
      </c>
      <c r="C341" s="29" t="str">
        <f>LEFT(Table5[[#This Row],[Customer_Name]],FIND(",",Table5[[#This Row],[Customer_Name]])-1)</f>
        <v>Jones</v>
      </c>
      <c r="D341" s="30" t="str">
        <f>LEFT(Table5[[#This Row],[First_Name]],2)&amp;LEFT(Table5[[#This Row],[Last_Name]],2)&amp;ROW()</f>
        <v>SaJo341</v>
      </c>
    </row>
    <row r="342" spans="1:4" x14ac:dyDescent="0.25">
      <c r="A342" s="23" t="s">
        <v>110</v>
      </c>
      <c r="B342" s="29" t="str">
        <f>RIGHT(Table5[[#This Row],[Customer_Name]],LEN(Table5[[#This Row],[Customer_Name]])-FIND(",",Table5[[#This Row],[Customer_Name]])-1)</f>
        <v>Sophia</v>
      </c>
      <c r="C342" s="29" t="str">
        <f>LEFT(Table5[[#This Row],[Customer_Name]],FIND(",",Table5[[#This Row],[Customer_Name]])-1)</f>
        <v>Smith</v>
      </c>
      <c r="D342" s="30" t="str">
        <f>LEFT(Table5[[#This Row],[First_Name]],2)&amp;LEFT(Table5[[#This Row],[Last_Name]],2)&amp;ROW()</f>
        <v>SoSm342</v>
      </c>
    </row>
    <row r="343" spans="1:4" x14ac:dyDescent="0.25">
      <c r="A343" s="23" t="s">
        <v>465</v>
      </c>
      <c r="B343" s="29" t="str">
        <f>RIGHT(Table5[[#This Row],[Customer_Name]],LEN(Table5[[#This Row],[Customer_Name]])-FIND(",",Table5[[#This Row],[Customer_Name]])-1)</f>
        <v>James</v>
      </c>
      <c r="C343" s="29" t="str">
        <f>LEFT(Table5[[#This Row],[Customer_Name]],FIND(",",Table5[[#This Row],[Customer_Name]])-1)</f>
        <v>Jones</v>
      </c>
      <c r="D343" s="30" t="str">
        <f>LEFT(Table5[[#This Row],[First_Name]],2)&amp;LEFT(Table5[[#This Row],[Last_Name]],2)&amp;ROW()</f>
        <v>JaJo343</v>
      </c>
    </row>
    <row r="344" spans="1:4" x14ac:dyDescent="0.25">
      <c r="A344" s="23" t="s">
        <v>23</v>
      </c>
      <c r="B344" s="29" t="str">
        <f>RIGHT(Table5[[#This Row],[Customer_Name]],LEN(Table5[[#This Row],[Customer_Name]])-FIND(",",Table5[[#This Row],[Customer_Name]])-1)</f>
        <v>Laura</v>
      </c>
      <c r="C344" s="29" t="str">
        <f>LEFT(Table5[[#This Row],[Customer_Name]],FIND(",",Table5[[#This Row],[Customer_Name]])-1)</f>
        <v>Brown</v>
      </c>
      <c r="D344" s="30" t="str">
        <f>LEFT(Table5[[#This Row],[First_Name]],2)&amp;LEFT(Table5[[#This Row],[Last_Name]],2)&amp;ROW()</f>
        <v>LaBr344</v>
      </c>
    </row>
    <row r="345" spans="1:4" x14ac:dyDescent="0.25">
      <c r="A345" s="23" t="s">
        <v>149</v>
      </c>
      <c r="B345" s="29" t="str">
        <f>RIGHT(Table5[[#This Row],[Customer_Name]],LEN(Table5[[#This Row],[Customer_Name]])-FIND(",",Table5[[#This Row],[Customer_Name]])-1)</f>
        <v>Sarah</v>
      </c>
      <c r="C345" s="29" t="str">
        <f>LEFT(Table5[[#This Row],[Customer_Name]],FIND(",",Table5[[#This Row],[Customer_Name]])-1)</f>
        <v>Garcia</v>
      </c>
      <c r="D345" s="30" t="str">
        <f>LEFT(Table5[[#This Row],[First_Name]],2)&amp;LEFT(Table5[[#This Row],[Last_Name]],2)&amp;ROW()</f>
        <v>SaGa345</v>
      </c>
    </row>
    <row r="346" spans="1:4" x14ac:dyDescent="0.25">
      <c r="A346" s="23" t="s">
        <v>15</v>
      </c>
      <c r="B346" s="29" t="str">
        <f>RIGHT(Table5[[#This Row],[Customer_Name]],LEN(Table5[[#This Row],[Customer_Name]])-FIND(",",Table5[[#This Row],[Customer_Name]])-1)</f>
        <v>Emily</v>
      </c>
      <c r="C346" s="29" t="str">
        <f>LEFT(Table5[[#This Row],[Customer_Name]],FIND(",",Table5[[#This Row],[Customer_Name]])-1)</f>
        <v>Smith</v>
      </c>
      <c r="D346" s="30" t="str">
        <f>LEFT(Table5[[#This Row],[First_Name]],2)&amp;LEFT(Table5[[#This Row],[Last_Name]],2)&amp;ROW()</f>
        <v>EmSm346</v>
      </c>
    </row>
    <row r="347" spans="1:4" x14ac:dyDescent="0.25">
      <c r="A347" s="23" t="s">
        <v>123</v>
      </c>
      <c r="B347" s="29" t="str">
        <f>RIGHT(Table5[[#This Row],[Customer_Name]],LEN(Table5[[#This Row],[Customer_Name]])-FIND(",",Table5[[#This Row],[Customer_Name]])-1)</f>
        <v>Emily</v>
      </c>
      <c r="C347" s="29" t="str">
        <f>LEFT(Table5[[#This Row],[Customer_Name]],FIND(",",Table5[[#This Row],[Customer_Name]])-1)</f>
        <v>Garcia</v>
      </c>
      <c r="D347" s="30" t="str">
        <f>LEFT(Table5[[#This Row],[First_Name]],2)&amp;LEFT(Table5[[#This Row],[Last_Name]],2)&amp;ROW()</f>
        <v>EmGa347</v>
      </c>
    </row>
    <row r="348" spans="1:4" x14ac:dyDescent="0.25">
      <c r="A348" s="23" t="s">
        <v>34</v>
      </c>
      <c r="B348" s="29" t="str">
        <f>RIGHT(Table5[[#This Row],[Customer_Name]],LEN(Table5[[#This Row],[Customer_Name]])-FIND(",",Table5[[#This Row],[Customer_Name]])-1)</f>
        <v>Daniel</v>
      </c>
      <c r="C348" s="29" t="str">
        <f>LEFT(Table5[[#This Row],[Customer_Name]],FIND(",",Table5[[#This Row],[Customer_Name]])-1)</f>
        <v>Miller</v>
      </c>
      <c r="D348" s="30" t="str">
        <f>LEFT(Table5[[#This Row],[First_Name]],2)&amp;LEFT(Table5[[#This Row],[Last_Name]],2)&amp;ROW()</f>
        <v>DaMi348</v>
      </c>
    </row>
    <row r="349" spans="1:4" x14ac:dyDescent="0.25">
      <c r="A349" s="23" t="s">
        <v>204</v>
      </c>
      <c r="B349" s="29" t="str">
        <f>RIGHT(Table5[[#This Row],[Customer_Name]],LEN(Table5[[#This Row],[Customer_Name]])-FIND(",",Table5[[#This Row],[Customer_Name]])-1)</f>
        <v>Sophia</v>
      </c>
      <c r="C349" s="29" t="str">
        <f>LEFT(Table5[[#This Row],[Customer_Name]],FIND(",",Table5[[#This Row],[Customer_Name]])-1)</f>
        <v>Martinez</v>
      </c>
      <c r="D349" s="30" t="str">
        <f>LEFT(Table5[[#This Row],[First_Name]],2)&amp;LEFT(Table5[[#This Row],[Last_Name]],2)&amp;ROW()</f>
        <v>SoMa349</v>
      </c>
    </row>
    <row r="350" spans="1:4" x14ac:dyDescent="0.25">
      <c r="A350" s="23" t="s">
        <v>199</v>
      </c>
      <c r="B350" s="29" t="str">
        <f>RIGHT(Table5[[#This Row],[Customer_Name]],LEN(Table5[[#This Row],[Customer_Name]])-FIND(",",Table5[[#This Row],[Customer_Name]])-1)</f>
        <v>Emily</v>
      </c>
      <c r="C350" s="29" t="str">
        <f>LEFT(Table5[[#This Row],[Customer_Name]],FIND(",",Table5[[#This Row],[Customer_Name]])-1)</f>
        <v>Davis</v>
      </c>
      <c r="D350" s="30" t="str">
        <f>LEFT(Table5[[#This Row],[First_Name]],2)&amp;LEFT(Table5[[#This Row],[Last_Name]],2)&amp;ROW()</f>
        <v>EmDa350</v>
      </c>
    </row>
    <row r="351" spans="1:4" x14ac:dyDescent="0.25">
      <c r="A351" s="23" t="s">
        <v>504</v>
      </c>
      <c r="B351" s="29" t="str">
        <f>RIGHT(Table5[[#This Row],[Customer_Name]],LEN(Table5[[#This Row],[Customer_Name]])-FIND(",",Table5[[#This Row],[Customer_Name]])-1)</f>
        <v>John</v>
      </c>
      <c r="C351" s="29" t="str">
        <f>LEFT(Table5[[#This Row],[Customer_Name]],FIND(",",Table5[[#This Row],[Customer_Name]])-1)</f>
        <v>Williams</v>
      </c>
      <c r="D351" s="30" t="str">
        <f>LEFT(Table5[[#This Row],[First_Name]],2)&amp;LEFT(Table5[[#This Row],[Last_Name]],2)&amp;ROW()</f>
        <v>JoWi351</v>
      </c>
    </row>
    <row r="352" spans="1:4" x14ac:dyDescent="0.25">
      <c r="A352" s="23" t="s">
        <v>156</v>
      </c>
      <c r="B352" s="29" t="str">
        <f>RIGHT(Table5[[#This Row],[Customer_Name]],LEN(Table5[[#This Row],[Customer_Name]])-FIND(",",Table5[[#This Row],[Customer_Name]])-1)</f>
        <v>James</v>
      </c>
      <c r="C352" s="29" t="str">
        <f>LEFT(Table5[[#This Row],[Customer_Name]],FIND(",",Table5[[#This Row],[Customer_Name]])-1)</f>
        <v>Hernandez</v>
      </c>
      <c r="D352" s="30" t="str">
        <f>LEFT(Table5[[#This Row],[First_Name]],2)&amp;LEFT(Table5[[#This Row],[Last_Name]],2)&amp;ROW()</f>
        <v>JaHe352</v>
      </c>
    </row>
    <row r="353" spans="1:4" x14ac:dyDescent="0.25">
      <c r="A353" s="23" t="s">
        <v>465</v>
      </c>
      <c r="B353" s="29" t="str">
        <f>RIGHT(Table5[[#This Row],[Customer_Name]],LEN(Table5[[#This Row],[Customer_Name]])-FIND(",",Table5[[#This Row],[Customer_Name]])-1)</f>
        <v>James</v>
      </c>
      <c r="C353" s="29" t="str">
        <f>LEFT(Table5[[#This Row],[Customer_Name]],FIND(",",Table5[[#This Row],[Customer_Name]])-1)</f>
        <v>Jones</v>
      </c>
      <c r="D353" s="30" t="str">
        <f>LEFT(Table5[[#This Row],[First_Name]],2)&amp;LEFT(Table5[[#This Row],[Last_Name]],2)&amp;ROW()</f>
        <v>JaJo353</v>
      </c>
    </row>
    <row r="354" spans="1:4" x14ac:dyDescent="0.25">
      <c r="A354" s="23" t="s">
        <v>135</v>
      </c>
      <c r="B354" s="29" t="str">
        <f>RIGHT(Table5[[#This Row],[Customer_Name]],LEN(Table5[[#This Row],[Customer_Name]])-FIND(",",Table5[[#This Row],[Customer_Name]])-1)</f>
        <v>Daniel</v>
      </c>
      <c r="C354" s="29" t="str">
        <f>LEFT(Table5[[#This Row],[Customer_Name]],FIND(",",Table5[[#This Row],[Customer_Name]])-1)</f>
        <v>Smith</v>
      </c>
      <c r="D354" s="30" t="str">
        <f>LEFT(Table5[[#This Row],[First_Name]],2)&amp;LEFT(Table5[[#This Row],[Last_Name]],2)&amp;ROW()</f>
        <v>DaSm354</v>
      </c>
    </row>
    <row r="355" spans="1:4" x14ac:dyDescent="0.25">
      <c r="A355" s="23" t="s">
        <v>119</v>
      </c>
      <c r="B355" s="29" t="str">
        <f>RIGHT(Table5[[#This Row],[Customer_Name]],LEN(Table5[[#This Row],[Customer_Name]])-FIND(",",Table5[[#This Row],[Customer_Name]])-1)</f>
        <v>Michael</v>
      </c>
      <c r="C355" s="29" t="str">
        <f>LEFT(Table5[[#This Row],[Customer_Name]],FIND(",",Table5[[#This Row],[Customer_Name]])-1)</f>
        <v>Smith</v>
      </c>
      <c r="D355" s="30" t="str">
        <f>LEFT(Table5[[#This Row],[First_Name]],2)&amp;LEFT(Table5[[#This Row],[Last_Name]],2)&amp;ROW()</f>
        <v>MiSm355</v>
      </c>
    </row>
    <row r="356" spans="1:4" x14ac:dyDescent="0.25">
      <c r="A356" s="23" t="s">
        <v>121</v>
      </c>
      <c r="B356" s="29" t="str">
        <f>RIGHT(Table5[[#This Row],[Customer_Name]],LEN(Table5[[#This Row],[Customer_Name]])-FIND(",",Table5[[#This Row],[Customer_Name]])-1)</f>
        <v>Sarah</v>
      </c>
      <c r="C356" s="29" t="str">
        <f>LEFT(Table5[[#This Row],[Customer_Name]],FIND(",",Table5[[#This Row],[Customer_Name]])-1)</f>
        <v>Martinez</v>
      </c>
      <c r="D356" s="30" t="str">
        <f>LEFT(Table5[[#This Row],[First_Name]],2)&amp;LEFT(Table5[[#This Row],[Last_Name]],2)&amp;ROW()</f>
        <v>SaMa356</v>
      </c>
    </row>
    <row r="357" spans="1:4" x14ac:dyDescent="0.25">
      <c r="A357" s="23" t="s">
        <v>202</v>
      </c>
      <c r="B357" s="29" t="str">
        <f>RIGHT(Table5[[#This Row],[Customer_Name]],LEN(Table5[[#This Row],[Customer_Name]])-FIND(",",Table5[[#This Row],[Customer_Name]])-1)</f>
        <v>James</v>
      </c>
      <c r="C357" s="29" t="str">
        <f>LEFT(Table5[[#This Row],[Customer_Name]],FIND(",",Table5[[#This Row],[Customer_Name]])-1)</f>
        <v>Johnson</v>
      </c>
      <c r="D357" s="30" t="str">
        <f>LEFT(Table5[[#This Row],[First_Name]],2)&amp;LEFT(Table5[[#This Row],[Last_Name]],2)&amp;ROW()</f>
        <v>JaJo357</v>
      </c>
    </row>
    <row r="358" spans="1:4" x14ac:dyDescent="0.25">
      <c r="A358" s="23" t="s">
        <v>179</v>
      </c>
      <c r="B358" s="29" t="str">
        <f>RIGHT(Table5[[#This Row],[Customer_Name]],LEN(Table5[[#This Row],[Customer_Name]])-FIND(",",Table5[[#This Row],[Customer_Name]])-1)</f>
        <v>Sophia</v>
      </c>
      <c r="C358" s="29" t="str">
        <f>LEFT(Table5[[#This Row],[Customer_Name]],FIND(",",Table5[[#This Row],[Customer_Name]])-1)</f>
        <v>Miller</v>
      </c>
      <c r="D358" s="30" t="str">
        <f>LEFT(Table5[[#This Row],[First_Name]],2)&amp;LEFT(Table5[[#This Row],[Last_Name]],2)&amp;ROW()</f>
        <v>SoMi358</v>
      </c>
    </row>
    <row r="359" spans="1:4" x14ac:dyDescent="0.25">
      <c r="A359" s="23" t="s">
        <v>170</v>
      </c>
      <c r="B359" s="29" t="str">
        <f>RIGHT(Table5[[#This Row],[Customer_Name]],LEN(Table5[[#This Row],[Customer_Name]])-FIND(",",Table5[[#This Row],[Customer_Name]])-1)</f>
        <v>Michael</v>
      </c>
      <c r="C359" s="29" t="str">
        <f>LEFT(Table5[[#This Row],[Customer_Name]],FIND(",",Table5[[#This Row],[Customer_Name]])-1)</f>
        <v>Jones</v>
      </c>
      <c r="D359" s="30" t="str">
        <f>LEFT(Table5[[#This Row],[First_Name]],2)&amp;LEFT(Table5[[#This Row],[Last_Name]],2)&amp;ROW()</f>
        <v>MiJo359</v>
      </c>
    </row>
    <row r="360" spans="1:4" x14ac:dyDescent="0.25">
      <c r="A360" s="23" t="s">
        <v>93</v>
      </c>
      <c r="B360" s="29" t="str">
        <f>RIGHT(Table5[[#This Row],[Customer_Name]],LEN(Table5[[#This Row],[Customer_Name]])-FIND(",",Table5[[#This Row],[Customer_Name]])-1)</f>
        <v>Sophia</v>
      </c>
      <c r="C360" s="29" t="str">
        <f>LEFT(Table5[[#This Row],[Customer_Name]],FIND(",",Table5[[#This Row],[Customer_Name]])-1)</f>
        <v>Hernandez</v>
      </c>
      <c r="D360" s="30" t="str">
        <f>LEFT(Table5[[#This Row],[First_Name]],2)&amp;LEFT(Table5[[#This Row],[Last_Name]],2)&amp;ROW()</f>
        <v>SoHe360</v>
      </c>
    </row>
    <row r="361" spans="1:4" x14ac:dyDescent="0.25">
      <c r="A361" s="23" t="s">
        <v>342</v>
      </c>
      <c r="B361" s="29" t="str">
        <f>RIGHT(Table5[[#This Row],[Customer_Name]],LEN(Table5[[#This Row],[Customer_Name]])-FIND(",",Table5[[#This Row],[Customer_Name]])-1)</f>
        <v>Sarah</v>
      </c>
      <c r="C361" s="29" t="str">
        <f>LEFT(Table5[[#This Row],[Customer_Name]],FIND(",",Table5[[#This Row],[Customer_Name]])-1)</f>
        <v>Jones</v>
      </c>
      <c r="D361" s="30" t="str">
        <f>LEFT(Table5[[#This Row],[First_Name]],2)&amp;LEFT(Table5[[#This Row],[Last_Name]],2)&amp;ROW()</f>
        <v>SaJo361</v>
      </c>
    </row>
    <row r="362" spans="1:4" x14ac:dyDescent="0.25">
      <c r="A362" s="23" t="s">
        <v>65</v>
      </c>
      <c r="B362" s="29" t="str">
        <f>RIGHT(Table5[[#This Row],[Customer_Name]],LEN(Table5[[#This Row],[Customer_Name]])-FIND(",",Table5[[#This Row],[Customer_Name]])-1)</f>
        <v>James</v>
      </c>
      <c r="C362" s="29" t="str">
        <f>LEFT(Table5[[#This Row],[Customer_Name]],FIND(",",Table5[[#This Row],[Customer_Name]])-1)</f>
        <v>Martinez</v>
      </c>
      <c r="D362" s="30" t="str">
        <f>LEFT(Table5[[#This Row],[First_Name]],2)&amp;LEFT(Table5[[#This Row],[Last_Name]],2)&amp;ROW()</f>
        <v>JaMa362</v>
      </c>
    </row>
    <row r="363" spans="1:4" x14ac:dyDescent="0.25">
      <c r="A363" s="23" t="s">
        <v>276</v>
      </c>
      <c r="B363" s="29" t="str">
        <f>RIGHT(Table5[[#This Row],[Customer_Name]],LEN(Table5[[#This Row],[Customer_Name]])-FIND(",",Table5[[#This Row],[Customer_Name]])-1)</f>
        <v>Sophia</v>
      </c>
      <c r="C363" s="29" t="str">
        <f>LEFT(Table5[[#This Row],[Customer_Name]],FIND(",",Table5[[#This Row],[Customer_Name]])-1)</f>
        <v>Davis</v>
      </c>
      <c r="D363" s="30" t="str">
        <f>LEFT(Table5[[#This Row],[First_Name]],2)&amp;LEFT(Table5[[#This Row],[Last_Name]],2)&amp;ROW()</f>
        <v>SoDa363</v>
      </c>
    </row>
    <row r="364" spans="1:4" x14ac:dyDescent="0.25">
      <c r="A364" s="23" t="s">
        <v>168</v>
      </c>
      <c r="B364" s="29" t="str">
        <f>RIGHT(Table5[[#This Row],[Customer_Name]],LEN(Table5[[#This Row],[Customer_Name]])-FIND(",",Table5[[#This Row],[Customer_Name]])-1)</f>
        <v>Daniel</v>
      </c>
      <c r="C364" s="29" t="str">
        <f>LEFT(Table5[[#This Row],[Customer_Name]],FIND(",",Table5[[#This Row],[Customer_Name]])-1)</f>
        <v>Martinez</v>
      </c>
      <c r="D364" s="30" t="str">
        <f>LEFT(Table5[[#This Row],[First_Name]],2)&amp;LEFT(Table5[[#This Row],[Last_Name]],2)&amp;ROW()</f>
        <v>DaMa364</v>
      </c>
    </row>
    <row r="365" spans="1:4" x14ac:dyDescent="0.25">
      <c r="A365" s="23" t="s">
        <v>161</v>
      </c>
      <c r="B365" s="29" t="str">
        <f>RIGHT(Table5[[#This Row],[Customer_Name]],LEN(Table5[[#This Row],[Customer_Name]])-FIND(",",Table5[[#This Row],[Customer_Name]])-1)</f>
        <v>Emily</v>
      </c>
      <c r="C365" s="29" t="str">
        <f>LEFT(Table5[[#This Row],[Customer_Name]],FIND(",",Table5[[#This Row],[Customer_Name]])-1)</f>
        <v>Williams</v>
      </c>
      <c r="D365" s="30" t="str">
        <f>LEFT(Table5[[#This Row],[First_Name]],2)&amp;LEFT(Table5[[#This Row],[Last_Name]],2)&amp;ROW()</f>
        <v>EmWi365</v>
      </c>
    </row>
    <row r="366" spans="1:4" x14ac:dyDescent="0.25">
      <c r="A366" s="23" t="s">
        <v>323</v>
      </c>
      <c r="B366" s="29" t="str">
        <f>RIGHT(Table5[[#This Row],[Customer_Name]],LEN(Table5[[#This Row],[Customer_Name]])-FIND(",",Table5[[#This Row],[Customer_Name]])-1)</f>
        <v>Emma</v>
      </c>
      <c r="C366" s="29" t="str">
        <f>LEFT(Table5[[#This Row],[Customer_Name]],FIND(",",Table5[[#This Row],[Customer_Name]])-1)</f>
        <v>Miller</v>
      </c>
      <c r="D366" s="30" t="str">
        <f>LEFT(Table5[[#This Row],[First_Name]],2)&amp;LEFT(Table5[[#This Row],[Last_Name]],2)&amp;ROW()</f>
        <v>EmMi366</v>
      </c>
    </row>
    <row r="367" spans="1:4" x14ac:dyDescent="0.25">
      <c r="A367" s="23" t="s">
        <v>147</v>
      </c>
      <c r="B367" s="29" t="str">
        <f>RIGHT(Table5[[#This Row],[Customer_Name]],LEN(Table5[[#This Row],[Customer_Name]])-FIND(",",Table5[[#This Row],[Customer_Name]])-1)</f>
        <v>Sophia</v>
      </c>
      <c r="C367" s="29" t="str">
        <f>LEFT(Table5[[#This Row],[Customer_Name]],FIND(",",Table5[[#This Row],[Customer_Name]])-1)</f>
        <v>Jones</v>
      </c>
      <c r="D367" s="30" t="str">
        <f>LEFT(Table5[[#This Row],[First_Name]],2)&amp;LEFT(Table5[[#This Row],[Last_Name]],2)&amp;ROW()</f>
        <v>SoJo367</v>
      </c>
    </row>
    <row r="368" spans="1:4" x14ac:dyDescent="0.25">
      <c r="A368" s="23" t="s">
        <v>119</v>
      </c>
      <c r="B368" s="29" t="str">
        <f>RIGHT(Table5[[#This Row],[Customer_Name]],LEN(Table5[[#This Row],[Customer_Name]])-FIND(",",Table5[[#This Row],[Customer_Name]])-1)</f>
        <v>Michael</v>
      </c>
      <c r="C368" s="29" t="str">
        <f>LEFT(Table5[[#This Row],[Customer_Name]],FIND(",",Table5[[#This Row],[Customer_Name]])-1)</f>
        <v>Smith</v>
      </c>
      <c r="D368" s="30" t="str">
        <f>LEFT(Table5[[#This Row],[First_Name]],2)&amp;LEFT(Table5[[#This Row],[Last_Name]],2)&amp;ROW()</f>
        <v>MiSm368</v>
      </c>
    </row>
    <row r="369" spans="1:4" x14ac:dyDescent="0.25">
      <c r="A369" s="23" t="s">
        <v>97</v>
      </c>
      <c r="B369" s="29" t="str">
        <f>RIGHT(Table5[[#This Row],[Customer_Name]],LEN(Table5[[#This Row],[Customer_Name]])-FIND(",",Table5[[#This Row],[Customer_Name]])-1)</f>
        <v>Michael</v>
      </c>
      <c r="C369" s="29" t="str">
        <f>LEFT(Table5[[#This Row],[Customer_Name]],FIND(",",Table5[[#This Row],[Customer_Name]])-1)</f>
        <v>Martinez</v>
      </c>
      <c r="D369" s="30" t="str">
        <f>LEFT(Table5[[#This Row],[First_Name]],2)&amp;LEFT(Table5[[#This Row],[Last_Name]],2)&amp;ROW()</f>
        <v>MiMa369</v>
      </c>
    </row>
    <row r="370" spans="1:4" x14ac:dyDescent="0.25">
      <c r="A370" s="23" t="s">
        <v>261</v>
      </c>
      <c r="B370" s="29" t="str">
        <f>RIGHT(Table5[[#This Row],[Customer_Name]],LEN(Table5[[#This Row],[Customer_Name]])-FIND(",",Table5[[#This Row],[Customer_Name]])-1)</f>
        <v>Emily</v>
      </c>
      <c r="C370" s="29" t="str">
        <f>LEFT(Table5[[#This Row],[Customer_Name]],FIND(",",Table5[[#This Row],[Customer_Name]])-1)</f>
        <v>Brown</v>
      </c>
      <c r="D370" s="30" t="str">
        <f>LEFT(Table5[[#This Row],[First_Name]],2)&amp;LEFT(Table5[[#This Row],[Last_Name]],2)&amp;ROW()</f>
        <v>EmBr370</v>
      </c>
    </row>
    <row r="371" spans="1:4" x14ac:dyDescent="0.25">
      <c r="A371" s="23" t="s">
        <v>168</v>
      </c>
      <c r="B371" s="29" t="str">
        <f>RIGHT(Table5[[#This Row],[Customer_Name]],LEN(Table5[[#This Row],[Customer_Name]])-FIND(",",Table5[[#This Row],[Customer_Name]])-1)</f>
        <v>Daniel</v>
      </c>
      <c r="C371" s="29" t="str">
        <f>LEFT(Table5[[#This Row],[Customer_Name]],FIND(",",Table5[[#This Row],[Customer_Name]])-1)</f>
        <v>Martinez</v>
      </c>
      <c r="D371" s="30" t="str">
        <f>LEFT(Table5[[#This Row],[First_Name]],2)&amp;LEFT(Table5[[#This Row],[Last_Name]],2)&amp;ROW()</f>
        <v>DaMa371</v>
      </c>
    </row>
    <row r="372" spans="1:4" x14ac:dyDescent="0.25">
      <c r="A372" s="23" t="s">
        <v>226</v>
      </c>
      <c r="B372" s="29" t="str">
        <f>RIGHT(Table5[[#This Row],[Customer_Name]],LEN(Table5[[#This Row],[Customer_Name]])-FIND(",",Table5[[#This Row],[Customer_Name]])-1)</f>
        <v>Emily</v>
      </c>
      <c r="C372" s="29" t="str">
        <f>LEFT(Table5[[#This Row],[Customer_Name]],FIND(",",Table5[[#This Row],[Customer_Name]])-1)</f>
        <v>Miller</v>
      </c>
      <c r="D372" s="30" t="str">
        <f>LEFT(Table5[[#This Row],[First_Name]],2)&amp;LEFT(Table5[[#This Row],[Last_Name]],2)&amp;ROW()</f>
        <v>EmMi372</v>
      </c>
    </row>
    <row r="373" spans="1:4" x14ac:dyDescent="0.25">
      <c r="A373" s="23" t="s">
        <v>354</v>
      </c>
      <c r="B373" s="29" t="str">
        <f>RIGHT(Table5[[#This Row],[Customer_Name]],LEN(Table5[[#This Row],[Customer_Name]])-FIND(",",Table5[[#This Row],[Customer_Name]])-1)</f>
        <v>David</v>
      </c>
      <c r="C373" s="29" t="str">
        <f>LEFT(Table5[[#This Row],[Customer_Name]],FIND(",",Table5[[#This Row],[Customer_Name]])-1)</f>
        <v>Brown</v>
      </c>
      <c r="D373" s="30" t="str">
        <f>LEFT(Table5[[#This Row],[First_Name]],2)&amp;LEFT(Table5[[#This Row],[Last_Name]],2)&amp;ROW()</f>
        <v>DaBr373</v>
      </c>
    </row>
    <row r="374" spans="1:4" x14ac:dyDescent="0.25">
      <c r="A374" s="23" t="s">
        <v>50</v>
      </c>
      <c r="B374" s="29" t="str">
        <f>RIGHT(Table5[[#This Row],[Customer_Name]],LEN(Table5[[#This Row],[Customer_Name]])-FIND(",",Table5[[#This Row],[Customer_Name]])-1)</f>
        <v>Emma</v>
      </c>
      <c r="C374" s="29" t="str">
        <f>LEFT(Table5[[#This Row],[Customer_Name]],FIND(",",Table5[[#This Row],[Customer_Name]])-1)</f>
        <v>Hernandez</v>
      </c>
      <c r="D374" s="30" t="str">
        <f>LEFT(Table5[[#This Row],[First_Name]],2)&amp;LEFT(Table5[[#This Row],[Last_Name]],2)&amp;ROW()</f>
        <v>EmHe374</v>
      </c>
    </row>
    <row r="375" spans="1:4" x14ac:dyDescent="0.25">
      <c r="A375" s="23" t="s">
        <v>100</v>
      </c>
      <c r="B375" s="29" t="str">
        <f>RIGHT(Table5[[#This Row],[Customer_Name]],LEN(Table5[[#This Row],[Customer_Name]])-FIND(",",Table5[[#This Row],[Customer_Name]])-1)</f>
        <v>Laura</v>
      </c>
      <c r="C375" s="29" t="str">
        <f>LEFT(Table5[[#This Row],[Customer_Name]],FIND(",",Table5[[#This Row],[Customer_Name]])-1)</f>
        <v>Jones</v>
      </c>
      <c r="D375" s="30" t="str">
        <f>LEFT(Table5[[#This Row],[First_Name]],2)&amp;LEFT(Table5[[#This Row],[Last_Name]],2)&amp;ROW()</f>
        <v>LaJo375</v>
      </c>
    </row>
    <row r="376" spans="1:4" x14ac:dyDescent="0.25">
      <c r="A376" s="23" t="s">
        <v>303</v>
      </c>
      <c r="B376" s="29" t="str">
        <f>RIGHT(Table5[[#This Row],[Customer_Name]],LEN(Table5[[#This Row],[Customer_Name]])-FIND(",",Table5[[#This Row],[Customer_Name]])-1)</f>
        <v>Emily</v>
      </c>
      <c r="C376" s="29" t="str">
        <f>LEFT(Table5[[#This Row],[Customer_Name]],FIND(",",Table5[[#This Row],[Customer_Name]])-1)</f>
        <v>Jones</v>
      </c>
      <c r="D376" s="30" t="str">
        <f>LEFT(Table5[[#This Row],[First_Name]],2)&amp;LEFT(Table5[[#This Row],[Last_Name]],2)&amp;ROW()</f>
        <v>EmJo376</v>
      </c>
    </row>
    <row r="377" spans="1:4" x14ac:dyDescent="0.25">
      <c r="A377" s="23" t="s">
        <v>240</v>
      </c>
      <c r="B377" s="29" t="str">
        <f>RIGHT(Table5[[#This Row],[Customer_Name]],LEN(Table5[[#This Row],[Customer_Name]])-FIND(",",Table5[[#This Row],[Customer_Name]])-1)</f>
        <v>David</v>
      </c>
      <c r="C377" s="29" t="str">
        <f>LEFT(Table5[[#This Row],[Customer_Name]],FIND(",",Table5[[#This Row],[Customer_Name]])-1)</f>
        <v>Hernandez</v>
      </c>
      <c r="D377" s="30" t="str">
        <f>LEFT(Table5[[#This Row],[First_Name]],2)&amp;LEFT(Table5[[#This Row],[Last_Name]],2)&amp;ROW()</f>
        <v>DaHe377</v>
      </c>
    </row>
    <row r="378" spans="1:4" x14ac:dyDescent="0.25">
      <c r="A378" s="23" t="s">
        <v>54</v>
      </c>
      <c r="B378" s="29" t="str">
        <f>RIGHT(Table5[[#This Row],[Customer_Name]],LEN(Table5[[#This Row],[Customer_Name]])-FIND(",",Table5[[#This Row],[Customer_Name]])-1)</f>
        <v>John</v>
      </c>
      <c r="C378" s="29" t="str">
        <f>LEFT(Table5[[#This Row],[Customer_Name]],FIND(",",Table5[[#This Row],[Customer_Name]])-1)</f>
        <v>Miller</v>
      </c>
      <c r="D378" s="30" t="str">
        <f>LEFT(Table5[[#This Row],[First_Name]],2)&amp;LEFT(Table5[[#This Row],[Last_Name]],2)&amp;ROW()</f>
        <v>JoMi378</v>
      </c>
    </row>
    <row r="379" spans="1:4" x14ac:dyDescent="0.25">
      <c r="A379" s="23" t="s">
        <v>342</v>
      </c>
      <c r="B379" s="29" t="str">
        <f>RIGHT(Table5[[#This Row],[Customer_Name]],LEN(Table5[[#This Row],[Customer_Name]])-FIND(",",Table5[[#This Row],[Customer_Name]])-1)</f>
        <v>Sarah</v>
      </c>
      <c r="C379" s="29" t="str">
        <f>LEFT(Table5[[#This Row],[Customer_Name]],FIND(",",Table5[[#This Row],[Customer_Name]])-1)</f>
        <v>Jones</v>
      </c>
      <c r="D379" s="30" t="str">
        <f>LEFT(Table5[[#This Row],[First_Name]],2)&amp;LEFT(Table5[[#This Row],[Last_Name]],2)&amp;ROW()</f>
        <v>SaJo379</v>
      </c>
    </row>
    <row r="380" spans="1:4" x14ac:dyDescent="0.25">
      <c r="A380" s="23" t="s">
        <v>123</v>
      </c>
      <c r="B380" s="29" t="str">
        <f>RIGHT(Table5[[#This Row],[Customer_Name]],LEN(Table5[[#This Row],[Customer_Name]])-FIND(",",Table5[[#This Row],[Customer_Name]])-1)</f>
        <v>Emily</v>
      </c>
      <c r="C380" s="29" t="str">
        <f>LEFT(Table5[[#This Row],[Customer_Name]],FIND(",",Table5[[#This Row],[Customer_Name]])-1)</f>
        <v>Garcia</v>
      </c>
      <c r="D380" s="30" t="str">
        <f>LEFT(Table5[[#This Row],[First_Name]],2)&amp;LEFT(Table5[[#This Row],[Last_Name]],2)&amp;ROW()</f>
        <v>EmGa380</v>
      </c>
    </row>
    <row r="381" spans="1:4" x14ac:dyDescent="0.25">
      <c r="A381" s="23" t="s">
        <v>371</v>
      </c>
      <c r="B381" s="29" t="str">
        <f>RIGHT(Table5[[#This Row],[Customer_Name]],LEN(Table5[[#This Row],[Customer_Name]])-FIND(",",Table5[[#This Row],[Customer_Name]])-1)</f>
        <v>Emma</v>
      </c>
      <c r="C381" s="29" t="str">
        <f>LEFT(Table5[[#This Row],[Customer_Name]],FIND(",",Table5[[#This Row],[Customer_Name]])-1)</f>
        <v>Jones</v>
      </c>
      <c r="D381" s="30" t="str">
        <f>LEFT(Table5[[#This Row],[First_Name]],2)&amp;LEFT(Table5[[#This Row],[Last_Name]],2)&amp;ROW()</f>
        <v>EmJo381</v>
      </c>
    </row>
    <row r="382" spans="1:4" x14ac:dyDescent="0.25">
      <c r="A382" s="23" t="s">
        <v>286</v>
      </c>
      <c r="B382" s="29" t="str">
        <f>RIGHT(Table5[[#This Row],[Customer_Name]],LEN(Table5[[#This Row],[Customer_Name]])-FIND(",",Table5[[#This Row],[Customer_Name]])-1)</f>
        <v>Michael</v>
      </c>
      <c r="C382" s="29" t="str">
        <f>LEFT(Table5[[#This Row],[Customer_Name]],FIND(",",Table5[[#This Row],[Customer_Name]])-1)</f>
        <v>Hernandez</v>
      </c>
      <c r="D382" s="30" t="str">
        <f>LEFT(Table5[[#This Row],[First_Name]],2)&amp;LEFT(Table5[[#This Row],[Last_Name]],2)&amp;ROW()</f>
        <v>MiHe382</v>
      </c>
    </row>
    <row r="383" spans="1:4" x14ac:dyDescent="0.25">
      <c r="A383" s="23" t="s">
        <v>300</v>
      </c>
      <c r="B383" s="29" t="str">
        <f>RIGHT(Table5[[#This Row],[Customer_Name]],LEN(Table5[[#This Row],[Customer_Name]])-FIND(",",Table5[[#This Row],[Customer_Name]])-1)</f>
        <v>John</v>
      </c>
      <c r="C383" s="29" t="str">
        <f>LEFT(Table5[[#This Row],[Customer_Name]],FIND(",",Table5[[#This Row],[Customer_Name]])-1)</f>
        <v>Garcia</v>
      </c>
      <c r="D383" s="30" t="str">
        <f>LEFT(Table5[[#This Row],[First_Name]],2)&amp;LEFT(Table5[[#This Row],[Last_Name]],2)&amp;ROW()</f>
        <v>JoGa383</v>
      </c>
    </row>
    <row r="384" spans="1:4" x14ac:dyDescent="0.25">
      <c r="A384" s="23" t="s">
        <v>173</v>
      </c>
      <c r="B384" s="29" t="str">
        <f>RIGHT(Table5[[#This Row],[Customer_Name]],LEN(Table5[[#This Row],[Customer_Name]])-FIND(",",Table5[[#This Row],[Customer_Name]])-1)</f>
        <v>Michael</v>
      </c>
      <c r="C384" s="29" t="str">
        <f>LEFT(Table5[[#This Row],[Customer_Name]],FIND(",",Table5[[#This Row],[Customer_Name]])-1)</f>
        <v>Garcia</v>
      </c>
      <c r="D384" s="30" t="str">
        <f>LEFT(Table5[[#This Row],[First_Name]],2)&amp;LEFT(Table5[[#This Row],[Last_Name]],2)&amp;ROW()</f>
        <v>MiGa384</v>
      </c>
    </row>
    <row r="385" spans="1:4" x14ac:dyDescent="0.25">
      <c r="A385" s="23" t="s">
        <v>54</v>
      </c>
      <c r="B385" s="29" t="str">
        <f>RIGHT(Table5[[#This Row],[Customer_Name]],LEN(Table5[[#This Row],[Customer_Name]])-FIND(",",Table5[[#This Row],[Customer_Name]])-1)</f>
        <v>John</v>
      </c>
      <c r="C385" s="29" t="str">
        <f>LEFT(Table5[[#This Row],[Customer_Name]],FIND(",",Table5[[#This Row],[Customer_Name]])-1)</f>
        <v>Miller</v>
      </c>
      <c r="D385" s="30" t="str">
        <f>LEFT(Table5[[#This Row],[First_Name]],2)&amp;LEFT(Table5[[#This Row],[Last_Name]],2)&amp;ROW()</f>
        <v>JoMi385</v>
      </c>
    </row>
    <row r="386" spans="1:4" x14ac:dyDescent="0.25">
      <c r="A386" s="23" t="s">
        <v>300</v>
      </c>
      <c r="B386" s="29" t="str">
        <f>RIGHT(Table5[[#This Row],[Customer_Name]],LEN(Table5[[#This Row],[Customer_Name]])-FIND(",",Table5[[#This Row],[Customer_Name]])-1)</f>
        <v>John</v>
      </c>
      <c r="C386" s="29" t="str">
        <f>LEFT(Table5[[#This Row],[Customer_Name]],FIND(",",Table5[[#This Row],[Customer_Name]])-1)</f>
        <v>Garcia</v>
      </c>
      <c r="D386" s="30" t="str">
        <f>LEFT(Table5[[#This Row],[First_Name]],2)&amp;LEFT(Table5[[#This Row],[Last_Name]],2)&amp;ROW()</f>
        <v>JoGa386</v>
      </c>
    </row>
    <row r="387" spans="1:4" x14ac:dyDescent="0.25">
      <c r="A387" s="23" t="s">
        <v>105</v>
      </c>
      <c r="B387" s="29" t="str">
        <f>RIGHT(Table5[[#This Row],[Customer_Name]],LEN(Table5[[#This Row],[Customer_Name]])-FIND(",",Table5[[#This Row],[Customer_Name]])-1)</f>
        <v>Laura</v>
      </c>
      <c r="C387" s="29" t="str">
        <f>LEFT(Table5[[#This Row],[Customer_Name]],FIND(",",Table5[[#This Row],[Customer_Name]])-1)</f>
        <v>Miller</v>
      </c>
      <c r="D387" s="30" t="str">
        <f>LEFT(Table5[[#This Row],[First_Name]],2)&amp;LEFT(Table5[[#This Row],[Last_Name]],2)&amp;ROW()</f>
        <v>LaMi387</v>
      </c>
    </row>
    <row r="388" spans="1:4" x14ac:dyDescent="0.25">
      <c r="A388" s="23" t="s">
        <v>181</v>
      </c>
      <c r="B388" s="29" t="str">
        <f>RIGHT(Table5[[#This Row],[Customer_Name]],LEN(Table5[[#This Row],[Customer_Name]])-FIND(",",Table5[[#This Row],[Customer_Name]])-1)</f>
        <v>Laura</v>
      </c>
      <c r="C388" s="29" t="str">
        <f>LEFT(Table5[[#This Row],[Customer_Name]],FIND(",",Table5[[#This Row],[Customer_Name]])-1)</f>
        <v>Garcia</v>
      </c>
      <c r="D388" s="30" t="str">
        <f>LEFT(Table5[[#This Row],[First_Name]],2)&amp;LEFT(Table5[[#This Row],[Last_Name]],2)&amp;ROW()</f>
        <v>LaGa388</v>
      </c>
    </row>
    <row r="389" spans="1:4" x14ac:dyDescent="0.25">
      <c r="A389" s="23" t="s">
        <v>231</v>
      </c>
      <c r="B389" s="29" t="str">
        <f>RIGHT(Table5[[#This Row],[Customer_Name]],LEN(Table5[[#This Row],[Customer_Name]])-FIND(",",Table5[[#This Row],[Customer_Name]])-1)</f>
        <v>Emily</v>
      </c>
      <c r="C389" s="29" t="str">
        <f>LEFT(Table5[[#This Row],[Customer_Name]],FIND(",",Table5[[#This Row],[Customer_Name]])-1)</f>
        <v>Martinez</v>
      </c>
      <c r="D389" s="30" t="str">
        <f>LEFT(Table5[[#This Row],[First_Name]],2)&amp;LEFT(Table5[[#This Row],[Last_Name]],2)&amp;ROW()</f>
        <v>EmMa389</v>
      </c>
    </row>
    <row r="390" spans="1:4" x14ac:dyDescent="0.25">
      <c r="A390" s="23" t="s">
        <v>102</v>
      </c>
      <c r="B390" s="29" t="str">
        <f>RIGHT(Table5[[#This Row],[Customer_Name]],LEN(Table5[[#This Row],[Customer_Name]])-FIND(",",Table5[[#This Row],[Customer_Name]])-1)</f>
        <v>Michael</v>
      </c>
      <c r="C390" s="29" t="str">
        <f>LEFT(Table5[[#This Row],[Customer_Name]],FIND(",",Table5[[#This Row],[Customer_Name]])-1)</f>
        <v>Brown</v>
      </c>
      <c r="D390" s="30" t="str">
        <f>LEFT(Table5[[#This Row],[First_Name]],2)&amp;LEFT(Table5[[#This Row],[Last_Name]],2)&amp;ROW()</f>
        <v>MiBr390</v>
      </c>
    </row>
    <row r="391" spans="1:4" x14ac:dyDescent="0.25">
      <c r="A391" s="23" t="s">
        <v>76</v>
      </c>
      <c r="B391" s="29" t="str">
        <f>RIGHT(Table5[[#This Row],[Customer_Name]],LEN(Table5[[#This Row],[Customer_Name]])-FIND(",",Table5[[#This Row],[Customer_Name]])-1)</f>
        <v>David</v>
      </c>
      <c r="C391" s="29" t="str">
        <f>LEFT(Table5[[#This Row],[Customer_Name]],FIND(",",Table5[[#This Row],[Customer_Name]])-1)</f>
        <v>Williams</v>
      </c>
      <c r="D391" s="30" t="str">
        <f>LEFT(Table5[[#This Row],[First_Name]],2)&amp;LEFT(Table5[[#This Row],[Last_Name]],2)&amp;ROW()</f>
        <v>DaWi391</v>
      </c>
    </row>
    <row r="392" spans="1:4" x14ac:dyDescent="0.25">
      <c r="A392" s="23" t="s">
        <v>15</v>
      </c>
      <c r="B392" s="29" t="str">
        <f>RIGHT(Table5[[#This Row],[Customer_Name]],LEN(Table5[[#This Row],[Customer_Name]])-FIND(",",Table5[[#This Row],[Customer_Name]])-1)</f>
        <v>Emily</v>
      </c>
      <c r="C392" s="29" t="str">
        <f>LEFT(Table5[[#This Row],[Customer_Name]],FIND(",",Table5[[#This Row],[Customer_Name]])-1)</f>
        <v>Smith</v>
      </c>
      <c r="D392" s="30" t="str">
        <f>LEFT(Table5[[#This Row],[First_Name]],2)&amp;LEFT(Table5[[#This Row],[Last_Name]],2)&amp;ROW()</f>
        <v>EmSm392</v>
      </c>
    </row>
    <row r="393" spans="1:4" x14ac:dyDescent="0.25">
      <c r="A393" s="23" t="s">
        <v>300</v>
      </c>
      <c r="B393" s="29" t="str">
        <f>RIGHT(Table5[[#This Row],[Customer_Name]],LEN(Table5[[#This Row],[Customer_Name]])-FIND(",",Table5[[#This Row],[Customer_Name]])-1)</f>
        <v>John</v>
      </c>
      <c r="C393" s="29" t="str">
        <f>LEFT(Table5[[#This Row],[Customer_Name]],FIND(",",Table5[[#This Row],[Customer_Name]])-1)</f>
        <v>Garcia</v>
      </c>
      <c r="D393" s="30" t="str">
        <f>LEFT(Table5[[#This Row],[First_Name]],2)&amp;LEFT(Table5[[#This Row],[Last_Name]],2)&amp;ROW()</f>
        <v>JoGa393</v>
      </c>
    </row>
    <row r="394" spans="1:4" x14ac:dyDescent="0.25">
      <c r="A394" s="23" t="s">
        <v>166</v>
      </c>
      <c r="B394" s="29" t="str">
        <f>RIGHT(Table5[[#This Row],[Customer_Name]],LEN(Table5[[#This Row],[Customer_Name]])-FIND(",",Table5[[#This Row],[Customer_Name]])-1)</f>
        <v>Daniel</v>
      </c>
      <c r="C394" s="29" t="str">
        <f>LEFT(Table5[[#This Row],[Customer_Name]],FIND(",",Table5[[#This Row],[Customer_Name]])-1)</f>
        <v>Brown</v>
      </c>
      <c r="D394" s="30" t="str">
        <f>LEFT(Table5[[#This Row],[First_Name]],2)&amp;LEFT(Table5[[#This Row],[Last_Name]],2)&amp;ROW()</f>
        <v>DaBr394</v>
      </c>
    </row>
    <row r="395" spans="1:4" x14ac:dyDescent="0.25">
      <c r="A395" s="23" t="s">
        <v>166</v>
      </c>
      <c r="B395" s="29" t="str">
        <f>RIGHT(Table5[[#This Row],[Customer_Name]],LEN(Table5[[#This Row],[Customer_Name]])-FIND(",",Table5[[#This Row],[Customer_Name]])-1)</f>
        <v>Daniel</v>
      </c>
      <c r="C395" s="29" t="str">
        <f>LEFT(Table5[[#This Row],[Customer_Name]],FIND(",",Table5[[#This Row],[Customer_Name]])-1)</f>
        <v>Brown</v>
      </c>
      <c r="D395" s="30" t="str">
        <f>LEFT(Table5[[#This Row],[First_Name]],2)&amp;LEFT(Table5[[#This Row],[Last_Name]],2)&amp;ROW()</f>
        <v>DaBr395</v>
      </c>
    </row>
    <row r="396" spans="1:4" x14ac:dyDescent="0.25">
      <c r="A396" s="23" t="s">
        <v>149</v>
      </c>
      <c r="B396" s="29" t="str">
        <f>RIGHT(Table5[[#This Row],[Customer_Name]],LEN(Table5[[#This Row],[Customer_Name]])-FIND(",",Table5[[#This Row],[Customer_Name]])-1)</f>
        <v>Sarah</v>
      </c>
      <c r="C396" s="29" t="str">
        <f>LEFT(Table5[[#This Row],[Customer_Name]],FIND(",",Table5[[#This Row],[Customer_Name]])-1)</f>
        <v>Garcia</v>
      </c>
      <c r="D396" s="30" t="str">
        <f>LEFT(Table5[[#This Row],[First_Name]],2)&amp;LEFT(Table5[[#This Row],[Last_Name]],2)&amp;ROW()</f>
        <v>SaGa396</v>
      </c>
    </row>
    <row r="397" spans="1:4" x14ac:dyDescent="0.25">
      <c r="A397" s="23" t="s">
        <v>330</v>
      </c>
      <c r="B397" s="29" t="str">
        <f>RIGHT(Table5[[#This Row],[Customer_Name]],LEN(Table5[[#This Row],[Customer_Name]])-FIND(",",Table5[[#This Row],[Customer_Name]])-1)</f>
        <v>Daniel</v>
      </c>
      <c r="C397" s="29" t="str">
        <f>LEFT(Table5[[#This Row],[Customer_Name]],FIND(",",Table5[[#This Row],[Customer_Name]])-1)</f>
        <v>Garcia</v>
      </c>
      <c r="D397" s="30" t="str">
        <f>LEFT(Table5[[#This Row],[First_Name]],2)&amp;LEFT(Table5[[#This Row],[Last_Name]],2)&amp;ROW()</f>
        <v>DaGa397</v>
      </c>
    </row>
    <row r="398" spans="1:4" x14ac:dyDescent="0.25">
      <c r="A398" s="23" t="s">
        <v>399</v>
      </c>
      <c r="B398" s="29" t="str">
        <f>RIGHT(Table5[[#This Row],[Customer_Name]],LEN(Table5[[#This Row],[Customer_Name]])-FIND(",",Table5[[#This Row],[Customer_Name]])-1)</f>
        <v>John</v>
      </c>
      <c r="C398" s="29" t="str">
        <f>LEFT(Table5[[#This Row],[Customer_Name]],FIND(",",Table5[[#This Row],[Customer_Name]])-1)</f>
        <v>Smith</v>
      </c>
      <c r="D398" s="30" t="str">
        <f>LEFT(Table5[[#This Row],[First_Name]],2)&amp;LEFT(Table5[[#This Row],[Last_Name]],2)&amp;ROW()</f>
        <v>JoSm398</v>
      </c>
    </row>
    <row r="399" spans="1:4" x14ac:dyDescent="0.25">
      <c r="A399" s="23" t="s">
        <v>211</v>
      </c>
      <c r="B399" s="29" t="str">
        <f>RIGHT(Table5[[#This Row],[Customer_Name]],LEN(Table5[[#This Row],[Customer_Name]])-FIND(",",Table5[[#This Row],[Customer_Name]])-1)</f>
        <v>Emma</v>
      </c>
      <c r="C399" s="29" t="str">
        <f>LEFT(Table5[[#This Row],[Customer_Name]],FIND(",",Table5[[#This Row],[Customer_Name]])-1)</f>
        <v>Garcia</v>
      </c>
      <c r="D399" s="30" t="str">
        <f>LEFT(Table5[[#This Row],[First_Name]],2)&amp;LEFT(Table5[[#This Row],[Last_Name]],2)&amp;ROW()</f>
        <v>EmGa399</v>
      </c>
    </row>
    <row r="400" spans="1:4" x14ac:dyDescent="0.25">
      <c r="A400" s="23" t="s">
        <v>193</v>
      </c>
      <c r="B400" s="29" t="str">
        <f>RIGHT(Table5[[#This Row],[Customer_Name]],LEN(Table5[[#This Row],[Customer_Name]])-FIND(",",Table5[[#This Row],[Customer_Name]])-1)</f>
        <v>Laura</v>
      </c>
      <c r="C400" s="29" t="str">
        <f>LEFT(Table5[[#This Row],[Customer_Name]],FIND(",",Table5[[#This Row],[Customer_Name]])-1)</f>
        <v>Hernandez</v>
      </c>
      <c r="D400" s="30" t="str">
        <f>LEFT(Table5[[#This Row],[First_Name]],2)&amp;LEFT(Table5[[#This Row],[Last_Name]],2)&amp;ROW()</f>
        <v>LaHe400</v>
      </c>
    </row>
    <row r="401" spans="1:4" x14ac:dyDescent="0.25">
      <c r="A401" s="23" t="s">
        <v>176</v>
      </c>
      <c r="B401" s="29" t="str">
        <f>RIGHT(Table5[[#This Row],[Customer_Name]],LEN(Table5[[#This Row],[Customer_Name]])-FIND(",",Table5[[#This Row],[Customer_Name]])-1)</f>
        <v>David</v>
      </c>
      <c r="C401" s="29" t="str">
        <f>LEFT(Table5[[#This Row],[Customer_Name]],FIND(",",Table5[[#This Row],[Customer_Name]])-1)</f>
        <v>Smith</v>
      </c>
      <c r="D401" s="30" t="str">
        <f>LEFT(Table5[[#This Row],[First_Name]],2)&amp;LEFT(Table5[[#This Row],[Last_Name]],2)&amp;ROW()</f>
        <v>DaSm401</v>
      </c>
    </row>
    <row r="402" spans="1:4" x14ac:dyDescent="0.25">
      <c r="A402" s="23" t="s">
        <v>473</v>
      </c>
      <c r="B402" s="29" t="str">
        <f>RIGHT(Table5[[#This Row],[Customer_Name]],LEN(Table5[[#This Row],[Customer_Name]])-FIND(",",Table5[[#This Row],[Customer_Name]])-1)</f>
        <v>John</v>
      </c>
      <c r="C402" s="29" t="str">
        <f>LEFT(Table5[[#This Row],[Customer_Name]],FIND(",",Table5[[#This Row],[Customer_Name]])-1)</f>
        <v>Jones</v>
      </c>
      <c r="D402" s="30" t="str">
        <f>LEFT(Table5[[#This Row],[First_Name]],2)&amp;LEFT(Table5[[#This Row],[Last_Name]],2)&amp;ROW()</f>
        <v>JoJo402</v>
      </c>
    </row>
    <row r="403" spans="1:4" x14ac:dyDescent="0.25">
      <c r="A403" s="23" t="s">
        <v>291</v>
      </c>
      <c r="B403" s="29" t="str">
        <f>RIGHT(Table5[[#This Row],[Customer_Name]],LEN(Table5[[#This Row],[Customer_Name]])-FIND(",",Table5[[#This Row],[Customer_Name]])-1)</f>
        <v>John</v>
      </c>
      <c r="C403" s="29" t="str">
        <f>LEFT(Table5[[#This Row],[Customer_Name]],FIND(",",Table5[[#This Row],[Customer_Name]])-1)</f>
        <v>Brown</v>
      </c>
      <c r="D403" s="30" t="str">
        <f>LEFT(Table5[[#This Row],[First_Name]],2)&amp;LEFT(Table5[[#This Row],[Last_Name]],2)&amp;ROW()</f>
        <v>JoBr403</v>
      </c>
    </row>
    <row r="404" spans="1:4" x14ac:dyDescent="0.25">
      <c r="A404" s="23" t="s">
        <v>62</v>
      </c>
      <c r="B404" s="29" t="str">
        <f>RIGHT(Table5[[#This Row],[Customer_Name]],LEN(Table5[[#This Row],[Customer_Name]])-FIND(",",Table5[[#This Row],[Customer_Name]])-1)</f>
        <v>Laura</v>
      </c>
      <c r="C404" s="29" t="str">
        <f>LEFT(Table5[[#This Row],[Customer_Name]],FIND(",",Table5[[#This Row],[Customer_Name]])-1)</f>
        <v>Martinez</v>
      </c>
      <c r="D404" s="30" t="str">
        <f>LEFT(Table5[[#This Row],[First_Name]],2)&amp;LEFT(Table5[[#This Row],[Last_Name]],2)&amp;ROW()</f>
        <v>LaMa404</v>
      </c>
    </row>
    <row r="405" spans="1:4" x14ac:dyDescent="0.25">
      <c r="A405" s="23" t="s">
        <v>221</v>
      </c>
      <c r="B405" s="29" t="str">
        <f>RIGHT(Table5[[#This Row],[Customer_Name]],LEN(Table5[[#This Row],[Customer_Name]])-FIND(",",Table5[[#This Row],[Customer_Name]])-1)</f>
        <v>David</v>
      </c>
      <c r="C405" s="29" t="str">
        <f>LEFT(Table5[[#This Row],[Customer_Name]],FIND(",",Table5[[#This Row],[Customer_Name]])-1)</f>
        <v>Johnson</v>
      </c>
      <c r="D405" s="30" t="str">
        <f>LEFT(Table5[[#This Row],[First_Name]],2)&amp;LEFT(Table5[[#This Row],[Last_Name]],2)&amp;ROW()</f>
        <v>DaJo405</v>
      </c>
    </row>
    <row r="406" spans="1:4" x14ac:dyDescent="0.25">
      <c r="A406" s="23" t="s">
        <v>142</v>
      </c>
      <c r="B406" s="29" t="str">
        <f>RIGHT(Table5[[#This Row],[Customer_Name]],LEN(Table5[[#This Row],[Customer_Name]])-FIND(",",Table5[[#This Row],[Customer_Name]])-1)</f>
        <v>Emma</v>
      </c>
      <c r="C406" s="29" t="str">
        <f>LEFT(Table5[[#This Row],[Customer_Name]],FIND(",",Table5[[#This Row],[Customer_Name]])-1)</f>
        <v>Martinez</v>
      </c>
      <c r="D406" s="30" t="str">
        <f>LEFT(Table5[[#This Row],[First_Name]],2)&amp;LEFT(Table5[[#This Row],[Last_Name]],2)&amp;ROW()</f>
        <v>EmMa406</v>
      </c>
    </row>
    <row r="407" spans="1:4" x14ac:dyDescent="0.25">
      <c r="A407" s="23" t="s">
        <v>257</v>
      </c>
      <c r="B407" s="29" t="str">
        <f>RIGHT(Table5[[#This Row],[Customer_Name]],LEN(Table5[[#This Row],[Customer_Name]])-FIND(",",Table5[[#This Row],[Customer_Name]])-1)</f>
        <v>James</v>
      </c>
      <c r="C407" s="29" t="str">
        <f>LEFT(Table5[[#This Row],[Customer_Name]],FIND(",",Table5[[#This Row],[Customer_Name]])-1)</f>
        <v>Smith</v>
      </c>
      <c r="D407" s="30" t="str">
        <f>LEFT(Table5[[#This Row],[First_Name]],2)&amp;LEFT(Table5[[#This Row],[Last_Name]],2)&amp;ROW()</f>
        <v>JaSm407</v>
      </c>
    </row>
    <row r="408" spans="1:4" x14ac:dyDescent="0.25">
      <c r="A408" s="23" t="s">
        <v>102</v>
      </c>
      <c r="B408" s="29" t="str">
        <f>RIGHT(Table5[[#This Row],[Customer_Name]],LEN(Table5[[#This Row],[Customer_Name]])-FIND(",",Table5[[#This Row],[Customer_Name]])-1)</f>
        <v>Michael</v>
      </c>
      <c r="C408" s="29" t="str">
        <f>LEFT(Table5[[#This Row],[Customer_Name]],FIND(",",Table5[[#This Row],[Customer_Name]])-1)</f>
        <v>Brown</v>
      </c>
      <c r="D408" s="30" t="str">
        <f>LEFT(Table5[[#This Row],[First_Name]],2)&amp;LEFT(Table5[[#This Row],[Last_Name]],2)&amp;ROW()</f>
        <v>MiBr408</v>
      </c>
    </row>
    <row r="409" spans="1:4" x14ac:dyDescent="0.25">
      <c r="A409" s="23" t="s">
        <v>115</v>
      </c>
      <c r="B409" s="29" t="str">
        <f>RIGHT(Table5[[#This Row],[Customer_Name]],LEN(Table5[[#This Row],[Customer_Name]])-FIND(",",Table5[[#This Row],[Customer_Name]])-1)</f>
        <v>Laura</v>
      </c>
      <c r="C409" s="29" t="str">
        <f>LEFT(Table5[[#This Row],[Customer_Name]],FIND(",",Table5[[#This Row],[Customer_Name]])-1)</f>
        <v>Williams</v>
      </c>
      <c r="D409" s="30" t="str">
        <f>LEFT(Table5[[#This Row],[First_Name]],2)&amp;LEFT(Table5[[#This Row],[Last_Name]],2)&amp;ROW()</f>
        <v>LaWi409</v>
      </c>
    </row>
    <row r="410" spans="1:4" x14ac:dyDescent="0.25">
      <c r="A410" s="23" t="s">
        <v>142</v>
      </c>
      <c r="B410" s="29" t="str">
        <f>RIGHT(Table5[[#This Row],[Customer_Name]],LEN(Table5[[#This Row],[Customer_Name]])-FIND(",",Table5[[#This Row],[Customer_Name]])-1)</f>
        <v>Emma</v>
      </c>
      <c r="C410" s="29" t="str">
        <f>LEFT(Table5[[#This Row],[Customer_Name]],FIND(",",Table5[[#This Row],[Customer_Name]])-1)</f>
        <v>Martinez</v>
      </c>
      <c r="D410" s="30" t="str">
        <f>LEFT(Table5[[#This Row],[First_Name]],2)&amp;LEFT(Table5[[#This Row],[Last_Name]],2)&amp;ROW()</f>
        <v>EmMa410</v>
      </c>
    </row>
    <row r="411" spans="1:4" x14ac:dyDescent="0.25">
      <c r="A411" s="23" t="s">
        <v>139</v>
      </c>
      <c r="B411" s="29" t="str">
        <f>RIGHT(Table5[[#This Row],[Customer_Name]],LEN(Table5[[#This Row],[Customer_Name]])-FIND(",",Table5[[#This Row],[Customer_Name]])-1)</f>
        <v>Sarah</v>
      </c>
      <c r="C411" s="29" t="str">
        <f>LEFT(Table5[[#This Row],[Customer_Name]],FIND(",",Table5[[#This Row],[Customer_Name]])-1)</f>
        <v>Brown</v>
      </c>
      <c r="D411" s="30" t="str">
        <f>LEFT(Table5[[#This Row],[First_Name]],2)&amp;LEFT(Table5[[#This Row],[Last_Name]],2)&amp;ROW()</f>
        <v>SaBr411</v>
      </c>
    </row>
    <row r="412" spans="1:4" x14ac:dyDescent="0.25">
      <c r="A412" s="23" t="s">
        <v>97</v>
      </c>
      <c r="B412" s="29" t="str">
        <f>RIGHT(Table5[[#This Row],[Customer_Name]],LEN(Table5[[#This Row],[Customer_Name]])-FIND(",",Table5[[#This Row],[Customer_Name]])-1)</f>
        <v>Michael</v>
      </c>
      <c r="C412" s="29" t="str">
        <f>LEFT(Table5[[#This Row],[Customer_Name]],FIND(",",Table5[[#This Row],[Customer_Name]])-1)</f>
        <v>Martinez</v>
      </c>
      <c r="D412" s="30" t="str">
        <f>LEFT(Table5[[#This Row],[First_Name]],2)&amp;LEFT(Table5[[#This Row],[Last_Name]],2)&amp;ROW()</f>
        <v>MiMa412</v>
      </c>
    </row>
    <row r="413" spans="1:4" x14ac:dyDescent="0.25">
      <c r="A413" s="23" t="s">
        <v>119</v>
      </c>
      <c r="B413" s="29" t="str">
        <f>RIGHT(Table5[[#This Row],[Customer_Name]],LEN(Table5[[#This Row],[Customer_Name]])-FIND(",",Table5[[#This Row],[Customer_Name]])-1)</f>
        <v>Michael</v>
      </c>
      <c r="C413" s="29" t="str">
        <f>LEFT(Table5[[#This Row],[Customer_Name]],FIND(",",Table5[[#This Row],[Customer_Name]])-1)</f>
        <v>Smith</v>
      </c>
      <c r="D413" s="30" t="str">
        <f>LEFT(Table5[[#This Row],[First_Name]],2)&amp;LEFT(Table5[[#This Row],[Last_Name]],2)&amp;ROW()</f>
        <v>MiSm413</v>
      </c>
    </row>
    <row r="414" spans="1:4" x14ac:dyDescent="0.25">
      <c r="A414" s="23" t="s">
        <v>354</v>
      </c>
      <c r="B414" s="29" t="str">
        <f>RIGHT(Table5[[#This Row],[Customer_Name]],LEN(Table5[[#This Row],[Customer_Name]])-FIND(",",Table5[[#This Row],[Customer_Name]])-1)</f>
        <v>David</v>
      </c>
      <c r="C414" s="29" t="str">
        <f>LEFT(Table5[[#This Row],[Customer_Name]],FIND(",",Table5[[#This Row],[Customer_Name]])-1)</f>
        <v>Brown</v>
      </c>
      <c r="D414" s="30" t="str">
        <f>LEFT(Table5[[#This Row],[First_Name]],2)&amp;LEFT(Table5[[#This Row],[Last_Name]],2)&amp;ROW()</f>
        <v>DaBr414</v>
      </c>
    </row>
    <row r="415" spans="1:4" x14ac:dyDescent="0.25">
      <c r="A415" s="23" t="s">
        <v>123</v>
      </c>
      <c r="B415" s="29" t="str">
        <f>RIGHT(Table5[[#This Row],[Customer_Name]],LEN(Table5[[#This Row],[Customer_Name]])-FIND(",",Table5[[#This Row],[Customer_Name]])-1)</f>
        <v>Emily</v>
      </c>
      <c r="C415" s="29" t="str">
        <f>LEFT(Table5[[#This Row],[Customer_Name]],FIND(",",Table5[[#This Row],[Customer_Name]])-1)</f>
        <v>Garcia</v>
      </c>
      <c r="D415" s="30" t="str">
        <f>LEFT(Table5[[#This Row],[First_Name]],2)&amp;LEFT(Table5[[#This Row],[Last_Name]],2)&amp;ROW()</f>
        <v>EmGa415</v>
      </c>
    </row>
    <row r="416" spans="1:4" x14ac:dyDescent="0.25">
      <c r="A416" s="23" t="s">
        <v>73</v>
      </c>
      <c r="B416" s="29" t="str">
        <f>RIGHT(Table5[[#This Row],[Customer_Name]],LEN(Table5[[#This Row],[Customer_Name]])-FIND(",",Table5[[#This Row],[Customer_Name]])-1)</f>
        <v>Sarah</v>
      </c>
      <c r="C416" s="29" t="str">
        <f>LEFT(Table5[[#This Row],[Customer_Name]],FIND(",",Table5[[#This Row],[Customer_Name]])-1)</f>
        <v>Davis</v>
      </c>
      <c r="D416" s="30" t="str">
        <f>LEFT(Table5[[#This Row],[First_Name]],2)&amp;LEFT(Table5[[#This Row],[Last_Name]],2)&amp;ROW()</f>
        <v>SaDa416</v>
      </c>
    </row>
    <row r="417" spans="1:4" x14ac:dyDescent="0.25">
      <c r="A417" s="23" t="s">
        <v>240</v>
      </c>
      <c r="B417" s="29" t="str">
        <f>RIGHT(Table5[[#This Row],[Customer_Name]],LEN(Table5[[#This Row],[Customer_Name]])-FIND(",",Table5[[#This Row],[Customer_Name]])-1)</f>
        <v>David</v>
      </c>
      <c r="C417" s="29" t="str">
        <f>LEFT(Table5[[#This Row],[Customer_Name]],FIND(",",Table5[[#This Row],[Customer_Name]])-1)</f>
        <v>Hernandez</v>
      </c>
      <c r="D417" s="30" t="str">
        <f>LEFT(Table5[[#This Row],[First_Name]],2)&amp;LEFT(Table5[[#This Row],[Last_Name]],2)&amp;ROW()</f>
        <v>DaHe417</v>
      </c>
    </row>
    <row r="418" spans="1:4" x14ac:dyDescent="0.25">
      <c r="A418" s="23" t="s">
        <v>97</v>
      </c>
      <c r="B418" s="29" t="str">
        <f>RIGHT(Table5[[#This Row],[Customer_Name]],LEN(Table5[[#This Row],[Customer_Name]])-FIND(",",Table5[[#This Row],[Customer_Name]])-1)</f>
        <v>Michael</v>
      </c>
      <c r="C418" s="29" t="str">
        <f>LEFT(Table5[[#This Row],[Customer_Name]],FIND(",",Table5[[#This Row],[Customer_Name]])-1)</f>
        <v>Martinez</v>
      </c>
      <c r="D418" s="30" t="str">
        <f>LEFT(Table5[[#This Row],[First_Name]],2)&amp;LEFT(Table5[[#This Row],[Last_Name]],2)&amp;ROW()</f>
        <v>MiMa418</v>
      </c>
    </row>
    <row r="419" spans="1:4" x14ac:dyDescent="0.25">
      <c r="A419" s="23" t="s">
        <v>297</v>
      </c>
      <c r="B419" s="29" t="str">
        <f>RIGHT(Table5[[#This Row],[Customer_Name]],LEN(Table5[[#This Row],[Customer_Name]])-FIND(",",Table5[[#This Row],[Customer_Name]])-1)</f>
        <v>Emily</v>
      </c>
      <c r="C419" s="29" t="str">
        <f>LEFT(Table5[[#This Row],[Customer_Name]],FIND(",",Table5[[#This Row],[Customer_Name]])-1)</f>
        <v>Johnson</v>
      </c>
      <c r="D419" s="30" t="str">
        <f>LEFT(Table5[[#This Row],[First_Name]],2)&amp;LEFT(Table5[[#This Row],[Last_Name]],2)&amp;ROW()</f>
        <v>EmJo419</v>
      </c>
    </row>
    <row r="420" spans="1:4" x14ac:dyDescent="0.25">
      <c r="A420" s="23" t="s">
        <v>113</v>
      </c>
      <c r="B420" s="29" t="str">
        <f>RIGHT(Table5[[#This Row],[Customer_Name]],LEN(Table5[[#This Row],[Customer_Name]])-FIND(",",Table5[[#This Row],[Customer_Name]])-1)</f>
        <v>John</v>
      </c>
      <c r="C420" s="29" t="str">
        <f>LEFT(Table5[[#This Row],[Customer_Name]],FIND(",",Table5[[#This Row],[Customer_Name]])-1)</f>
        <v>Hernandez</v>
      </c>
      <c r="D420" s="30" t="str">
        <f>LEFT(Table5[[#This Row],[First_Name]],2)&amp;LEFT(Table5[[#This Row],[Last_Name]],2)&amp;ROW()</f>
        <v>JoHe420</v>
      </c>
    </row>
    <row r="421" spans="1:4" x14ac:dyDescent="0.25">
      <c r="A421" s="23" t="s">
        <v>102</v>
      </c>
      <c r="B421" s="29" t="str">
        <f>RIGHT(Table5[[#This Row],[Customer_Name]],LEN(Table5[[#This Row],[Customer_Name]])-FIND(",",Table5[[#This Row],[Customer_Name]])-1)</f>
        <v>Michael</v>
      </c>
      <c r="C421" s="29" t="str">
        <f>LEFT(Table5[[#This Row],[Customer_Name]],FIND(",",Table5[[#This Row],[Customer_Name]])-1)</f>
        <v>Brown</v>
      </c>
      <c r="D421" s="30" t="str">
        <f>LEFT(Table5[[#This Row],[First_Name]],2)&amp;LEFT(Table5[[#This Row],[Last_Name]],2)&amp;ROW()</f>
        <v>MiBr421</v>
      </c>
    </row>
    <row r="422" spans="1:4" x14ac:dyDescent="0.25">
      <c r="A422" s="23" t="s">
        <v>76</v>
      </c>
      <c r="B422" s="29" t="str">
        <f>RIGHT(Table5[[#This Row],[Customer_Name]],LEN(Table5[[#This Row],[Customer_Name]])-FIND(",",Table5[[#This Row],[Customer_Name]])-1)</f>
        <v>David</v>
      </c>
      <c r="C422" s="29" t="str">
        <f>LEFT(Table5[[#This Row],[Customer_Name]],FIND(",",Table5[[#This Row],[Customer_Name]])-1)</f>
        <v>Williams</v>
      </c>
      <c r="D422" s="30" t="str">
        <f>LEFT(Table5[[#This Row],[First_Name]],2)&amp;LEFT(Table5[[#This Row],[Last_Name]],2)&amp;ROW()</f>
        <v>DaWi422</v>
      </c>
    </row>
    <row r="423" spans="1:4" x14ac:dyDescent="0.25">
      <c r="A423" s="23" t="s">
        <v>286</v>
      </c>
      <c r="B423" s="29" t="str">
        <f>RIGHT(Table5[[#This Row],[Customer_Name]],LEN(Table5[[#This Row],[Customer_Name]])-FIND(",",Table5[[#This Row],[Customer_Name]])-1)</f>
        <v>Michael</v>
      </c>
      <c r="C423" s="29" t="str">
        <f>LEFT(Table5[[#This Row],[Customer_Name]],FIND(",",Table5[[#This Row],[Customer_Name]])-1)</f>
        <v>Hernandez</v>
      </c>
      <c r="D423" s="30" t="str">
        <f>LEFT(Table5[[#This Row],[First_Name]],2)&amp;LEFT(Table5[[#This Row],[Last_Name]],2)&amp;ROW()</f>
        <v>MiHe423</v>
      </c>
    </row>
    <row r="424" spans="1:4" x14ac:dyDescent="0.25">
      <c r="A424" s="23" t="s">
        <v>249</v>
      </c>
      <c r="B424" s="29" t="str">
        <f>RIGHT(Table5[[#This Row],[Customer_Name]],LEN(Table5[[#This Row],[Customer_Name]])-FIND(",",Table5[[#This Row],[Customer_Name]])-1)</f>
        <v>David</v>
      </c>
      <c r="C424" s="29" t="str">
        <f>LEFT(Table5[[#This Row],[Customer_Name]],FIND(",",Table5[[#This Row],[Customer_Name]])-1)</f>
        <v>Garcia</v>
      </c>
      <c r="D424" s="30" t="str">
        <f>LEFT(Table5[[#This Row],[First_Name]],2)&amp;LEFT(Table5[[#This Row],[Last_Name]],2)&amp;ROW()</f>
        <v>DaGa424</v>
      </c>
    </row>
    <row r="425" spans="1:4" x14ac:dyDescent="0.25">
      <c r="A425" s="23" t="s">
        <v>179</v>
      </c>
      <c r="B425" s="29" t="str">
        <f>RIGHT(Table5[[#This Row],[Customer_Name]],LEN(Table5[[#This Row],[Customer_Name]])-FIND(",",Table5[[#This Row],[Customer_Name]])-1)</f>
        <v>Sophia</v>
      </c>
      <c r="C425" s="29" t="str">
        <f>LEFT(Table5[[#This Row],[Customer_Name]],FIND(",",Table5[[#This Row],[Customer_Name]])-1)</f>
        <v>Miller</v>
      </c>
      <c r="D425" s="30" t="str">
        <f>LEFT(Table5[[#This Row],[First_Name]],2)&amp;LEFT(Table5[[#This Row],[Last_Name]],2)&amp;ROW()</f>
        <v>SoMi425</v>
      </c>
    </row>
    <row r="426" spans="1:4" x14ac:dyDescent="0.25">
      <c r="A426" s="23" t="s">
        <v>67</v>
      </c>
      <c r="B426" s="29" t="str">
        <f>RIGHT(Table5[[#This Row],[Customer_Name]],LEN(Table5[[#This Row],[Customer_Name]])-FIND(",",Table5[[#This Row],[Customer_Name]])-1)</f>
        <v>James</v>
      </c>
      <c r="C426" s="29" t="str">
        <f>LEFT(Table5[[#This Row],[Customer_Name]],FIND(",",Table5[[#This Row],[Customer_Name]])-1)</f>
        <v>Davis</v>
      </c>
      <c r="D426" s="30" t="str">
        <f>LEFT(Table5[[#This Row],[First_Name]],2)&amp;LEFT(Table5[[#This Row],[Last_Name]],2)&amp;ROW()</f>
        <v>JaDa426</v>
      </c>
    </row>
    <row r="427" spans="1:4" x14ac:dyDescent="0.25">
      <c r="A427" s="23" t="s">
        <v>113</v>
      </c>
      <c r="B427" s="29" t="str">
        <f>RIGHT(Table5[[#This Row],[Customer_Name]],LEN(Table5[[#This Row],[Customer_Name]])-FIND(",",Table5[[#This Row],[Customer_Name]])-1)</f>
        <v>John</v>
      </c>
      <c r="C427" s="29" t="str">
        <f>LEFT(Table5[[#This Row],[Customer_Name]],FIND(",",Table5[[#This Row],[Customer_Name]])-1)</f>
        <v>Hernandez</v>
      </c>
      <c r="D427" s="30" t="str">
        <f>LEFT(Table5[[#This Row],[First_Name]],2)&amp;LEFT(Table5[[#This Row],[Last_Name]],2)&amp;ROW()</f>
        <v>JoHe427</v>
      </c>
    </row>
    <row r="428" spans="1:4" x14ac:dyDescent="0.25">
      <c r="A428" s="23" t="s">
        <v>231</v>
      </c>
      <c r="B428" s="29" t="str">
        <f>RIGHT(Table5[[#This Row],[Customer_Name]],LEN(Table5[[#This Row],[Customer_Name]])-FIND(",",Table5[[#This Row],[Customer_Name]])-1)</f>
        <v>Emily</v>
      </c>
      <c r="C428" s="29" t="str">
        <f>LEFT(Table5[[#This Row],[Customer_Name]],FIND(",",Table5[[#This Row],[Customer_Name]])-1)</f>
        <v>Martinez</v>
      </c>
      <c r="D428" s="30" t="str">
        <f>LEFT(Table5[[#This Row],[First_Name]],2)&amp;LEFT(Table5[[#This Row],[Last_Name]],2)&amp;ROW()</f>
        <v>EmMa428</v>
      </c>
    </row>
    <row r="429" spans="1:4" x14ac:dyDescent="0.25">
      <c r="A429" s="23" t="s">
        <v>297</v>
      </c>
      <c r="B429" s="29" t="str">
        <f>RIGHT(Table5[[#This Row],[Customer_Name]],LEN(Table5[[#This Row],[Customer_Name]])-FIND(",",Table5[[#This Row],[Customer_Name]])-1)</f>
        <v>Emily</v>
      </c>
      <c r="C429" s="29" t="str">
        <f>LEFT(Table5[[#This Row],[Customer_Name]],FIND(",",Table5[[#This Row],[Customer_Name]])-1)</f>
        <v>Johnson</v>
      </c>
      <c r="D429" s="30" t="str">
        <f>LEFT(Table5[[#This Row],[First_Name]],2)&amp;LEFT(Table5[[#This Row],[Last_Name]],2)&amp;ROW()</f>
        <v>EmJo429</v>
      </c>
    </row>
    <row r="430" spans="1:4" x14ac:dyDescent="0.25">
      <c r="A430" s="23" t="s">
        <v>102</v>
      </c>
      <c r="B430" s="29" t="str">
        <f>RIGHT(Table5[[#This Row],[Customer_Name]],LEN(Table5[[#This Row],[Customer_Name]])-FIND(",",Table5[[#This Row],[Customer_Name]])-1)</f>
        <v>Michael</v>
      </c>
      <c r="C430" s="29" t="str">
        <f>LEFT(Table5[[#This Row],[Customer_Name]],FIND(",",Table5[[#This Row],[Customer_Name]])-1)</f>
        <v>Brown</v>
      </c>
      <c r="D430" s="30" t="str">
        <f>LEFT(Table5[[#This Row],[First_Name]],2)&amp;LEFT(Table5[[#This Row],[Last_Name]],2)&amp;ROW()</f>
        <v>MiBr430</v>
      </c>
    </row>
    <row r="431" spans="1:4" x14ac:dyDescent="0.25">
      <c r="A431" s="23" t="s">
        <v>166</v>
      </c>
      <c r="B431" s="29" t="str">
        <f>RIGHT(Table5[[#This Row],[Customer_Name]],LEN(Table5[[#This Row],[Customer_Name]])-FIND(",",Table5[[#This Row],[Customer_Name]])-1)</f>
        <v>Daniel</v>
      </c>
      <c r="C431" s="29" t="str">
        <f>LEFT(Table5[[#This Row],[Customer_Name]],FIND(",",Table5[[#This Row],[Customer_Name]])-1)</f>
        <v>Brown</v>
      </c>
      <c r="D431" s="30" t="str">
        <f>LEFT(Table5[[#This Row],[First_Name]],2)&amp;LEFT(Table5[[#This Row],[Last_Name]],2)&amp;ROW()</f>
        <v>DaBr431</v>
      </c>
    </row>
    <row r="432" spans="1:4" x14ac:dyDescent="0.25">
      <c r="A432" s="23" t="s">
        <v>408</v>
      </c>
      <c r="B432" s="29" t="str">
        <f>RIGHT(Table5[[#This Row],[Customer_Name]],LEN(Table5[[#This Row],[Customer_Name]])-FIND(",",Table5[[#This Row],[Customer_Name]])-1)</f>
        <v>Sophia</v>
      </c>
      <c r="C432" s="29" t="str">
        <f>LEFT(Table5[[#This Row],[Customer_Name]],FIND(",",Table5[[#This Row],[Customer_Name]])-1)</f>
        <v>Williams</v>
      </c>
      <c r="D432" s="30" t="str">
        <f>LEFT(Table5[[#This Row],[First_Name]],2)&amp;LEFT(Table5[[#This Row],[Last_Name]],2)&amp;ROW()</f>
        <v>SoWi432</v>
      </c>
    </row>
    <row r="433" spans="1:4" x14ac:dyDescent="0.25">
      <c r="A433" s="23" t="s">
        <v>89</v>
      </c>
      <c r="B433" s="29" t="str">
        <f>RIGHT(Table5[[#This Row],[Customer_Name]],LEN(Table5[[#This Row],[Customer_Name]])-FIND(",",Table5[[#This Row],[Customer_Name]])-1)</f>
        <v>David</v>
      </c>
      <c r="C433" s="29" t="str">
        <f>LEFT(Table5[[#This Row],[Customer_Name]],FIND(",",Table5[[#This Row],[Customer_Name]])-1)</f>
        <v>Davis</v>
      </c>
      <c r="D433" s="30" t="str">
        <f>LEFT(Table5[[#This Row],[First_Name]],2)&amp;LEFT(Table5[[#This Row],[Last_Name]],2)&amp;ROW()</f>
        <v>DaDa433</v>
      </c>
    </row>
    <row r="434" spans="1:4" x14ac:dyDescent="0.25">
      <c r="A434" s="23" t="s">
        <v>30</v>
      </c>
      <c r="B434" s="29" t="str">
        <f>RIGHT(Table5[[#This Row],[Customer_Name]],LEN(Table5[[#This Row],[Customer_Name]])-FIND(",",Table5[[#This Row],[Customer_Name]])-1)</f>
        <v>John</v>
      </c>
      <c r="C434" s="29" t="str">
        <f>LEFT(Table5[[#This Row],[Customer_Name]],FIND(",",Table5[[#This Row],[Customer_Name]])-1)</f>
        <v>Davis</v>
      </c>
      <c r="D434" s="30" t="str">
        <f>LEFT(Table5[[#This Row],[First_Name]],2)&amp;LEFT(Table5[[#This Row],[Last_Name]],2)&amp;ROW()</f>
        <v>JoDa434</v>
      </c>
    </row>
    <row r="435" spans="1:4" x14ac:dyDescent="0.25">
      <c r="A435" s="23" t="s">
        <v>15</v>
      </c>
      <c r="B435" s="29" t="str">
        <f>RIGHT(Table5[[#This Row],[Customer_Name]],LEN(Table5[[#This Row],[Customer_Name]])-FIND(",",Table5[[#This Row],[Customer_Name]])-1)</f>
        <v>Emily</v>
      </c>
      <c r="C435" s="29" t="str">
        <f>LEFT(Table5[[#This Row],[Customer_Name]],FIND(",",Table5[[#This Row],[Customer_Name]])-1)</f>
        <v>Smith</v>
      </c>
      <c r="D435" s="30" t="str">
        <f>LEFT(Table5[[#This Row],[First_Name]],2)&amp;LEFT(Table5[[#This Row],[Last_Name]],2)&amp;ROW()</f>
        <v>EmSm435</v>
      </c>
    </row>
    <row r="436" spans="1:4" x14ac:dyDescent="0.25">
      <c r="A436" s="23" t="s">
        <v>293</v>
      </c>
      <c r="B436" s="29" t="str">
        <f>RIGHT(Table5[[#This Row],[Customer_Name]],LEN(Table5[[#This Row],[Customer_Name]])-FIND(",",Table5[[#This Row],[Customer_Name]])-1)</f>
        <v>David</v>
      </c>
      <c r="C436" s="29" t="str">
        <f>LEFT(Table5[[#This Row],[Customer_Name]],FIND(",",Table5[[#This Row],[Customer_Name]])-1)</f>
        <v>Martinez</v>
      </c>
      <c r="D436" s="30" t="str">
        <f>LEFT(Table5[[#This Row],[First_Name]],2)&amp;LEFT(Table5[[#This Row],[Last_Name]],2)&amp;ROW()</f>
        <v>DaMa436</v>
      </c>
    </row>
    <row r="437" spans="1:4" x14ac:dyDescent="0.25">
      <c r="A437" s="23" t="s">
        <v>319</v>
      </c>
      <c r="B437" s="29" t="str">
        <f>RIGHT(Table5[[#This Row],[Customer_Name]],LEN(Table5[[#This Row],[Customer_Name]])-FIND(",",Table5[[#This Row],[Customer_Name]])-1)</f>
        <v>Daniel</v>
      </c>
      <c r="C437" s="29" t="str">
        <f>LEFT(Table5[[#This Row],[Customer_Name]],FIND(",",Table5[[#This Row],[Customer_Name]])-1)</f>
        <v>Davis</v>
      </c>
      <c r="D437" s="30" t="str">
        <f>LEFT(Table5[[#This Row],[First_Name]],2)&amp;LEFT(Table5[[#This Row],[Last_Name]],2)&amp;ROW()</f>
        <v>DaDa437</v>
      </c>
    </row>
    <row r="438" spans="1:4" x14ac:dyDescent="0.25">
      <c r="A438" s="23" t="s">
        <v>67</v>
      </c>
      <c r="B438" s="29" t="str">
        <f>RIGHT(Table5[[#This Row],[Customer_Name]],LEN(Table5[[#This Row],[Customer_Name]])-FIND(",",Table5[[#This Row],[Customer_Name]])-1)</f>
        <v>James</v>
      </c>
      <c r="C438" s="29" t="str">
        <f>LEFT(Table5[[#This Row],[Customer_Name]],FIND(",",Table5[[#This Row],[Customer_Name]])-1)</f>
        <v>Davis</v>
      </c>
      <c r="D438" s="30" t="str">
        <f>LEFT(Table5[[#This Row],[First_Name]],2)&amp;LEFT(Table5[[#This Row],[Last_Name]],2)&amp;ROW()</f>
        <v>JaDa438</v>
      </c>
    </row>
    <row r="439" spans="1:4" x14ac:dyDescent="0.25">
      <c r="A439" s="23" t="s">
        <v>137</v>
      </c>
      <c r="B439" s="29" t="str">
        <f>RIGHT(Table5[[#This Row],[Customer_Name]],LEN(Table5[[#This Row],[Customer_Name]])-FIND(",",Table5[[#This Row],[Customer_Name]])-1)</f>
        <v>David</v>
      </c>
      <c r="C439" s="29" t="str">
        <f>LEFT(Table5[[#This Row],[Customer_Name]],FIND(",",Table5[[#This Row],[Customer_Name]])-1)</f>
        <v>Jones</v>
      </c>
      <c r="D439" s="30" t="str">
        <f>LEFT(Table5[[#This Row],[First_Name]],2)&amp;LEFT(Table5[[#This Row],[Last_Name]],2)&amp;ROW()</f>
        <v>DaJo439</v>
      </c>
    </row>
    <row r="440" spans="1:4" x14ac:dyDescent="0.25">
      <c r="A440" s="23" t="s">
        <v>421</v>
      </c>
      <c r="B440" s="29" t="str">
        <f>RIGHT(Table5[[#This Row],[Customer_Name]],LEN(Table5[[#This Row],[Customer_Name]])-FIND(",",Table5[[#This Row],[Customer_Name]])-1)</f>
        <v>Laura</v>
      </c>
      <c r="C440" s="29" t="str">
        <f>LEFT(Table5[[#This Row],[Customer_Name]],FIND(",",Table5[[#This Row],[Customer_Name]])-1)</f>
        <v>Smith</v>
      </c>
      <c r="D440" s="30" t="str">
        <f>LEFT(Table5[[#This Row],[First_Name]],2)&amp;LEFT(Table5[[#This Row],[Last_Name]],2)&amp;ROW()</f>
        <v>LaSm440</v>
      </c>
    </row>
    <row r="441" spans="1:4" x14ac:dyDescent="0.25">
      <c r="A441" s="23" t="s">
        <v>142</v>
      </c>
      <c r="B441" s="29" t="str">
        <f>RIGHT(Table5[[#This Row],[Customer_Name]],LEN(Table5[[#This Row],[Customer_Name]])-FIND(",",Table5[[#This Row],[Customer_Name]])-1)</f>
        <v>Emma</v>
      </c>
      <c r="C441" s="29" t="str">
        <f>LEFT(Table5[[#This Row],[Customer_Name]],FIND(",",Table5[[#This Row],[Customer_Name]])-1)</f>
        <v>Martinez</v>
      </c>
      <c r="D441" s="30" t="str">
        <f>LEFT(Table5[[#This Row],[First_Name]],2)&amp;LEFT(Table5[[#This Row],[Last_Name]],2)&amp;ROW()</f>
        <v>EmMa441</v>
      </c>
    </row>
    <row r="442" spans="1:4" x14ac:dyDescent="0.25">
      <c r="A442" s="23" t="s">
        <v>121</v>
      </c>
      <c r="B442" s="29" t="str">
        <f>RIGHT(Table5[[#This Row],[Customer_Name]],LEN(Table5[[#This Row],[Customer_Name]])-FIND(",",Table5[[#This Row],[Customer_Name]])-1)</f>
        <v>Sarah</v>
      </c>
      <c r="C442" s="29" t="str">
        <f>LEFT(Table5[[#This Row],[Customer_Name]],FIND(",",Table5[[#This Row],[Customer_Name]])-1)</f>
        <v>Martinez</v>
      </c>
      <c r="D442" s="30" t="str">
        <f>LEFT(Table5[[#This Row],[First_Name]],2)&amp;LEFT(Table5[[#This Row],[Last_Name]],2)&amp;ROW()</f>
        <v>SaMa442</v>
      </c>
    </row>
    <row r="443" spans="1:4" x14ac:dyDescent="0.25">
      <c r="A443" s="23" t="s">
        <v>246</v>
      </c>
      <c r="B443" s="29" t="str">
        <f>RIGHT(Table5[[#This Row],[Customer_Name]],LEN(Table5[[#This Row],[Customer_Name]])-FIND(",",Table5[[#This Row],[Customer_Name]])-1)</f>
        <v>John</v>
      </c>
      <c r="C443" s="29" t="str">
        <f>LEFT(Table5[[#This Row],[Customer_Name]],FIND(",",Table5[[#This Row],[Customer_Name]])-1)</f>
        <v>Martinez</v>
      </c>
      <c r="D443" s="30" t="str">
        <f>LEFT(Table5[[#This Row],[First_Name]],2)&amp;LEFT(Table5[[#This Row],[Last_Name]],2)&amp;ROW()</f>
        <v>JoMa443</v>
      </c>
    </row>
    <row r="444" spans="1:4" x14ac:dyDescent="0.25">
      <c r="A444" s="23" t="s">
        <v>274</v>
      </c>
      <c r="B444" s="29" t="str">
        <f>RIGHT(Table5[[#This Row],[Customer_Name]],LEN(Table5[[#This Row],[Customer_Name]])-FIND(",",Table5[[#This Row],[Customer_Name]])-1)</f>
        <v>Sophia</v>
      </c>
      <c r="C444" s="29" t="str">
        <f>LEFT(Table5[[#This Row],[Customer_Name]],FIND(",",Table5[[#This Row],[Customer_Name]])-1)</f>
        <v>Johnson</v>
      </c>
      <c r="D444" s="30" t="str">
        <f>LEFT(Table5[[#This Row],[First_Name]],2)&amp;LEFT(Table5[[#This Row],[Last_Name]],2)&amp;ROW()</f>
        <v>SoJo444</v>
      </c>
    </row>
    <row r="445" spans="1:4" x14ac:dyDescent="0.25">
      <c r="A445" s="23" t="s">
        <v>226</v>
      </c>
      <c r="B445" s="29" t="str">
        <f>RIGHT(Table5[[#This Row],[Customer_Name]],LEN(Table5[[#This Row],[Customer_Name]])-FIND(",",Table5[[#This Row],[Customer_Name]])-1)</f>
        <v>Emily</v>
      </c>
      <c r="C445" s="29" t="str">
        <f>LEFT(Table5[[#This Row],[Customer_Name]],FIND(",",Table5[[#This Row],[Customer_Name]])-1)</f>
        <v>Miller</v>
      </c>
      <c r="D445" s="30" t="str">
        <f>LEFT(Table5[[#This Row],[First_Name]],2)&amp;LEFT(Table5[[#This Row],[Last_Name]],2)&amp;ROW()</f>
        <v>EmMi445</v>
      </c>
    </row>
    <row r="446" spans="1:4" x14ac:dyDescent="0.25">
      <c r="A446" s="23" t="s">
        <v>181</v>
      </c>
      <c r="B446" s="29" t="str">
        <f>RIGHT(Table5[[#This Row],[Customer_Name]],LEN(Table5[[#This Row],[Customer_Name]])-FIND(",",Table5[[#This Row],[Customer_Name]])-1)</f>
        <v>Laura</v>
      </c>
      <c r="C446" s="29" t="str">
        <f>LEFT(Table5[[#This Row],[Customer_Name]],FIND(",",Table5[[#This Row],[Customer_Name]])-1)</f>
        <v>Garcia</v>
      </c>
      <c r="D446" s="30" t="str">
        <f>LEFT(Table5[[#This Row],[First_Name]],2)&amp;LEFT(Table5[[#This Row],[Last_Name]],2)&amp;ROW()</f>
        <v>LaGa446</v>
      </c>
    </row>
    <row r="447" spans="1:4" x14ac:dyDescent="0.25">
      <c r="A447" s="23" t="s">
        <v>183</v>
      </c>
      <c r="B447" s="29" t="str">
        <f>RIGHT(Table5[[#This Row],[Customer_Name]],LEN(Table5[[#This Row],[Customer_Name]])-FIND(",",Table5[[#This Row],[Customer_Name]])-1)</f>
        <v>Michael</v>
      </c>
      <c r="C447" s="29" t="str">
        <f>LEFT(Table5[[#This Row],[Customer_Name]],FIND(",",Table5[[#This Row],[Customer_Name]])-1)</f>
        <v>Davis</v>
      </c>
      <c r="D447" s="30" t="str">
        <f>LEFT(Table5[[#This Row],[First_Name]],2)&amp;LEFT(Table5[[#This Row],[Last_Name]],2)&amp;ROW()</f>
        <v>MiDa447</v>
      </c>
    </row>
    <row r="448" spans="1:4" x14ac:dyDescent="0.25">
      <c r="A448" s="23" t="s">
        <v>76</v>
      </c>
      <c r="B448" s="29" t="str">
        <f>RIGHT(Table5[[#This Row],[Customer_Name]],LEN(Table5[[#This Row],[Customer_Name]])-FIND(",",Table5[[#This Row],[Customer_Name]])-1)</f>
        <v>David</v>
      </c>
      <c r="C448" s="29" t="str">
        <f>LEFT(Table5[[#This Row],[Customer_Name]],FIND(",",Table5[[#This Row],[Customer_Name]])-1)</f>
        <v>Williams</v>
      </c>
      <c r="D448" s="30" t="str">
        <f>LEFT(Table5[[#This Row],[First_Name]],2)&amp;LEFT(Table5[[#This Row],[Last_Name]],2)&amp;ROW()</f>
        <v>DaWi448</v>
      </c>
    </row>
    <row r="449" spans="1:4" x14ac:dyDescent="0.25">
      <c r="A449" s="23" t="s">
        <v>261</v>
      </c>
      <c r="B449" s="29" t="str">
        <f>RIGHT(Table5[[#This Row],[Customer_Name]],LEN(Table5[[#This Row],[Customer_Name]])-FIND(",",Table5[[#This Row],[Customer_Name]])-1)</f>
        <v>Emily</v>
      </c>
      <c r="C449" s="29" t="str">
        <f>LEFT(Table5[[#This Row],[Customer_Name]],FIND(",",Table5[[#This Row],[Customer_Name]])-1)</f>
        <v>Brown</v>
      </c>
      <c r="D449" s="30" t="str">
        <f>LEFT(Table5[[#This Row],[First_Name]],2)&amp;LEFT(Table5[[#This Row],[Last_Name]],2)&amp;ROW()</f>
        <v>EmBr449</v>
      </c>
    </row>
    <row r="450" spans="1:4" x14ac:dyDescent="0.25">
      <c r="A450" s="23" t="s">
        <v>319</v>
      </c>
      <c r="B450" s="29" t="str">
        <f>RIGHT(Table5[[#This Row],[Customer_Name]],LEN(Table5[[#This Row],[Customer_Name]])-FIND(",",Table5[[#This Row],[Customer_Name]])-1)</f>
        <v>Daniel</v>
      </c>
      <c r="C450" s="29" t="str">
        <f>LEFT(Table5[[#This Row],[Customer_Name]],FIND(",",Table5[[#This Row],[Customer_Name]])-1)</f>
        <v>Davis</v>
      </c>
      <c r="D450" s="30" t="str">
        <f>LEFT(Table5[[#This Row],[First_Name]],2)&amp;LEFT(Table5[[#This Row],[Last_Name]],2)&amp;ROW()</f>
        <v>DaDa450</v>
      </c>
    </row>
    <row r="451" spans="1:4" x14ac:dyDescent="0.25">
      <c r="A451" s="23" t="s">
        <v>85</v>
      </c>
      <c r="B451" s="29" t="str">
        <f>RIGHT(Table5[[#This Row],[Customer_Name]],LEN(Table5[[#This Row],[Customer_Name]])-FIND(",",Table5[[#This Row],[Customer_Name]])-1)</f>
        <v>Michael</v>
      </c>
      <c r="C451" s="29" t="str">
        <f>LEFT(Table5[[#This Row],[Customer_Name]],FIND(",",Table5[[#This Row],[Customer_Name]])-1)</f>
        <v>Miller</v>
      </c>
      <c r="D451" s="30" t="str">
        <f>LEFT(Table5[[#This Row],[First_Name]],2)&amp;LEFT(Table5[[#This Row],[Last_Name]],2)&amp;ROW()</f>
        <v>MiMi451</v>
      </c>
    </row>
    <row r="452" spans="1:4" x14ac:dyDescent="0.25">
      <c r="A452" s="23" t="s">
        <v>93</v>
      </c>
      <c r="B452" s="29" t="str">
        <f>RIGHT(Table5[[#This Row],[Customer_Name]],LEN(Table5[[#This Row],[Customer_Name]])-FIND(",",Table5[[#This Row],[Customer_Name]])-1)</f>
        <v>Sophia</v>
      </c>
      <c r="C452" s="29" t="str">
        <f>LEFT(Table5[[#This Row],[Customer_Name]],FIND(",",Table5[[#This Row],[Customer_Name]])-1)</f>
        <v>Hernandez</v>
      </c>
      <c r="D452" s="30" t="str">
        <f>LEFT(Table5[[#This Row],[First_Name]],2)&amp;LEFT(Table5[[#This Row],[Last_Name]],2)&amp;ROW()</f>
        <v>SoHe452</v>
      </c>
    </row>
    <row r="453" spans="1:4" x14ac:dyDescent="0.25">
      <c r="A453" s="23" t="s">
        <v>226</v>
      </c>
      <c r="B453" s="29" t="str">
        <f>RIGHT(Table5[[#This Row],[Customer_Name]],LEN(Table5[[#This Row],[Customer_Name]])-FIND(",",Table5[[#This Row],[Customer_Name]])-1)</f>
        <v>Emily</v>
      </c>
      <c r="C453" s="29" t="str">
        <f>LEFT(Table5[[#This Row],[Customer_Name]],FIND(",",Table5[[#This Row],[Customer_Name]])-1)</f>
        <v>Miller</v>
      </c>
      <c r="D453" s="30" t="str">
        <f>LEFT(Table5[[#This Row],[First_Name]],2)&amp;LEFT(Table5[[#This Row],[Last_Name]],2)&amp;ROW()</f>
        <v>EmMi453</v>
      </c>
    </row>
    <row r="454" spans="1:4" x14ac:dyDescent="0.25">
      <c r="A454" s="23" t="s">
        <v>154</v>
      </c>
      <c r="B454" s="29" t="str">
        <f>RIGHT(Table5[[#This Row],[Customer_Name]],LEN(Table5[[#This Row],[Customer_Name]])-FIND(",",Table5[[#This Row],[Customer_Name]])-1)</f>
        <v>Michael</v>
      </c>
      <c r="C454" s="29" t="str">
        <f>LEFT(Table5[[#This Row],[Customer_Name]],FIND(",",Table5[[#This Row],[Customer_Name]])-1)</f>
        <v>Williams</v>
      </c>
      <c r="D454" s="30" t="str">
        <f>LEFT(Table5[[#This Row],[First_Name]],2)&amp;LEFT(Table5[[#This Row],[Last_Name]],2)&amp;ROW()</f>
        <v>MiWi454</v>
      </c>
    </row>
    <row r="455" spans="1:4" x14ac:dyDescent="0.25">
      <c r="A455" s="23" t="s">
        <v>207</v>
      </c>
      <c r="B455" s="29" t="str">
        <f>RIGHT(Table5[[#This Row],[Customer_Name]],LEN(Table5[[#This Row],[Customer_Name]])-FIND(",",Table5[[#This Row],[Customer_Name]])-1)</f>
        <v>Sarah</v>
      </c>
      <c r="C455" s="29" t="str">
        <f>LEFT(Table5[[#This Row],[Customer_Name]],FIND(",",Table5[[#This Row],[Customer_Name]])-1)</f>
        <v>Miller</v>
      </c>
      <c r="D455" s="30" t="str">
        <f>LEFT(Table5[[#This Row],[First_Name]],2)&amp;LEFT(Table5[[#This Row],[Last_Name]],2)&amp;ROW()</f>
        <v>SaMi455</v>
      </c>
    </row>
    <row r="456" spans="1:4" x14ac:dyDescent="0.25">
      <c r="A456" s="23" t="s">
        <v>102</v>
      </c>
      <c r="B456" s="29" t="str">
        <f>RIGHT(Table5[[#This Row],[Customer_Name]],LEN(Table5[[#This Row],[Customer_Name]])-FIND(",",Table5[[#This Row],[Customer_Name]])-1)</f>
        <v>Michael</v>
      </c>
      <c r="C456" s="29" t="str">
        <f>LEFT(Table5[[#This Row],[Customer_Name]],FIND(",",Table5[[#This Row],[Customer_Name]])-1)</f>
        <v>Brown</v>
      </c>
      <c r="D456" s="30" t="str">
        <f>LEFT(Table5[[#This Row],[First_Name]],2)&amp;LEFT(Table5[[#This Row],[Last_Name]],2)&amp;ROW()</f>
        <v>MiBr456</v>
      </c>
    </row>
    <row r="457" spans="1:4" x14ac:dyDescent="0.25">
      <c r="A457" s="23" t="s">
        <v>91</v>
      </c>
      <c r="B457" s="29" t="str">
        <f>RIGHT(Table5[[#This Row],[Customer_Name]],LEN(Table5[[#This Row],[Customer_Name]])-FIND(",",Table5[[#This Row],[Customer_Name]])-1)</f>
        <v>Sarah</v>
      </c>
      <c r="C457" s="29" t="str">
        <f>LEFT(Table5[[#This Row],[Customer_Name]],FIND(",",Table5[[#This Row],[Customer_Name]])-1)</f>
        <v>Johnson</v>
      </c>
      <c r="D457" s="30" t="str">
        <f>LEFT(Table5[[#This Row],[First_Name]],2)&amp;LEFT(Table5[[#This Row],[Last_Name]],2)&amp;ROW()</f>
        <v>SaJo457</v>
      </c>
    </row>
    <row r="458" spans="1:4" x14ac:dyDescent="0.25">
      <c r="A458" s="23" t="s">
        <v>121</v>
      </c>
      <c r="B458" s="29" t="str">
        <f>RIGHT(Table5[[#This Row],[Customer_Name]],LEN(Table5[[#This Row],[Customer_Name]])-FIND(",",Table5[[#This Row],[Customer_Name]])-1)</f>
        <v>Sarah</v>
      </c>
      <c r="C458" s="29" t="str">
        <f>LEFT(Table5[[#This Row],[Customer_Name]],FIND(",",Table5[[#This Row],[Customer_Name]])-1)</f>
        <v>Martinez</v>
      </c>
      <c r="D458" s="30" t="str">
        <f>LEFT(Table5[[#This Row],[First_Name]],2)&amp;LEFT(Table5[[#This Row],[Last_Name]],2)&amp;ROW()</f>
        <v>SaMa458</v>
      </c>
    </row>
    <row r="459" spans="1:4" x14ac:dyDescent="0.25">
      <c r="A459" s="23" t="s">
        <v>145</v>
      </c>
      <c r="B459" s="29" t="str">
        <f>RIGHT(Table5[[#This Row],[Customer_Name]],LEN(Table5[[#This Row],[Customer_Name]])-FIND(",",Table5[[#This Row],[Customer_Name]])-1)</f>
        <v>Daniel</v>
      </c>
      <c r="C459" s="29" t="str">
        <f>LEFT(Table5[[#This Row],[Customer_Name]],FIND(",",Table5[[#This Row],[Customer_Name]])-1)</f>
        <v>Johnson</v>
      </c>
      <c r="D459" s="30" t="str">
        <f>LEFT(Table5[[#This Row],[First_Name]],2)&amp;LEFT(Table5[[#This Row],[Last_Name]],2)&amp;ROW()</f>
        <v>DaJo459</v>
      </c>
    </row>
    <row r="460" spans="1:4" x14ac:dyDescent="0.25">
      <c r="A460" s="23" t="s">
        <v>173</v>
      </c>
      <c r="B460" s="29" t="str">
        <f>RIGHT(Table5[[#This Row],[Customer_Name]],LEN(Table5[[#This Row],[Customer_Name]])-FIND(",",Table5[[#This Row],[Customer_Name]])-1)</f>
        <v>Michael</v>
      </c>
      <c r="C460" s="29" t="str">
        <f>LEFT(Table5[[#This Row],[Customer_Name]],FIND(",",Table5[[#This Row],[Customer_Name]])-1)</f>
        <v>Garcia</v>
      </c>
      <c r="D460" s="30" t="str">
        <f>LEFT(Table5[[#This Row],[First_Name]],2)&amp;LEFT(Table5[[#This Row],[Last_Name]],2)&amp;ROW()</f>
        <v>MiGa460</v>
      </c>
    </row>
    <row r="461" spans="1:4" x14ac:dyDescent="0.25">
      <c r="A461" s="23" t="s">
        <v>145</v>
      </c>
      <c r="B461" s="29" t="str">
        <f>RIGHT(Table5[[#This Row],[Customer_Name]],LEN(Table5[[#This Row],[Customer_Name]])-FIND(",",Table5[[#This Row],[Customer_Name]])-1)</f>
        <v>Daniel</v>
      </c>
      <c r="C461" s="29" t="str">
        <f>LEFT(Table5[[#This Row],[Customer_Name]],FIND(",",Table5[[#This Row],[Customer_Name]])-1)</f>
        <v>Johnson</v>
      </c>
      <c r="D461" s="30" t="str">
        <f>LEFT(Table5[[#This Row],[First_Name]],2)&amp;LEFT(Table5[[#This Row],[Last_Name]],2)&amp;ROW()</f>
        <v>DaJo461</v>
      </c>
    </row>
    <row r="462" spans="1:4" x14ac:dyDescent="0.25">
      <c r="A462" s="23" t="s">
        <v>371</v>
      </c>
      <c r="B462" s="29" t="str">
        <f>RIGHT(Table5[[#This Row],[Customer_Name]],LEN(Table5[[#This Row],[Customer_Name]])-FIND(",",Table5[[#This Row],[Customer_Name]])-1)</f>
        <v>Emma</v>
      </c>
      <c r="C462" s="29" t="str">
        <f>LEFT(Table5[[#This Row],[Customer_Name]],FIND(",",Table5[[#This Row],[Customer_Name]])-1)</f>
        <v>Jones</v>
      </c>
      <c r="D462" s="30" t="str">
        <f>LEFT(Table5[[#This Row],[First_Name]],2)&amp;LEFT(Table5[[#This Row],[Last_Name]],2)&amp;ROW()</f>
        <v>EmJo462</v>
      </c>
    </row>
    <row r="463" spans="1:4" x14ac:dyDescent="0.25">
      <c r="A463" s="23" t="s">
        <v>330</v>
      </c>
      <c r="B463" s="29" t="str">
        <f>RIGHT(Table5[[#This Row],[Customer_Name]],LEN(Table5[[#This Row],[Customer_Name]])-FIND(",",Table5[[#This Row],[Customer_Name]])-1)</f>
        <v>Daniel</v>
      </c>
      <c r="C463" s="29" t="str">
        <f>LEFT(Table5[[#This Row],[Customer_Name]],FIND(",",Table5[[#This Row],[Customer_Name]])-1)</f>
        <v>Garcia</v>
      </c>
      <c r="D463" s="30" t="str">
        <f>LEFT(Table5[[#This Row],[First_Name]],2)&amp;LEFT(Table5[[#This Row],[Last_Name]],2)&amp;ROW()</f>
        <v>DaGa463</v>
      </c>
    </row>
    <row r="464" spans="1:4" x14ac:dyDescent="0.25">
      <c r="A464" s="23" t="s">
        <v>323</v>
      </c>
      <c r="B464" s="29" t="str">
        <f>RIGHT(Table5[[#This Row],[Customer_Name]],LEN(Table5[[#This Row],[Customer_Name]])-FIND(",",Table5[[#This Row],[Customer_Name]])-1)</f>
        <v>Emma</v>
      </c>
      <c r="C464" s="29" t="str">
        <f>LEFT(Table5[[#This Row],[Customer_Name]],FIND(",",Table5[[#This Row],[Customer_Name]])-1)</f>
        <v>Miller</v>
      </c>
      <c r="D464" s="30" t="str">
        <f>LEFT(Table5[[#This Row],[First_Name]],2)&amp;LEFT(Table5[[#This Row],[Last_Name]],2)&amp;ROW()</f>
        <v>EmMi464</v>
      </c>
    </row>
    <row r="465" spans="1:4" x14ac:dyDescent="0.25">
      <c r="A465" s="23" t="s">
        <v>291</v>
      </c>
      <c r="B465" s="29" t="str">
        <f>RIGHT(Table5[[#This Row],[Customer_Name]],LEN(Table5[[#This Row],[Customer_Name]])-FIND(",",Table5[[#This Row],[Customer_Name]])-1)</f>
        <v>John</v>
      </c>
      <c r="C465" s="29" t="str">
        <f>LEFT(Table5[[#This Row],[Customer_Name]],FIND(",",Table5[[#This Row],[Customer_Name]])-1)</f>
        <v>Brown</v>
      </c>
      <c r="D465" s="30" t="str">
        <f>LEFT(Table5[[#This Row],[First_Name]],2)&amp;LEFT(Table5[[#This Row],[Last_Name]],2)&amp;ROW()</f>
        <v>JoBr465</v>
      </c>
    </row>
    <row r="466" spans="1:4" x14ac:dyDescent="0.25">
      <c r="A466" s="23" t="s">
        <v>207</v>
      </c>
      <c r="B466" s="29" t="str">
        <f>RIGHT(Table5[[#This Row],[Customer_Name]],LEN(Table5[[#This Row],[Customer_Name]])-FIND(",",Table5[[#This Row],[Customer_Name]])-1)</f>
        <v>Sarah</v>
      </c>
      <c r="C466" s="29" t="str">
        <f>LEFT(Table5[[#This Row],[Customer_Name]],FIND(",",Table5[[#This Row],[Customer_Name]])-1)</f>
        <v>Miller</v>
      </c>
      <c r="D466" s="30" t="str">
        <f>LEFT(Table5[[#This Row],[First_Name]],2)&amp;LEFT(Table5[[#This Row],[Last_Name]],2)&amp;ROW()</f>
        <v>SaMi466</v>
      </c>
    </row>
    <row r="467" spans="1:4" x14ac:dyDescent="0.25">
      <c r="A467" s="23" t="s">
        <v>110</v>
      </c>
      <c r="B467" s="29" t="str">
        <f>RIGHT(Table5[[#This Row],[Customer_Name]],LEN(Table5[[#This Row],[Customer_Name]])-FIND(",",Table5[[#This Row],[Customer_Name]])-1)</f>
        <v>Sophia</v>
      </c>
      <c r="C467" s="29" t="str">
        <f>LEFT(Table5[[#This Row],[Customer_Name]],FIND(",",Table5[[#This Row],[Customer_Name]])-1)</f>
        <v>Smith</v>
      </c>
      <c r="D467" s="30" t="str">
        <f>LEFT(Table5[[#This Row],[First_Name]],2)&amp;LEFT(Table5[[#This Row],[Last_Name]],2)&amp;ROW()</f>
        <v>SoSm467</v>
      </c>
    </row>
    <row r="468" spans="1:4" x14ac:dyDescent="0.25">
      <c r="A468" s="23" t="s">
        <v>91</v>
      </c>
      <c r="B468" s="29" t="str">
        <f>RIGHT(Table5[[#This Row],[Customer_Name]],LEN(Table5[[#This Row],[Customer_Name]])-FIND(",",Table5[[#This Row],[Customer_Name]])-1)</f>
        <v>Sarah</v>
      </c>
      <c r="C468" s="29" t="str">
        <f>LEFT(Table5[[#This Row],[Customer_Name]],FIND(",",Table5[[#This Row],[Customer_Name]])-1)</f>
        <v>Johnson</v>
      </c>
      <c r="D468" s="30" t="str">
        <f>LEFT(Table5[[#This Row],[First_Name]],2)&amp;LEFT(Table5[[#This Row],[Last_Name]],2)&amp;ROW()</f>
        <v>SaJo468</v>
      </c>
    </row>
    <row r="469" spans="1:4" x14ac:dyDescent="0.25">
      <c r="A469" s="23" t="s">
        <v>371</v>
      </c>
      <c r="B469" s="29" t="str">
        <f>RIGHT(Table5[[#This Row],[Customer_Name]],LEN(Table5[[#This Row],[Customer_Name]])-FIND(",",Table5[[#This Row],[Customer_Name]])-1)</f>
        <v>Emma</v>
      </c>
      <c r="C469" s="29" t="str">
        <f>LEFT(Table5[[#This Row],[Customer_Name]],FIND(",",Table5[[#This Row],[Customer_Name]])-1)</f>
        <v>Jones</v>
      </c>
      <c r="D469" s="30" t="str">
        <f>LEFT(Table5[[#This Row],[First_Name]],2)&amp;LEFT(Table5[[#This Row],[Last_Name]],2)&amp;ROW()</f>
        <v>EmJo469</v>
      </c>
    </row>
    <row r="470" spans="1:4" x14ac:dyDescent="0.25">
      <c r="A470" s="23" t="s">
        <v>34</v>
      </c>
      <c r="B470" s="29" t="str">
        <f>RIGHT(Table5[[#This Row],[Customer_Name]],LEN(Table5[[#This Row],[Customer_Name]])-FIND(",",Table5[[#This Row],[Customer_Name]])-1)</f>
        <v>Daniel</v>
      </c>
      <c r="C470" s="29" t="str">
        <f>LEFT(Table5[[#This Row],[Customer_Name]],FIND(",",Table5[[#This Row],[Customer_Name]])-1)</f>
        <v>Miller</v>
      </c>
      <c r="D470" s="30" t="str">
        <f>LEFT(Table5[[#This Row],[First_Name]],2)&amp;LEFT(Table5[[#This Row],[Last_Name]],2)&amp;ROW()</f>
        <v>DaMi470</v>
      </c>
    </row>
    <row r="471" spans="1:4" x14ac:dyDescent="0.25">
      <c r="A471" s="23" t="s">
        <v>123</v>
      </c>
      <c r="B471" s="29" t="str">
        <f>RIGHT(Table5[[#This Row],[Customer_Name]],LEN(Table5[[#This Row],[Customer_Name]])-FIND(",",Table5[[#This Row],[Customer_Name]])-1)</f>
        <v>Emily</v>
      </c>
      <c r="C471" s="29" t="str">
        <f>LEFT(Table5[[#This Row],[Customer_Name]],FIND(",",Table5[[#This Row],[Customer_Name]])-1)</f>
        <v>Garcia</v>
      </c>
      <c r="D471" s="30" t="str">
        <f>LEFT(Table5[[#This Row],[First_Name]],2)&amp;LEFT(Table5[[#This Row],[Last_Name]],2)&amp;ROW()</f>
        <v>EmGa471</v>
      </c>
    </row>
    <row r="472" spans="1:4" x14ac:dyDescent="0.25">
      <c r="A472" s="23" t="s">
        <v>15</v>
      </c>
      <c r="B472" s="29" t="str">
        <f>RIGHT(Table5[[#This Row],[Customer_Name]],LEN(Table5[[#This Row],[Customer_Name]])-FIND(",",Table5[[#This Row],[Customer_Name]])-1)</f>
        <v>Emily</v>
      </c>
      <c r="C472" s="29" t="str">
        <f>LEFT(Table5[[#This Row],[Customer_Name]],FIND(",",Table5[[#This Row],[Customer_Name]])-1)</f>
        <v>Smith</v>
      </c>
      <c r="D472" s="30" t="str">
        <f>LEFT(Table5[[#This Row],[First_Name]],2)&amp;LEFT(Table5[[#This Row],[Last_Name]],2)&amp;ROW()</f>
        <v>EmSm472</v>
      </c>
    </row>
    <row r="473" spans="1:4" x14ac:dyDescent="0.25">
      <c r="A473" s="23" t="s">
        <v>97</v>
      </c>
      <c r="B473" s="29" t="str">
        <f>RIGHT(Table5[[#This Row],[Customer_Name]],LEN(Table5[[#This Row],[Customer_Name]])-FIND(",",Table5[[#This Row],[Customer_Name]])-1)</f>
        <v>Michael</v>
      </c>
      <c r="C473" s="29" t="str">
        <f>LEFT(Table5[[#This Row],[Customer_Name]],FIND(",",Table5[[#This Row],[Customer_Name]])-1)</f>
        <v>Martinez</v>
      </c>
      <c r="D473" s="30" t="str">
        <f>LEFT(Table5[[#This Row],[First_Name]],2)&amp;LEFT(Table5[[#This Row],[Last_Name]],2)&amp;ROW()</f>
        <v>MiMa473</v>
      </c>
    </row>
    <row r="474" spans="1:4" x14ac:dyDescent="0.25">
      <c r="A474" s="23" t="s">
        <v>209</v>
      </c>
      <c r="B474" s="29" t="str">
        <f>RIGHT(Table5[[#This Row],[Customer_Name]],LEN(Table5[[#This Row],[Customer_Name]])-FIND(",",Table5[[#This Row],[Customer_Name]])-1)</f>
        <v>James</v>
      </c>
      <c r="C474" s="29" t="str">
        <f>LEFT(Table5[[#This Row],[Customer_Name]],FIND(",",Table5[[#This Row],[Customer_Name]])-1)</f>
        <v>Williams</v>
      </c>
      <c r="D474" s="30" t="str">
        <f>LEFT(Table5[[#This Row],[First_Name]],2)&amp;LEFT(Table5[[#This Row],[Last_Name]],2)&amp;ROW()</f>
        <v>JaWi474</v>
      </c>
    </row>
    <row r="475" spans="1:4" x14ac:dyDescent="0.25">
      <c r="A475" s="23" t="s">
        <v>193</v>
      </c>
      <c r="B475" s="29" t="str">
        <f>RIGHT(Table5[[#This Row],[Customer_Name]],LEN(Table5[[#This Row],[Customer_Name]])-FIND(",",Table5[[#This Row],[Customer_Name]])-1)</f>
        <v>Laura</v>
      </c>
      <c r="C475" s="29" t="str">
        <f>LEFT(Table5[[#This Row],[Customer_Name]],FIND(",",Table5[[#This Row],[Customer_Name]])-1)</f>
        <v>Hernandez</v>
      </c>
      <c r="D475" s="30" t="str">
        <f>LEFT(Table5[[#This Row],[First_Name]],2)&amp;LEFT(Table5[[#This Row],[Last_Name]],2)&amp;ROW()</f>
        <v>LaHe475</v>
      </c>
    </row>
    <row r="476" spans="1:4" x14ac:dyDescent="0.25">
      <c r="A476" s="23" t="s">
        <v>286</v>
      </c>
      <c r="B476" s="29" t="str">
        <f>RIGHT(Table5[[#This Row],[Customer_Name]],LEN(Table5[[#This Row],[Customer_Name]])-FIND(",",Table5[[#This Row],[Customer_Name]])-1)</f>
        <v>Michael</v>
      </c>
      <c r="C476" s="29" t="str">
        <f>LEFT(Table5[[#This Row],[Customer_Name]],FIND(",",Table5[[#This Row],[Customer_Name]])-1)</f>
        <v>Hernandez</v>
      </c>
      <c r="D476" s="30" t="str">
        <f>LEFT(Table5[[#This Row],[First_Name]],2)&amp;LEFT(Table5[[#This Row],[Last_Name]],2)&amp;ROW()</f>
        <v>MiHe476</v>
      </c>
    </row>
    <row r="477" spans="1:4" x14ac:dyDescent="0.25">
      <c r="A477" s="23" t="s">
        <v>105</v>
      </c>
      <c r="B477" s="29" t="str">
        <f>RIGHT(Table5[[#This Row],[Customer_Name]],LEN(Table5[[#This Row],[Customer_Name]])-FIND(",",Table5[[#This Row],[Customer_Name]])-1)</f>
        <v>Laura</v>
      </c>
      <c r="C477" s="29" t="str">
        <f>LEFT(Table5[[#This Row],[Customer_Name]],FIND(",",Table5[[#This Row],[Customer_Name]])-1)</f>
        <v>Miller</v>
      </c>
      <c r="D477" s="30" t="str">
        <f>LEFT(Table5[[#This Row],[First_Name]],2)&amp;LEFT(Table5[[#This Row],[Last_Name]],2)&amp;ROW()</f>
        <v>LaMi477</v>
      </c>
    </row>
    <row r="478" spans="1:4" x14ac:dyDescent="0.25">
      <c r="A478" s="23" t="s">
        <v>226</v>
      </c>
      <c r="B478" s="29" t="str">
        <f>RIGHT(Table5[[#This Row],[Customer_Name]],LEN(Table5[[#This Row],[Customer_Name]])-FIND(",",Table5[[#This Row],[Customer_Name]])-1)</f>
        <v>Emily</v>
      </c>
      <c r="C478" s="29" t="str">
        <f>LEFT(Table5[[#This Row],[Customer_Name]],FIND(",",Table5[[#This Row],[Customer_Name]])-1)</f>
        <v>Miller</v>
      </c>
      <c r="D478" s="30" t="str">
        <f>LEFT(Table5[[#This Row],[First_Name]],2)&amp;LEFT(Table5[[#This Row],[Last_Name]],2)&amp;ROW()</f>
        <v>EmMi478</v>
      </c>
    </row>
    <row r="479" spans="1:4" x14ac:dyDescent="0.25">
      <c r="A479" s="23" t="s">
        <v>105</v>
      </c>
      <c r="B479" s="29" t="str">
        <f>RIGHT(Table5[[#This Row],[Customer_Name]],LEN(Table5[[#This Row],[Customer_Name]])-FIND(",",Table5[[#This Row],[Customer_Name]])-1)</f>
        <v>Laura</v>
      </c>
      <c r="C479" s="29" t="str">
        <f>LEFT(Table5[[#This Row],[Customer_Name]],FIND(",",Table5[[#This Row],[Customer_Name]])-1)</f>
        <v>Miller</v>
      </c>
      <c r="D479" s="30" t="str">
        <f>LEFT(Table5[[#This Row],[First_Name]],2)&amp;LEFT(Table5[[#This Row],[Last_Name]],2)&amp;ROW()</f>
        <v>LaMi479</v>
      </c>
    </row>
    <row r="480" spans="1:4" x14ac:dyDescent="0.25">
      <c r="A480" s="23" t="s">
        <v>76</v>
      </c>
      <c r="B480" s="29" t="str">
        <f>RIGHT(Table5[[#This Row],[Customer_Name]],LEN(Table5[[#This Row],[Customer_Name]])-FIND(",",Table5[[#This Row],[Customer_Name]])-1)</f>
        <v>David</v>
      </c>
      <c r="C480" s="29" t="str">
        <f>LEFT(Table5[[#This Row],[Customer_Name]],FIND(",",Table5[[#This Row],[Customer_Name]])-1)</f>
        <v>Williams</v>
      </c>
      <c r="D480" s="30" t="str">
        <f>LEFT(Table5[[#This Row],[First_Name]],2)&amp;LEFT(Table5[[#This Row],[Last_Name]],2)&amp;ROW()</f>
        <v>DaWi480</v>
      </c>
    </row>
    <row r="481" spans="1:4" x14ac:dyDescent="0.25">
      <c r="A481" s="23" t="s">
        <v>50</v>
      </c>
      <c r="B481" s="29" t="str">
        <f>RIGHT(Table5[[#This Row],[Customer_Name]],LEN(Table5[[#This Row],[Customer_Name]])-FIND(",",Table5[[#This Row],[Customer_Name]])-1)</f>
        <v>Emma</v>
      </c>
      <c r="C481" s="29" t="str">
        <f>LEFT(Table5[[#This Row],[Customer_Name]],FIND(",",Table5[[#This Row],[Customer_Name]])-1)</f>
        <v>Hernandez</v>
      </c>
      <c r="D481" s="30" t="str">
        <f>LEFT(Table5[[#This Row],[First_Name]],2)&amp;LEFT(Table5[[#This Row],[Last_Name]],2)&amp;ROW()</f>
        <v>EmHe481</v>
      </c>
    </row>
    <row r="482" spans="1:4" x14ac:dyDescent="0.25">
      <c r="A482" s="23" t="s">
        <v>73</v>
      </c>
      <c r="B482" s="29" t="str">
        <f>RIGHT(Table5[[#This Row],[Customer_Name]],LEN(Table5[[#This Row],[Customer_Name]])-FIND(",",Table5[[#This Row],[Customer_Name]])-1)</f>
        <v>Sarah</v>
      </c>
      <c r="C482" s="29" t="str">
        <f>LEFT(Table5[[#This Row],[Customer_Name]],FIND(",",Table5[[#This Row],[Customer_Name]])-1)</f>
        <v>Davis</v>
      </c>
      <c r="D482" s="30" t="str">
        <f>LEFT(Table5[[#This Row],[First_Name]],2)&amp;LEFT(Table5[[#This Row],[Last_Name]],2)&amp;ROW()</f>
        <v>SaDa482</v>
      </c>
    </row>
    <row r="483" spans="1:4" x14ac:dyDescent="0.25">
      <c r="A483" s="23" t="s">
        <v>246</v>
      </c>
      <c r="B483" s="29" t="str">
        <f>RIGHT(Table5[[#This Row],[Customer_Name]],LEN(Table5[[#This Row],[Customer_Name]])-FIND(",",Table5[[#This Row],[Customer_Name]])-1)</f>
        <v>John</v>
      </c>
      <c r="C483" s="29" t="str">
        <f>LEFT(Table5[[#This Row],[Customer_Name]],FIND(",",Table5[[#This Row],[Customer_Name]])-1)</f>
        <v>Martinez</v>
      </c>
      <c r="D483" s="30" t="str">
        <f>LEFT(Table5[[#This Row],[First_Name]],2)&amp;LEFT(Table5[[#This Row],[Last_Name]],2)&amp;ROW()</f>
        <v>JoMa483</v>
      </c>
    </row>
    <row r="484" spans="1:4" x14ac:dyDescent="0.25">
      <c r="A484" s="23" t="s">
        <v>135</v>
      </c>
      <c r="B484" s="29" t="str">
        <f>RIGHT(Table5[[#This Row],[Customer_Name]],LEN(Table5[[#This Row],[Customer_Name]])-FIND(",",Table5[[#This Row],[Customer_Name]])-1)</f>
        <v>Daniel</v>
      </c>
      <c r="C484" s="29" t="str">
        <f>LEFT(Table5[[#This Row],[Customer_Name]],FIND(",",Table5[[#This Row],[Customer_Name]])-1)</f>
        <v>Smith</v>
      </c>
      <c r="D484" s="30" t="str">
        <f>LEFT(Table5[[#This Row],[First_Name]],2)&amp;LEFT(Table5[[#This Row],[Last_Name]],2)&amp;ROW()</f>
        <v>DaSm484</v>
      </c>
    </row>
    <row r="485" spans="1:4" x14ac:dyDescent="0.25">
      <c r="A485" s="23" t="s">
        <v>67</v>
      </c>
      <c r="B485" s="29" t="str">
        <f>RIGHT(Table5[[#This Row],[Customer_Name]],LEN(Table5[[#This Row],[Customer_Name]])-FIND(",",Table5[[#This Row],[Customer_Name]])-1)</f>
        <v>James</v>
      </c>
      <c r="C485" s="29" t="str">
        <f>LEFT(Table5[[#This Row],[Customer_Name]],FIND(",",Table5[[#This Row],[Customer_Name]])-1)</f>
        <v>Davis</v>
      </c>
      <c r="D485" s="30" t="str">
        <f>LEFT(Table5[[#This Row],[First_Name]],2)&amp;LEFT(Table5[[#This Row],[Last_Name]],2)&amp;ROW()</f>
        <v>JaDa485</v>
      </c>
    </row>
    <row r="486" spans="1:4" x14ac:dyDescent="0.25">
      <c r="A486" s="23" t="s">
        <v>399</v>
      </c>
      <c r="B486" s="29" t="str">
        <f>RIGHT(Table5[[#This Row],[Customer_Name]],LEN(Table5[[#This Row],[Customer_Name]])-FIND(",",Table5[[#This Row],[Customer_Name]])-1)</f>
        <v>John</v>
      </c>
      <c r="C486" s="29" t="str">
        <f>LEFT(Table5[[#This Row],[Customer_Name]],FIND(",",Table5[[#This Row],[Customer_Name]])-1)</f>
        <v>Smith</v>
      </c>
      <c r="D486" s="30" t="str">
        <f>LEFT(Table5[[#This Row],[First_Name]],2)&amp;LEFT(Table5[[#This Row],[Last_Name]],2)&amp;ROW()</f>
        <v>JoSm486</v>
      </c>
    </row>
    <row r="487" spans="1:4" x14ac:dyDescent="0.25">
      <c r="A487" s="23" t="s">
        <v>183</v>
      </c>
      <c r="B487" s="29" t="str">
        <f>RIGHT(Table5[[#This Row],[Customer_Name]],LEN(Table5[[#This Row],[Customer_Name]])-FIND(",",Table5[[#This Row],[Customer_Name]])-1)</f>
        <v>Michael</v>
      </c>
      <c r="C487" s="29" t="str">
        <f>LEFT(Table5[[#This Row],[Customer_Name]],FIND(",",Table5[[#This Row],[Customer_Name]])-1)</f>
        <v>Davis</v>
      </c>
      <c r="D487" s="30" t="str">
        <f>LEFT(Table5[[#This Row],[First_Name]],2)&amp;LEFT(Table5[[#This Row],[Last_Name]],2)&amp;ROW()</f>
        <v>MiDa487</v>
      </c>
    </row>
    <row r="488" spans="1:4" x14ac:dyDescent="0.25">
      <c r="A488" s="23" t="s">
        <v>207</v>
      </c>
      <c r="B488" s="29" t="str">
        <f>RIGHT(Table5[[#This Row],[Customer_Name]],LEN(Table5[[#This Row],[Customer_Name]])-FIND(",",Table5[[#This Row],[Customer_Name]])-1)</f>
        <v>Sarah</v>
      </c>
      <c r="C488" s="29" t="str">
        <f>LEFT(Table5[[#This Row],[Customer_Name]],FIND(",",Table5[[#This Row],[Customer_Name]])-1)</f>
        <v>Miller</v>
      </c>
      <c r="D488" s="30" t="str">
        <f>LEFT(Table5[[#This Row],[First_Name]],2)&amp;LEFT(Table5[[#This Row],[Last_Name]],2)&amp;ROW()</f>
        <v>SaMi488</v>
      </c>
    </row>
    <row r="489" spans="1:4" x14ac:dyDescent="0.25">
      <c r="A489" s="23" t="s">
        <v>204</v>
      </c>
      <c r="B489" s="29" t="str">
        <f>RIGHT(Table5[[#This Row],[Customer_Name]],LEN(Table5[[#This Row],[Customer_Name]])-FIND(",",Table5[[#This Row],[Customer_Name]])-1)</f>
        <v>Sophia</v>
      </c>
      <c r="C489" s="29" t="str">
        <f>LEFT(Table5[[#This Row],[Customer_Name]],FIND(",",Table5[[#This Row],[Customer_Name]])-1)</f>
        <v>Martinez</v>
      </c>
      <c r="D489" s="30" t="str">
        <f>LEFT(Table5[[#This Row],[First_Name]],2)&amp;LEFT(Table5[[#This Row],[Last_Name]],2)&amp;ROW()</f>
        <v>SoMa489</v>
      </c>
    </row>
    <row r="490" spans="1:4" x14ac:dyDescent="0.25">
      <c r="A490" s="23" t="s">
        <v>108</v>
      </c>
      <c r="B490" s="29" t="str">
        <f>RIGHT(Table5[[#This Row],[Customer_Name]],LEN(Table5[[#This Row],[Customer_Name]])-FIND(",",Table5[[#This Row],[Customer_Name]])-1)</f>
        <v>Sophia</v>
      </c>
      <c r="C490" s="29" t="str">
        <f>LEFT(Table5[[#This Row],[Customer_Name]],FIND(",",Table5[[#This Row],[Customer_Name]])-1)</f>
        <v>Garcia</v>
      </c>
      <c r="D490" s="30" t="str">
        <f>LEFT(Table5[[#This Row],[First_Name]],2)&amp;LEFT(Table5[[#This Row],[Last_Name]],2)&amp;ROW()</f>
        <v>SoGa490</v>
      </c>
    </row>
    <row r="491" spans="1:4" x14ac:dyDescent="0.25">
      <c r="A491" s="23" t="s">
        <v>123</v>
      </c>
      <c r="B491" s="29" t="str">
        <f>RIGHT(Table5[[#This Row],[Customer_Name]],LEN(Table5[[#This Row],[Customer_Name]])-FIND(",",Table5[[#This Row],[Customer_Name]])-1)</f>
        <v>Emily</v>
      </c>
      <c r="C491" s="29" t="str">
        <f>LEFT(Table5[[#This Row],[Customer_Name]],FIND(",",Table5[[#This Row],[Customer_Name]])-1)</f>
        <v>Garcia</v>
      </c>
      <c r="D491" s="30" t="str">
        <f>LEFT(Table5[[#This Row],[First_Name]],2)&amp;LEFT(Table5[[#This Row],[Last_Name]],2)&amp;ROW()</f>
        <v>EmGa491</v>
      </c>
    </row>
    <row r="492" spans="1:4" x14ac:dyDescent="0.25">
      <c r="A492" s="23" t="s">
        <v>291</v>
      </c>
      <c r="B492" s="29" t="str">
        <f>RIGHT(Table5[[#This Row],[Customer_Name]],LEN(Table5[[#This Row],[Customer_Name]])-FIND(",",Table5[[#This Row],[Customer_Name]])-1)</f>
        <v>John</v>
      </c>
      <c r="C492" s="29" t="str">
        <f>LEFT(Table5[[#This Row],[Customer_Name]],FIND(",",Table5[[#This Row],[Customer_Name]])-1)</f>
        <v>Brown</v>
      </c>
      <c r="D492" s="30" t="str">
        <f>LEFT(Table5[[#This Row],[First_Name]],2)&amp;LEFT(Table5[[#This Row],[Last_Name]],2)&amp;ROW()</f>
        <v>JoBr492</v>
      </c>
    </row>
    <row r="493" spans="1:4" x14ac:dyDescent="0.25">
      <c r="A493" s="23" t="s">
        <v>315</v>
      </c>
      <c r="B493" s="29" t="str">
        <f>RIGHT(Table5[[#This Row],[Customer_Name]],LEN(Table5[[#This Row],[Customer_Name]])-FIND(",",Table5[[#This Row],[Customer_Name]])-1)</f>
        <v>Sarah</v>
      </c>
      <c r="C493" s="29" t="str">
        <f>LEFT(Table5[[#This Row],[Customer_Name]],FIND(",",Table5[[#This Row],[Customer_Name]])-1)</f>
        <v>Hernandez</v>
      </c>
      <c r="D493" s="30" t="str">
        <f>LEFT(Table5[[#This Row],[First_Name]],2)&amp;LEFT(Table5[[#This Row],[Last_Name]],2)&amp;ROW()</f>
        <v>SaHe493</v>
      </c>
    </row>
    <row r="494" spans="1:4" x14ac:dyDescent="0.25">
      <c r="A494" s="23" t="s">
        <v>410</v>
      </c>
      <c r="B494" s="29" t="str">
        <f>RIGHT(Table5[[#This Row],[Customer_Name]],LEN(Table5[[#This Row],[Customer_Name]])-FIND(",",Table5[[#This Row],[Customer_Name]])-1)</f>
        <v>James</v>
      </c>
      <c r="C494" s="29" t="str">
        <f>LEFT(Table5[[#This Row],[Customer_Name]],FIND(",",Table5[[#This Row],[Customer_Name]])-1)</f>
        <v>Garcia</v>
      </c>
      <c r="D494" s="30" t="str">
        <f>LEFT(Table5[[#This Row],[First_Name]],2)&amp;LEFT(Table5[[#This Row],[Last_Name]],2)&amp;ROW()</f>
        <v>JaGa494</v>
      </c>
    </row>
    <row r="495" spans="1:4" x14ac:dyDescent="0.25">
      <c r="A495" s="23" t="s">
        <v>85</v>
      </c>
      <c r="B495" s="29" t="str">
        <f>RIGHT(Table5[[#This Row],[Customer_Name]],LEN(Table5[[#This Row],[Customer_Name]])-FIND(",",Table5[[#This Row],[Customer_Name]])-1)</f>
        <v>Michael</v>
      </c>
      <c r="C495" s="29" t="str">
        <f>LEFT(Table5[[#This Row],[Customer_Name]],FIND(",",Table5[[#This Row],[Customer_Name]])-1)</f>
        <v>Miller</v>
      </c>
      <c r="D495" s="30" t="str">
        <f>LEFT(Table5[[#This Row],[First_Name]],2)&amp;LEFT(Table5[[#This Row],[Last_Name]],2)&amp;ROW()</f>
        <v>MiMi495</v>
      </c>
    </row>
    <row r="496" spans="1:4" x14ac:dyDescent="0.25">
      <c r="A496" s="23" t="s">
        <v>183</v>
      </c>
      <c r="B496" s="29" t="str">
        <f>RIGHT(Table5[[#This Row],[Customer_Name]],LEN(Table5[[#This Row],[Customer_Name]])-FIND(",",Table5[[#This Row],[Customer_Name]])-1)</f>
        <v>Michael</v>
      </c>
      <c r="C496" s="29" t="str">
        <f>LEFT(Table5[[#This Row],[Customer_Name]],FIND(",",Table5[[#This Row],[Customer_Name]])-1)</f>
        <v>Davis</v>
      </c>
      <c r="D496" s="30" t="str">
        <f>LEFT(Table5[[#This Row],[First_Name]],2)&amp;LEFT(Table5[[#This Row],[Last_Name]],2)&amp;ROW()</f>
        <v>MiDa496</v>
      </c>
    </row>
    <row r="497" spans="1:4" x14ac:dyDescent="0.25">
      <c r="A497" s="23" t="s">
        <v>41</v>
      </c>
      <c r="B497" s="29" t="str">
        <f>RIGHT(Table5[[#This Row],[Customer_Name]],LEN(Table5[[#This Row],[Customer_Name]])-FIND(",",Table5[[#This Row],[Customer_Name]])-1)</f>
        <v>Emma</v>
      </c>
      <c r="C497" s="29" t="str">
        <f>LEFT(Table5[[#This Row],[Customer_Name]],FIND(",",Table5[[#This Row],[Customer_Name]])-1)</f>
        <v>Johnson</v>
      </c>
      <c r="D497" s="30" t="str">
        <f>LEFT(Table5[[#This Row],[First_Name]],2)&amp;LEFT(Table5[[#This Row],[Last_Name]],2)&amp;ROW()</f>
        <v>EmJo497</v>
      </c>
    </row>
    <row r="498" spans="1:4" x14ac:dyDescent="0.25">
      <c r="A498" s="23" t="s">
        <v>297</v>
      </c>
      <c r="B498" s="29" t="str">
        <f>RIGHT(Table5[[#This Row],[Customer_Name]],LEN(Table5[[#This Row],[Customer_Name]])-FIND(",",Table5[[#This Row],[Customer_Name]])-1)</f>
        <v>Emily</v>
      </c>
      <c r="C498" s="29" t="str">
        <f>LEFT(Table5[[#This Row],[Customer_Name]],FIND(",",Table5[[#This Row],[Customer_Name]])-1)</f>
        <v>Johnson</v>
      </c>
      <c r="D498" s="30" t="str">
        <f>LEFT(Table5[[#This Row],[First_Name]],2)&amp;LEFT(Table5[[#This Row],[Last_Name]],2)&amp;ROW()</f>
        <v>EmJo498</v>
      </c>
    </row>
    <row r="499" spans="1:4" x14ac:dyDescent="0.25">
      <c r="A499" s="23" t="s">
        <v>176</v>
      </c>
      <c r="B499" s="29" t="str">
        <f>RIGHT(Table5[[#This Row],[Customer_Name]],LEN(Table5[[#This Row],[Customer_Name]])-FIND(",",Table5[[#This Row],[Customer_Name]])-1)</f>
        <v>David</v>
      </c>
      <c r="C499" s="29" t="str">
        <f>LEFT(Table5[[#This Row],[Customer_Name]],FIND(",",Table5[[#This Row],[Customer_Name]])-1)</f>
        <v>Smith</v>
      </c>
      <c r="D499" s="30" t="str">
        <f>LEFT(Table5[[#This Row],[First_Name]],2)&amp;LEFT(Table5[[#This Row],[Last_Name]],2)&amp;ROW()</f>
        <v>DaSm499</v>
      </c>
    </row>
    <row r="500" spans="1:4" x14ac:dyDescent="0.25">
      <c r="A500" s="23" t="s">
        <v>71</v>
      </c>
      <c r="B500" s="29" t="str">
        <f>RIGHT(Table5[[#This Row],[Customer_Name]],LEN(Table5[[#This Row],[Customer_Name]])-FIND(",",Table5[[#This Row],[Customer_Name]])-1)</f>
        <v>Emma</v>
      </c>
      <c r="C500" s="29" t="str">
        <f>LEFT(Table5[[#This Row],[Customer_Name]],FIND(",",Table5[[#This Row],[Customer_Name]])-1)</f>
        <v>Smith</v>
      </c>
      <c r="D500" s="30" t="str">
        <f>LEFT(Table5[[#This Row],[First_Name]],2)&amp;LEFT(Table5[[#This Row],[Last_Name]],2)&amp;ROW()</f>
        <v>EmSm500</v>
      </c>
    </row>
    <row r="501" spans="1:4" x14ac:dyDescent="0.25">
      <c r="A501" s="24" t="s">
        <v>286</v>
      </c>
      <c r="B501" s="31" t="str">
        <f>RIGHT(Table5[[#This Row],[Customer_Name]],LEN(Table5[[#This Row],[Customer_Name]])-FIND(",",Table5[[#This Row],[Customer_Name]])-1)</f>
        <v>Michael</v>
      </c>
      <c r="C501" s="31" t="str">
        <f>LEFT(Table5[[#This Row],[Customer_Name]],FIND(",",Table5[[#This Row],[Customer_Name]])-1)</f>
        <v>Hernandez</v>
      </c>
      <c r="D501" s="32" t="str">
        <f>LEFT(Table5[[#This Row],[First_Name]],2)&amp;LEFT(Table5[[#This Row],[Last_Name]],2)&amp;ROW()</f>
        <v>MiHe501</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82BBEB-91DB-43CD-890F-265BB052F70F}">
  <sheetPr codeName="Sheet7"/>
  <dimension ref="A1:D501"/>
  <sheetViews>
    <sheetView topLeftCell="B3" zoomScale="71" zoomScaleNormal="71" workbookViewId="0">
      <selection activeCell="D3" sqref="D3"/>
    </sheetView>
  </sheetViews>
  <sheetFormatPr defaultRowHeight="15" x14ac:dyDescent="0.25"/>
  <cols>
    <col min="1" max="1" width="44" style="88" customWidth="1"/>
    <col min="2" max="2" width="20.140625" style="2" customWidth="1"/>
    <col min="3" max="3" width="42.42578125" style="28" customWidth="1"/>
    <col min="4" max="4" width="97.28515625" customWidth="1"/>
  </cols>
  <sheetData>
    <row r="1" spans="1:4" x14ac:dyDescent="0.25">
      <c r="A1" s="98" t="s">
        <v>8</v>
      </c>
      <c r="B1" s="35" t="s">
        <v>10</v>
      </c>
      <c r="C1" s="36" t="s">
        <v>687</v>
      </c>
      <c r="D1" s="37" t="s">
        <v>684</v>
      </c>
    </row>
    <row r="2" spans="1:4" x14ac:dyDescent="0.25">
      <c r="A2" s="99">
        <f>PRODUCT(Table1[[#This Row],[Quantity]],Table1[[#This Row],[Unit_Price]])</f>
        <v>1104.4000000000001</v>
      </c>
      <c r="B2" s="47">
        <v>355.04</v>
      </c>
      <c r="C2" s="38">
        <f>Table2[[#This Row],[Profit]]/Table2[[#This Row],[Total_Sales]]</f>
        <v>0.32147772546178921</v>
      </c>
      <c r="D2" s="30" t="str">
        <f>IF(AND(Table2[[#This Row],[Profit_Margin %]]&gt;20%,Table2[[#This Row],[Total_Sales]]&gt;2000),"Excellent",IF(AND(Table2[[#This Row],[Profit_Margin %]]&gt;=10%,Table2[[#This Row],[Profit_Margin %]]&lt;=20%),"Good","Needs Improvement"))</f>
        <v>Needs Improvement</v>
      </c>
    </row>
    <row r="3" spans="1:4" x14ac:dyDescent="0.25">
      <c r="A3" s="99">
        <f>PRODUCT(Table1[[#This Row],[Quantity]],Table1[[#This Row],[Unit_Price]])</f>
        <v>1056.99</v>
      </c>
      <c r="B3" s="47">
        <v>403.4</v>
      </c>
      <c r="C3" s="38">
        <f>Table2[[#This Row],[Profit]]/Table2[[#This Row],[Total_Sales]]</f>
        <v>0.38164977908967918</v>
      </c>
      <c r="D3" s="30" t="str">
        <f>IF(AND(Table2[[#This Row],[Profit_Margin %]]&gt;20%,Table2[[#This Row],[Total_Sales]]&gt;2000),"Excellent",IF(AND(Table2[[#This Row],[Profit_Margin %]]&gt;=10%,Table2[[#This Row],[Profit_Margin %]]&lt;=20%),"Good","Needs Improvement"))</f>
        <v>Needs Improvement</v>
      </c>
    </row>
    <row r="4" spans="1:4" x14ac:dyDescent="0.25">
      <c r="A4" s="99">
        <f>PRODUCT(Table1[[#This Row],[Quantity]],Table1[[#This Row],[Unit_Price]])</f>
        <v>968.32</v>
      </c>
      <c r="B4" s="47">
        <v>282.37</v>
      </c>
      <c r="C4" s="38">
        <f>Table2[[#This Row],[Profit]]/Table2[[#This Row],[Total_Sales]]</f>
        <v>0.2916081460674157</v>
      </c>
      <c r="D4" s="30" t="str">
        <f>IF(AND(Table2[[#This Row],[Profit_Margin %]]&gt;20%,Table2[[#This Row],[Total_Sales]]&gt;2000),"Excellent",IF(AND(Table2[[#This Row],[Profit_Margin %]]&gt;=10%,Table2[[#This Row],[Profit_Margin %]]&lt;=20%),"Good","Needs Improvement"))</f>
        <v>Needs Improvement</v>
      </c>
    </row>
    <row r="5" spans="1:4" x14ac:dyDescent="0.25">
      <c r="A5" s="99">
        <f>PRODUCT(Table1[[#This Row],[Quantity]],Table1[[#This Row],[Unit_Price]])</f>
        <v>338.15999999999997</v>
      </c>
      <c r="B5" s="47">
        <v>134.77000000000001</v>
      </c>
      <c r="C5" s="38">
        <f>Table2[[#This Row],[Profit]]/Table2[[#This Row],[Total_Sales]]</f>
        <v>0.39853915306363857</v>
      </c>
      <c r="D5" s="30" t="str">
        <f>IF(AND(Table2[[#This Row],[Profit_Margin %]]&gt;20%,Table2[[#This Row],[Total_Sales]]&gt;2000),"Excellent",IF(AND(Table2[[#This Row],[Profit_Margin %]]&gt;=10%,Table2[[#This Row],[Profit_Margin %]]&lt;=20%),"Good","Needs Improvement"))</f>
        <v>Needs Improvement</v>
      </c>
    </row>
    <row r="6" spans="1:4" x14ac:dyDescent="0.25">
      <c r="A6" s="99">
        <f>PRODUCT(Table1[[#This Row],[Quantity]],Table1[[#This Row],[Unit_Price]])</f>
        <v>1176.74</v>
      </c>
      <c r="B6" s="47">
        <v>430.8</v>
      </c>
      <c r="C6" s="38">
        <f>Table2[[#This Row],[Profit]]/Table2[[#This Row],[Total_Sales]]</f>
        <v>0.36609616397844896</v>
      </c>
      <c r="D6" s="30" t="str">
        <f>IF(AND(Table2[[#This Row],[Profit_Margin %]]&gt;20%,Table2[[#This Row],[Total_Sales]]&gt;2000),"Excellent",IF(AND(Table2[[#This Row],[Profit_Margin %]]&gt;=10%,Table2[[#This Row],[Profit_Margin %]]&lt;=20%),"Good","Needs Improvement"))</f>
        <v>Needs Improvement</v>
      </c>
    </row>
    <row r="7" spans="1:4" x14ac:dyDescent="0.25">
      <c r="A7" s="99">
        <f>PRODUCT(Table1[[#This Row],[Quantity]],Table1[[#This Row],[Unit_Price]])</f>
        <v>363.22</v>
      </c>
      <c r="B7" s="47">
        <v>87.86</v>
      </c>
      <c r="C7" s="38">
        <f>Table2[[#This Row],[Profit]]/Table2[[#This Row],[Total_Sales]]</f>
        <v>0.2418919663014151</v>
      </c>
      <c r="D7" s="30" t="str">
        <f>IF(AND(Table2[[#This Row],[Profit_Margin %]]&gt;20%,Table2[[#This Row],[Total_Sales]]&gt;2000),"Excellent",IF(AND(Table2[[#This Row],[Profit_Margin %]]&gt;=10%,Table2[[#This Row],[Profit_Margin %]]&lt;=20%),"Good","Needs Improvement"))</f>
        <v>Needs Improvement</v>
      </c>
    </row>
    <row r="8" spans="1:4" x14ac:dyDescent="0.25">
      <c r="A8" s="99">
        <f>PRODUCT(Table1[[#This Row],[Quantity]],Table1[[#This Row],[Unit_Price]])</f>
        <v>94.56</v>
      </c>
      <c r="B8" s="47">
        <v>20.079999999999998</v>
      </c>
      <c r="C8" s="38">
        <f>Table2[[#This Row],[Profit]]/Table2[[#This Row],[Total_Sales]]</f>
        <v>0.21235194585448391</v>
      </c>
      <c r="D8" s="30" t="str">
        <f>IF(AND(Table2[[#This Row],[Profit_Margin %]]&gt;20%,Table2[[#This Row],[Total_Sales]]&gt;2000),"Excellent",IF(AND(Table2[[#This Row],[Profit_Margin %]]&gt;=10%,Table2[[#This Row],[Profit_Margin %]]&lt;=20%),"Good","Needs Improvement"))</f>
        <v>Needs Improvement</v>
      </c>
    </row>
    <row r="9" spans="1:4" x14ac:dyDescent="0.25">
      <c r="A9" s="99">
        <f>PRODUCT(Table1[[#This Row],[Quantity]],Table1[[#This Row],[Unit_Price]])</f>
        <v>429.94</v>
      </c>
      <c r="B9" s="47">
        <v>66.91</v>
      </c>
      <c r="C9" s="38">
        <f>Table2[[#This Row],[Profit]]/Table2[[#This Row],[Total_Sales]]</f>
        <v>0.15562636646973996</v>
      </c>
      <c r="D9" s="30" t="str">
        <f>IF(AND(Table2[[#This Row],[Profit_Margin %]]&gt;20%,Table2[[#This Row],[Total_Sales]]&gt;2000),"Excellent",IF(AND(Table2[[#This Row],[Profit_Margin %]]&gt;=10%,Table2[[#This Row],[Profit_Margin %]]&lt;=20%),"Good","Needs Improvement"))</f>
        <v>Good</v>
      </c>
    </row>
    <row r="10" spans="1:4" x14ac:dyDescent="0.25">
      <c r="A10" s="99">
        <f>PRODUCT(Table1[[#This Row],[Quantity]],Table1[[#This Row],[Unit_Price]])</f>
        <v>1150.0899999999999</v>
      </c>
      <c r="B10" s="47">
        <v>360.29</v>
      </c>
      <c r="C10" s="38">
        <f>Table2[[#This Row],[Profit]]/Table2[[#This Row],[Total_Sales]]</f>
        <v>0.31327113530245465</v>
      </c>
      <c r="D10" s="30" t="str">
        <f>IF(AND(Table2[[#This Row],[Profit_Margin %]]&gt;20%,Table2[[#This Row],[Total_Sales]]&gt;2000),"Excellent",IF(AND(Table2[[#This Row],[Profit_Margin %]]&gt;=10%,Table2[[#This Row],[Profit_Margin %]]&lt;=20%),"Good","Needs Improvement"))</f>
        <v>Needs Improvement</v>
      </c>
    </row>
    <row r="11" spans="1:4" x14ac:dyDescent="0.25">
      <c r="A11" s="99">
        <f>PRODUCT(Table1[[#This Row],[Quantity]],Table1[[#This Row],[Unit_Price]])</f>
        <v>512.46</v>
      </c>
      <c r="B11" s="47">
        <v>139.32</v>
      </c>
      <c r="C11" s="38">
        <f>Table2[[#This Row],[Profit]]/Table2[[#This Row],[Total_Sales]]</f>
        <v>0.27186512118018963</v>
      </c>
      <c r="D11" s="30" t="str">
        <f>IF(AND(Table2[[#This Row],[Profit_Margin %]]&gt;20%,Table2[[#This Row],[Total_Sales]]&gt;2000),"Excellent",IF(AND(Table2[[#This Row],[Profit_Margin %]]&gt;=10%,Table2[[#This Row],[Profit_Margin %]]&lt;=20%),"Good","Needs Improvement"))</f>
        <v>Needs Improvement</v>
      </c>
    </row>
    <row r="12" spans="1:4" x14ac:dyDescent="0.25">
      <c r="A12" s="99">
        <f>PRODUCT(Table1[[#This Row],[Quantity]],Table1[[#This Row],[Unit_Price]])</f>
        <v>1850.88</v>
      </c>
      <c r="B12" s="47">
        <v>675.73</v>
      </c>
      <c r="C12" s="38">
        <f>Table2[[#This Row],[Profit]]/Table2[[#This Row],[Total_Sales]]</f>
        <v>0.36508579702627936</v>
      </c>
      <c r="D12" s="30" t="str">
        <f>IF(AND(Table2[[#This Row],[Profit_Margin %]]&gt;20%,Table2[[#This Row],[Total_Sales]]&gt;2000),"Excellent",IF(AND(Table2[[#This Row],[Profit_Margin %]]&gt;=10%,Table2[[#This Row],[Profit_Margin %]]&lt;=20%),"Good","Needs Improvement"))</f>
        <v>Needs Improvement</v>
      </c>
    </row>
    <row r="13" spans="1:4" x14ac:dyDescent="0.25">
      <c r="A13" s="99">
        <f>PRODUCT(Table1[[#This Row],[Quantity]],Table1[[#This Row],[Unit_Price]])</f>
        <v>2879.73</v>
      </c>
      <c r="B13" s="47">
        <v>779.44</v>
      </c>
      <c r="C13" s="38">
        <f>Table2[[#This Row],[Profit]]/Table2[[#This Row],[Total_Sales]]</f>
        <v>0.27066426366360735</v>
      </c>
      <c r="D13" s="30" t="str">
        <f>IF(AND(Table2[[#This Row],[Profit_Margin %]]&gt;20%,Table2[[#This Row],[Total_Sales]]&gt;2000),"Excellent",IF(AND(Table2[[#This Row],[Profit_Margin %]]&gt;=10%,Table2[[#This Row],[Profit_Margin %]]&lt;=20%),"Good","Needs Improvement"))</f>
        <v>Excellent</v>
      </c>
    </row>
    <row r="14" spans="1:4" x14ac:dyDescent="0.25">
      <c r="A14" s="99">
        <f>PRODUCT(Table1[[#This Row],[Quantity]],Table1[[#This Row],[Unit_Price]])</f>
        <v>2447.56</v>
      </c>
      <c r="B14" s="47">
        <v>802.16</v>
      </c>
      <c r="C14" s="38">
        <f>Table2[[#This Row],[Profit]]/Table2[[#This Row],[Total_Sales]]</f>
        <v>0.3277386458350357</v>
      </c>
      <c r="D14" s="30" t="str">
        <f>IF(AND(Table2[[#This Row],[Profit_Margin %]]&gt;20%,Table2[[#This Row],[Total_Sales]]&gt;2000),"Excellent",IF(AND(Table2[[#This Row],[Profit_Margin %]]&gt;=10%,Table2[[#This Row],[Profit_Margin %]]&lt;=20%),"Good","Needs Improvement"))</f>
        <v>Excellent</v>
      </c>
    </row>
    <row r="15" spans="1:4" x14ac:dyDescent="0.25">
      <c r="A15" s="99">
        <f>PRODUCT(Table1[[#This Row],[Quantity]],Table1[[#This Row],[Unit_Price]])</f>
        <v>1390.4</v>
      </c>
      <c r="B15" s="47">
        <v>560.36</v>
      </c>
      <c r="C15" s="38">
        <f>Table2[[#This Row],[Profit]]/Table2[[#This Row],[Total_Sales]]</f>
        <v>0.4030207134637514</v>
      </c>
      <c r="D15" s="30" t="str">
        <f>IF(AND(Table2[[#This Row],[Profit_Margin %]]&gt;20%,Table2[[#This Row],[Total_Sales]]&gt;2000),"Excellent",IF(AND(Table2[[#This Row],[Profit_Margin %]]&gt;=10%,Table2[[#This Row],[Profit_Margin %]]&lt;=20%),"Good","Needs Improvement"))</f>
        <v>Needs Improvement</v>
      </c>
    </row>
    <row r="16" spans="1:4" x14ac:dyDescent="0.25">
      <c r="A16" s="99">
        <f>PRODUCT(Table1[[#This Row],[Quantity]],Table1[[#This Row],[Unit_Price]])</f>
        <v>936.98</v>
      </c>
      <c r="B16" s="47">
        <v>357.11</v>
      </c>
      <c r="C16" s="38">
        <f>Table2[[#This Row],[Profit]]/Table2[[#This Row],[Total_Sales]]</f>
        <v>0.38112873273709152</v>
      </c>
      <c r="D16" s="30" t="str">
        <f>IF(AND(Table2[[#This Row],[Profit_Margin %]]&gt;20%,Table2[[#This Row],[Total_Sales]]&gt;2000),"Excellent",IF(AND(Table2[[#This Row],[Profit_Margin %]]&gt;=10%,Table2[[#This Row],[Profit_Margin %]]&lt;=20%),"Good","Needs Improvement"))</f>
        <v>Needs Improvement</v>
      </c>
    </row>
    <row r="17" spans="1:4" x14ac:dyDescent="0.25">
      <c r="A17" s="99">
        <f>PRODUCT(Table1[[#This Row],[Quantity]],Table1[[#This Row],[Unit_Price]])</f>
        <v>1217.28</v>
      </c>
      <c r="B17" s="47">
        <v>207.6</v>
      </c>
      <c r="C17" s="38">
        <f>Table2[[#This Row],[Profit]]/Table2[[#This Row],[Total_Sales]]</f>
        <v>0.17054416403785488</v>
      </c>
      <c r="D17" s="30" t="str">
        <f>IF(AND(Table2[[#This Row],[Profit_Margin %]]&gt;20%,Table2[[#This Row],[Total_Sales]]&gt;2000),"Excellent",IF(AND(Table2[[#This Row],[Profit_Margin %]]&gt;=10%,Table2[[#This Row],[Profit_Margin %]]&lt;=20%),"Good","Needs Improvement"))</f>
        <v>Good</v>
      </c>
    </row>
    <row r="18" spans="1:4" x14ac:dyDescent="0.25">
      <c r="A18" s="99">
        <f>PRODUCT(Table1[[#This Row],[Quantity]],Table1[[#This Row],[Unit_Price]])</f>
        <v>1443.3600000000001</v>
      </c>
      <c r="B18" s="47">
        <v>477.05</v>
      </c>
      <c r="C18" s="38">
        <f>Table2[[#This Row],[Profit]]/Table2[[#This Row],[Total_Sales]]</f>
        <v>0.33051352399955658</v>
      </c>
      <c r="D18" s="30" t="str">
        <f>IF(AND(Table2[[#This Row],[Profit_Margin %]]&gt;20%,Table2[[#This Row],[Total_Sales]]&gt;2000),"Excellent",IF(AND(Table2[[#This Row],[Profit_Margin %]]&gt;=10%,Table2[[#This Row],[Profit_Margin %]]&lt;=20%),"Good","Needs Improvement"))</f>
        <v>Needs Improvement</v>
      </c>
    </row>
    <row r="19" spans="1:4" x14ac:dyDescent="0.25">
      <c r="A19" s="99">
        <f>PRODUCT(Table1[[#This Row],[Quantity]],Table1[[#This Row],[Unit_Price]])</f>
        <v>193.02</v>
      </c>
      <c r="B19" s="47">
        <v>58.57</v>
      </c>
      <c r="C19" s="38">
        <f>Table2[[#This Row],[Profit]]/Table2[[#This Row],[Total_Sales]]</f>
        <v>0.30344005802507512</v>
      </c>
      <c r="D19" s="30" t="str">
        <f>IF(AND(Table2[[#This Row],[Profit_Margin %]]&gt;20%,Table2[[#This Row],[Total_Sales]]&gt;2000),"Excellent",IF(AND(Table2[[#This Row],[Profit_Margin %]]&gt;=10%,Table2[[#This Row],[Profit_Margin %]]&lt;=20%),"Good","Needs Improvement"))</f>
        <v>Needs Improvement</v>
      </c>
    </row>
    <row r="20" spans="1:4" x14ac:dyDescent="0.25">
      <c r="A20" s="99">
        <f>PRODUCT(Table1[[#This Row],[Quantity]],Table1[[#This Row],[Unit_Price]])</f>
        <v>893.18000000000006</v>
      </c>
      <c r="B20" s="47">
        <v>195.79</v>
      </c>
      <c r="C20" s="38">
        <f>Table2[[#This Row],[Profit]]/Table2[[#This Row],[Total_Sales]]</f>
        <v>0.2192055352784433</v>
      </c>
      <c r="D20" s="30" t="str">
        <f>IF(AND(Table2[[#This Row],[Profit_Margin %]]&gt;20%,Table2[[#This Row],[Total_Sales]]&gt;2000),"Excellent",IF(AND(Table2[[#This Row],[Profit_Margin %]]&gt;=10%,Table2[[#This Row],[Profit_Margin %]]&lt;=20%),"Good","Needs Improvement"))</f>
        <v>Needs Improvement</v>
      </c>
    </row>
    <row r="21" spans="1:4" x14ac:dyDescent="0.25">
      <c r="A21" s="99">
        <f>PRODUCT(Table1[[#This Row],[Quantity]],Table1[[#This Row],[Unit_Price]])</f>
        <v>1475.7600000000002</v>
      </c>
      <c r="B21" s="47">
        <v>310.36</v>
      </c>
      <c r="C21" s="38">
        <f>Table2[[#This Row],[Profit]]/Table2[[#This Row],[Total_Sales]]</f>
        <v>0.21030519867729167</v>
      </c>
      <c r="D21" s="30" t="str">
        <f>IF(AND(Table2[[#This Row],[Profit_Margin %]]&gt;20%,Table2[[#This Row],[Total_Sales]]&gt;2000),"Excellent",IF(AND(Table2[[#This Row],[Profit_Margin %]]&gt;=10%,Table2[[#This Row],[Profit_Margin %]]&lt;=20%),"Good","Needs Improvement"))</f>
        <v>Needs Improvement</v>
      </c>
    </row>
    <row r="22" spans="1:4" x14ac:dyDescent="0.25">
      <c r="A22" s="99">
        <f>PRODUCT(Table1[[#This Row],[Quantity]],Table1[[#This Row],[Unit_Price]])</f>
        <v>412.62</v>
      </c>
      <c r="B22" s="47">
        <v>155.44</v>
      </c>
      <c r="C22" s="38">
        <f>Table2[[#This Row],[Profit]]/Table2[[#This Row],[Total_Sales]]</f>
        <v>0.37671465270709126</v>
      </c>
      <c r="D22" s="30" t="str">
        <f>IF(AND(Table2[[#This Row],[Profit_Margin %]]&gt;20%,Table2[[#This Row],[Total_Sales]]&gt;2000),"Excellent",IF(AND(Table2[[#This Row],[Profit_Margin %]]&gt;=10%,Table2[[#This Row],[Profit_Margin %]]&lt;=20%),"Good","Needs Improvement"))</f>
        <v>Needs Improvement</v>
      </c>
    </row>
    <row r="23" spans="1:4" x14ac:dyDescent="0.25">
      <c r="A23" s="99">
        <f>PRODUCT(Table1[[#This Row],[Quantity]],Table1[[#This Row],[Unit_Price]])</f>
        <v>111</v>
      </c>
      <c r="B23" s="47">
        <v>29.24</v>
      </c>
      <c r="C23" s="38">
        <f>Table2[[#This Row],[Profit]]/Table2[[#This Row],[Total_Sales]]</f>
        <v>0.2634234234234234</v>
      </c>
      <c r="D23" s="30" t="str">
        <f>IF(AND(Table2[[#This Row],[Profit_Margin %]]&gt;20%,Table2[[#This Row],[Total_Sales]]&gt;2000),"Excellent",IF(AND(Table2[[#This Row],[Profit_Margin %]]&gt;=10%,Table2[[#This Row],[Profit_Margin %]]&lt;=20%),"Good","Needs Improvement"))</f>
        <v>Needs Improvement</v>
      </c>
    </row>
    <row r="24" spans="1:4" x14ac:dyDescent="0.25">
      <c r="A24" s="99">
        <f>PRODUCT(Table1[[#This Row],[Quantity]],Table1[[#This Row],[Unit_Price]])</f>
        <v>955.68000000000006</v>
      </c>
      <c r="B24" s="47">
        <v>164.11</v>
      </c>
      <c r="C24" s="38">
        <f>Table2[[#This Row],[Profit]]/Table2[[#This Row],[Total_Sales]]</f>
        <v>0.17172065963502428</v>
      </c>
      <c r="D24" s="30" t="str">
        <f>IF(AND(Table2[[#This Row],[Profit_Margin %]]&gt;20%,Table2[[#This Row],[Total_Sales]]&gt;2000),"Excellent",IF(AND(Table2[[#This Row],[Profit_Margin %]]&gt;=10%,Table2[[#This Row],[Profit_Margin %]]&lt;=20%),"Good","Needs Improvement"))</f>
        <v>Good</v>
      </c>
    </row>
    <row r="25" spans="1:4" x14ac:dyDescent="0.25">
      <c r="A25" s="99">
        <f>PRODUCT(Table1[[#This Row],[Quantity]],Table1[[#This Row],[Unit_Price]])</f>
        <v>1085.6200000000001</v>
      </c>
      <c r="B25" s="47">
        <v>313.47000000000003</v>
      </c>
      <c r="C25" s="38">
        <f>Table2[[#This Row],[Profit]]/Table2[[#This Row],[Total_Sales]]</f>
        <v>0.28874744385696655</v>
      </c>
      <c r="D25" s="30" t="str">
        <f>IF(AND(Table2[[#This Row],[Profit_Margin %]]&gt;20%,Table2[[#This Row],[Total_Sales]]&gt;2000),"Excellent",IF(AND(Table2[[#This Row],[Profit_Margin %]]&gt;=10%,Table2[[#This Row],[Profit_Margin %]]&lt;=20%),"Good","Needs Improvement"))</f>
        <v>Needs Improvement</v>
      </c>
    </row>
    <row r="26" spans="1:4" x14ac:dyDescent="0.25">
      <c r="A26" s="99">
        <f>PRODUCT(Table1[[#This Row],[Quantity]],Table1[[#This Row],[Unit_Price]])</f>
        <v>789.25</v>
      </c>
      <c r="B26" s="47">
        <v>232.78</v>
      </c>
      <c r="C26" s="38">
        <f>Table2[[#This Row],[Profit]]/Table2[[#This Row],[Total_Sales]]</f>
        <v>0.29493823249920809</v>
      </c>
      <c r="D26" s="30" t="str">
        <f>IF(AND(Table2[[#This Row],[Profit_Margin %]]&gt;20%,Table2[[#This Row],[Total_Sales]]&gt;2000),"Excellent",IF(AND(Table2[[#This Row],[Profit_Margin %]]&gt;=10%,Table2[[#This Row],[Profit_Margin %]]&lt;=20%),"Good","Needs Improvement"))</f>
        <v>Needs Improvement</v>
      </c>
    </row>
    <row r="27" spans="1:4" x14ac:dyDescent="0.25">
      <c r="A27" s="99">
        <f>PRODUCT(Table1[[#This Row],[Quantity]],Table1[[#This Row],[Unit_Price]])</f>
        <v>379.12</v>
      </c>
      <c r="B27" s="47">
        <v>151</v>
      </c>
      <c r="C27" s="38">
        <f>Table2[[#This Row],[Profit]]/Table2[[#This Row],[Total_Sales]]</f>
        <v>0.39829077864528378</v>
      </c>
      <c r="D27" s="30" t="str">
        <f>IF(AND(Table2[[#This Row],[Profit_Margin %]]&gt;20%,Table2[[#This Row],[Total_Sales]]&gt;2000),"Excellent",IF(AND(Table2[[#This Row],[Profit_Margin %]]&gt;=10%,Table2[[#This Row],[Profit_Margin %]]&lt;=20%),"Good","Needs Improvement"))</f>
        <v>Needs Improvement</v>
      </c>
    </row>
    <row r="28" spans="1:4" x14ac:dyDescent="0.25">
      <c r="A28" s="99">
        <f>PRODUCT(Table1[[#This Row],[Quantity]],Table1[[#This Row],[Unit_Price]])</f>
        <v>1377.48</v>
      </c>
      <c r="B28" s="47">
        <v>221.76</v>
      </c>
      <c r="C28" s="38">
        <f>Table2[[#This Row],[Profit]]/Table2[[#This Row],[Total_Sales]]</f>
        <v>0.16098963324331386</v>
      </c>
      <c r="D28" s="30" t="str">
        <f>IF(AND(Table2[[#This Row],[Profit_Margin %]]&gt;20%,Table2[[#This Row],[Total_Sales]]&gt;2000),"Excellent",IF(AND(Table2[[#This Row],[Profit_Margin %]]&gt;=10%,Table2[[#This Row],[Profit_Margin %]]&lt;=20%),"Good","Needs Improvement"))</f>
        <v>Good</v>
      </c>
    </row>
    <row r="29" spans="1:4" x14ac:dyDescent="0.25">
      <c r="A29" s="99">
        <f>PRODUCT(Table1[[#This Row],[Quantity]],Table1[[#This Row],[Unit_Price]])</f>
        <v>237.78000000000003</v>
      </c>
      <c r="B29" s="47">
        <v>94.7</v>
      </c>
      <c r="C29" s="38">
        <f>Table2[[#This Row],[Profit]]/Table2[[#This Row],[Total_Sales]]</f>
        <v>0.39826730591302884</v>
      </c>
      <c r="D29" s="30" t="str">
        <f>IF(AND(Table2[[#This Row],[Profit_Margin %]]&gt;20%,Table2[[#This Row],[Total_Sales]]&gt;2000),"Excellent",IF(AND(Table2[[#This Row],[Profit_Margin %]]&gt;=10%,Table2[[#This Row],[Profit_Margin %]]&lt;=20%),"Good","Needs Improvement"))</f>
        <v>Needs Improvement</v>
      </c>
    </row>
    <row r="30" spans="1:4" x14ac:dyDescent="0.25">
      <c r="A30" s="99">
        <f>PRODUCT(Table1[[#This Row],[Quantity]],Table1[[#This Row],[Unit_Price]])</f>
        <v>2462.4</v>
      </c>
      <c r="B30" s="47">
        <v>871.57</v>
      </c>
      <c r="C30" s="38">
        <f>Table2[[#This Row],[Profit]]/Table2[[#This Row],[Total_Sales]]</f>
        <v>0.35395142949967512</v>
      </c>
      <c r="D30" s="30" t="str">
        <f>IF(AND(Table2[[#This Row],[Profit_Margin %]]&gt;20%,Table2[[#This Row],[Total_Sales]]&gt;2000),"Excellent",IF(AND(Table2[[#This Row],[Profit_Margin %]]&gt;=10%,Table2[[#This Row],[Profit_Margin %]]&lt;=20%),"Good","Needs Improvement"))</f>
        <v>Excellent</v>
      </c>
    </row>
    <row r="31" spans="1:4" x14ac:dyDescent="0.25">
      <c r="A31" s="99">
        <f>PRODUCT(Table1[[#This Row],[Quantity]],Table1[[#This Row],[Unit_Price]])</f>
        <v>44.98</v>
      </c>
      <c r="B31" s="47">
        <v>17.170000000000002</v>
      </c>
      <c r="C31" s="38">
        <f>Table2[[#This Row],[Profit]]/Table2[[#This Row],[Total_Sales]]</f>
        <v>0.38172521120498004</v>
      </c>
      <c r="D31" s="30" t="str">
        <f>IF(AND(Table2[[#This Row],[Profit_Margin %]]&gt;20%,Table2[[#This Row],[Total_Sales]]&gt;2000),"Excellent",IF(AND(Table2[[#This Row],[Profit_Margin %]]&gt;=10%,Table2[[#This Row],[Profit_Margin %]]&lt;=20%),"Good","Needs Improvement"))</f>
        <v>Needs Improvement</v>
      </c>
    </row>
    <row r="32" spans="1:4" x14ac:dyDescent="0.25">
      <c r="A32" s="99">
        <f>PRODUCT(Table1[[#This Row],[Quantity]],Table1[[#This Row],[Unit_Price]])</f>
        <v>113.22</v>
      </c>
      <c r="B32" s="47">
        <v>25.18</v>
      </c>
      <c r="C32" s="38">
        <f>Table2[[#This Row],[Profit]]/Table2[[#This Row],[Total_Sales]]</f>
        <v>0.22239886945769299</v>
      </c>
      <c r="D32" s="30" t="str">
        <f>IF(AND(Table2[[#This Row],[Profit_Margin %]]&gt;20%,Table2[[#This Row],[Total_Sales]]&gt;2000),"Excellent",IF(AND(Table2[[#This Row],[Profit_Margin %]]&gt;=10%,Table2[[#This Row],[Profit_Margin %]]&lt;=20%),"Good","Needs Improvement"))</f>
        <v>Needs Improvement</v>
      </c>
    </row>
    <row r="33" spans="1:4" x14ac:dyDescent="0.25">
      <c r="A33" s="99">
        <f>PRODUCT(Table1[[#This Row],[Quantity]],Table1[[#This Row],[Unit_Price]])</f>
        <v>477.59999999999997</v>
      </c>
      <c r="B33" s="47">
        <v>157.06</v>
      </c>
      <c r="C33" s="38">
        <f>Table2[[#This Row],[Profit]]/Table2[[#This Row],[Total_Sales]]</f>
        <v>0.32885259631490787</v>
      </c>
      <c r="D33" s="30" t="str">
        <f>IF(AND(Table2[[#This Row],[Profit_Margin %]]&gt;20%,Table2[[#This Row],[Total_Sales]]&gt;2000),"Excellent",IF(AND(Table2[[#This Row],[Profit_Margin %]]&gt;=10%,Table2[[#This Row],[Profit_Margin %]]&lt;=20%),"Good","Needs Improvement"))</f>
        <v>Needs Improvement</v>
      </c>
    </row>
    <row r="34" spans="1:4" x14ac:dyDescent="0.25">
      <c r="A34" s="99">
        <f>PRODUCT(Table1[[#This Row],[Quantity]],Table1[[#This Row],[Unit_Price]])</f>
        <v>1123.98</v>
      </c>
      <c r="B34" s="47">
        <v>234.78</v>
      </c>
      <c r="C34" s="38">
        <f>Table2[[#This Row],[Profit]]/Table2[[#This Row],[Total_Sales]]</f>
        <v>0.20888272033310201</v>
      </c>
      <c r="D34" s="30" t="str">
        <f>IF(AND(Table2[[#This Row],[Profit_Margin %]]&gt;20%,Table2[[#This Row],[Total_Sales]]&gt;2000),"Excellent",IF(AND(Table2[[#This Row],[Profit_Margin %]]&gt;=10%,Table2[[#This Row],[Profit_Margin %]]&lt;=20%),"Good","Needs Improvement"))</f>
        <v>Needs Improvement</v>
      </c>
    </row>
    <row r="35" spans="1:4" x14ac:dyDescent="0.25">
      <c r="A35" s="99">
        <f>PRODUCT(Table1[[#This Row],[Quantity]],Table1[[#This Row],[Unit_Price]])</f>
        <v>1127.78</v>
      </c>
      <c r="B35" s="47">
        <v>366.63</v>
      </c>
      <c r="C35" s="38">
        <f>Table2[[#This Row],[Profit]]/Table2[[#This Row],[Total_Sales]]</f>
        <v>0.32508999982266046</v>
      </c>
      <c r="D35" s="30" t="str">
        <f>IF(AND(Table2[[#This Row],[Profit_Margin %]]&gt;20%,Table2[[#This Row],[Total_Sales]]&gt;2000),"Excellent",IF(AND(Table2[[#This Row],[Profit_Margin %]]&gt;=10%,Table2[[#This Row],[Profit_Margin %]]&lt;=20%),"Good","Needs Improvement"))</f>
        <v>Needs Improvement</v>
      </c>
    </row>
    <row r="36" spans="1:4" x14ac:dyDescent="0.25">
      <c r="A36" s="99">
        <f>PRODUCT(Table1[[#This Row],[Quantity]],Table1[[#This Row],[Unit_Price]])</f>
        <v>135.47999999999999</v>
      </c>
      <c r="B36" s="47">
        <v>28.89</v>
      </c>
      <c r="C36" s="38">
        <f>Table2[[#This Row],[Profit]]/Table2[[#This Row],[Total_Sales]]</f>
        <v>0.21324180690876884</v>
      </c>
      <c r="D36" s="30" t="str">
        <f>IF(AND(Table2[[#This Row],[Profit_Margin %]]&gt;20%,Table2[[#This Row],[Total_Sales]]&gt;2000),"Excellent",IF(AND(Table2[[#This Row],[Profit_Margin %]]&gt;=10%,Table2[[#This Row],[Profit_Margin %]]&lt;=20%),"Good","Needs Improvement"))</f>
        <v>Needs Improvement</v>
      </c>
    </row>
    <row r="37" spans="1:4" x14ac:dyDescent="0.25">
      <c r="A37" s="99">
        <f>PRODUCT(Table1[[#This Row],[Quantity]],Table1[[#This Row],[Unit_Price]])</f>
        <v>646.5</v>
      </c>
      <c r="B37" s="47">
        <v>228.61</v>
      </c>
      <c r="C37" s="38">
        <f>Table2[[#This Row],[Profit]]/Table2[[#This Row],[Total_Sales]]</f>
        <v>0.35361175560711527</v>
      </c>
      <c r="D37" s="30" t="str">
        <f>IF(AND(Table2[[#This Row],[Profit_Margin %]]&gt;20%,Table2[[#This Row],[Total_Sales]]&gt;2000),"Excellent",IF(AND(Table2[[#This Row],[Profit_Margin %]]&gt;=10%,Table2[[#This Row],[Profit_Margin %]]&lt;=20%),"Good","Needs Improvement"))</f>
        <v>Needs Improvement</v>
      </c>
    </row>
    <row r="38" spans="1:4" x14ac:dyDescent="0.25">
      <c r="A38" s="99">
        <f>PRODUCT(Table1[[#This Row],[Quantity]],Table1[[#This Row],[Unit_Price]])</f>
        <v>354.71999999999997</v>
      </c>
      <c r="B38" s="47">
        <v>63.32</v>
      </c>
      <c r="C38" s="38">
        <f>Table2[[#This Row],[Profit]]/Table2[[#This Row],[Total_Sales]]</f>
        <v>0.17850699142986018</v>
      </c>
      <c r="D38" s="30" t="str">
        <f>IF(AND(Table2[[#This Row],[Profit_Margin %]]&gt;20%,Table2[[#This Row],[Total_Sales]]&gt;2000),"Excellent",IF(AND(Table2[[#This Row],[Profit_Margin %]]&gt;=10%,Table2[[#This Row],[Profit_Margin %]]&lt;=20%),"Good","Needs Improvement"))</f>
        <v>Good</v>
      </c>
    </row>
    <row r="39" spans="1:4" x14ac:dyDescent="0.25">
      <c r="A39" s="99">
        <f>PRODUCT(Table1[[#This Row],[Quantity]],Table1[[#This Row],[Unit_Price]])</f>
        <v>141.44</v>
      </c>
      <c r="B39" s="47">
        <v>32.78</v>
      </c>
      <c r="C39" s="38">
        <f>Table2[[#This Row],[Profit]]/Table2[[#This Row],[Total_Sales]]</f>
        <v>0.23175904977375567</v>
      </c>
      <c r="D39" s="30" t="str">
        <f>IF(AND(Table2[[#This Row],[Profit_Margin %]]&gt;20%,Table2[[#This Row],[Total_Sales]]&gt;2000),"Excellent",IF(AND(Table2[[#This Row],[Profit_Margin %]]&gt;=10%,Table2[[#This Row],[Profit_Margin %]]&lt;=20%),"Good","Needs Improvement"))</f>
        <v>Needs Improvement</v>
      </c>
    </row>
    <row r="40" spans="1:4" x14ac:dyDescent="0.25">
      <c r="A40" s="99">
        <f>PRODUCT(Table1[[#This Row],[Quantity]],Table1[[#This Row],[Unit_Price]])</f>
        <v>879.76</v>
      </c>
      <c r="B40" s="47">
        <v>250.44</v>
      </c>
      <c r="C40" s="38">
        <f>Table2[[#This Row],[Profit]]/Table2[[#This Row],[Total_Sales]]</f>
        <v>0.28466854596708191</v>
      </c>
      <c r="D40" s="30" t="str">
        <f>IF(AND(Table2[[#This Row],[Profit_Margin %]]&gt;20%,Table2[[#This Row],[Total_Sales]]&gt;2000),"Excellent",IF(AND(Table2[[#This Row],[Profit_Margin %]]&gt;=10%,Table2[[#This Row],[Profit_Margin %]]&lt;=20%),"Good","Needs Improvement"))</f>
        <v>Needs Improvement</v>
      </c>
    </row>
    <row r="41" spans="1:4" x14ac:dyDescent="0.25">
      <c r="A41" s="99">
        <f>PRODUCT(Table1[[#This Row],[Quantity]],Table1[[#This Row],[Unit_Price]])</f>
        <v>1929.1999999999998</v>
      </c>
      <c r="B41" s="47">
        <v>645.98</v>
      </c>
      <c r="C41" s="38">
        <f>Table2[[#This Row],[Profit]]/Table2[[#This Row],[Total_Sales]]</f>
        <v>0.3348434584283641</v>
      </c>
      <c r="D41" s="30" t="str">
        <f>IF(AND(Table2[[#This Row],[Profit_Margin %]]&gt;20%,Table2[[#This Row],[Total_Sales]]&gt;2000),"Excellent",IF(AND(Table2[[#This Row],[Profit_Margin %]]&gt;=10%,Table2[[#This Row],[Profit_Margin %]]&lt;=20%),"Good","Needs Improvement"))</f>
        <v>Needs Improvement</v>
      </c>
    </row>
    <row r="42" spans="1:4" x14ac:dyDescent="0.25">
      <c r="A42" s="99">
        <f>PRODUCT(Table1[[#This Row],[Quantity]],Table1[[#This Row],[Unit_Price]])</f>
        <v>1391.54</v>
      </c>
      <c r="B42" s="47">
        <v>435.78</v>
      </c>
      <c r="C42" s="38">
        <f>Table2[[#This Row],[Profit]]/Table2[[#This Row],[Total_Sales]]</f>
        <v>0.31316383287580662</v>
      </c>
      <c r="D42" s="30" t="str">
        <f>IF(AND(Table2[[#This Row],[Profit_Margin %]]&gt;20%,Table2[[#This Row],[Total_Sales]]&gt;2000),"Excellent",IF(AND(Table2[[#This Row],[Profit_Margin %]]&gt;=10%,Table2[[#This Row],[Profit_Margin %]]&lt;=20%),"Good","Needs Improvement"))</f>
        <v>Needs Improvement</v>
      </c>
    </row>
    <row r="43" spans="1:4" x14ac:dyDescent="0.25">
      <c r="A43" s="99">
        <f>PRODUCT(Table1[[#This Row],[Quantity]],Table1[[#This Row],[Unit_Price]])</f>
        <v>768.6</v>
      </c>
      <c r="B43" s="47">
        <v>258.52999999999997</v>
      </c>
      <c r="C43" s="38">
        <f>Table2[[#This Row],[Profit]]/Table2[[#This Row],[Total_Sales]]</f>
        <v>0.33636481915170435</v>
      </c>
      <c r="D43" s="30" t="str">
        <f>IF(AND(Table2[[#This Row],[Profit_Margin %]]&gt;20%,Table2[[#This Row],[Total_Sales]]&gt;2000),"Excellent",IF(AND(Table2[[#This Row],[Profit_Margin %]]&gt;=10%,Table2[[#This Row],[Profit_Margin %]]&lt;=20%),"Good","Needs Improvement"))</f>
        <v>Needs Improvement</v>
      </c>
    </row>
    <row r="44" spans="1:4" x14ac:dyDescent="0.25">
      <c r="A44" s="99">
        <f>PRODUCT(Table1[[#This Row],[Quantity]],Table1[[#This Row],[Unit_Price]])</f>
        <v>806.61</v>
      </c>
      <c r="B44" s="47">
        <v>210.38</v>
      </c>
      <c r="C44" s="38">
        <f>Table2[[#This Row],[Profit]]/Table2[[#This Row],[Total_Sales]]</f>
        <v>0.26081997495691844</v>
      </c>
      <c r="D44" s="30" t="str">
        <f>IF(AND(Table2[[#This Row],[Profit_Margin %]]&gt;20%,Table2[[#This Row],[Total_Sales]]&gt;2000),"Excellent",IF(AND(Table2[[#This Row],[Profit_Margin %]]&gt;=10%,Table2[[#This Row],[Profit_Margin %]]&lt;=20%),"Good","Needs Improvement"))</f>
        <v>Needs Improvement</v>
      </c>
    </row>
    <row r="45" spans="1:4" x14ac:dyDescent="0.25">
      <c r="A45" s="99">
        <f>PRODUCT(Table1[[#This Row],[Quantity]],Table1[[#This Row],[Unit_Price]])</f>
        <v>2500.4</v>
      </c>
      <c r="B45" s="47">
        <v>933.59</v>
      </c>
      <c r="C45" s="38">
        <f>Table2[[#This Row],[Profit]]/Table2[[#This Row],[Total_Sales]]</f>
        <v>0.37337625979843225</v>
      </c>
      <c r="D45" s="30" t="str">
        <f>IF(AND(Table2[[#This Row],[Profit_Margin %]]&gt;20%,Table2[[#This Row],[Total_Sales]]&gt;2000),"Excellent",IF(AND(Table2[[#This Row],[Profit_Margin %]]&gt;=10%,Table2[[#This Row],[Profit_Margin %]]&lt;=20%),"Good","Needs Improvement"))</f>
        <v>Excellent</v>
      </c>
    </row>
    <row r="46" spans="1:4" x14ac:dyDescent="0.25">
      <c r="A46" s="99">
        <f>PRODUCT(Table1[[#This Row],[Quantity]],Table1[[#This Row],[Unit_Price]])</f>
        <v>286.55</v>
      </c>
      <c r="B46" s="47">
        <v>75.16</v>
      </c>
      <c r="C46" s="38">
        <f>Table2[[#This Row],[Profit]]/Table2[[#This Row],[Total_Sales]]</f>
        <v>0.26229279357878205</v>
      </c>
      <c r="D46" s="30" t="str">
        <f>IF(AND(Table2[[#This Row],[Profit_Margin %]]&gt;20%,Table2[[#This Row],[Total_Sales]]&gt;2000),"Excellent",IF(AND(Table2[[#This Row],[Profit_Margin %]]&gt;=10%,Table2[[#This Row],[Profit_Margin %]]&lt;=20%),"Good","Needs Improvement"))</f>
        <v>Needs Improvement</v>
      </c>
    </row>
    <row r="47" spans="1:4" x14ac:dyDescent="0.25">
      <c r="A47" s="99">
        <f>PRODUCT(Table1[[#This Row],[Quantity]],Table1[[#This Row],[Unit_Price]])</f>
        <v>1226.8200000000002</v>
      </c>
      <c r="B47" s="47">
        <v>430.27</v>
      </c>
      <c r="C47" s="38">
        <f>Table2[[#This Row],[Profit]]/Table2[[#This Row],[Total_Sales]]</f>
        <v>0.35071974698814817</v>
      </c>
      <c r="D47" s="30" t="str">
        <f>IF(AND(Table2[[#This Row],[Profit_Margin %]]&gt;20%,Table2[[#This Row],[Total_Sales]]&gt;2000),"Excellent",IF(AND(Table2[[#This Row],[Profit_Margin %]]&gt;=10%,Table2[[#This Row],[Profit_Margin %]]&lt;=20%),"Good","Needs Improvement"))</f>
        <v>Needs Improvement</v>
      </c>
    </row>
    <row r="48" spans="1:4" x14ac:dyDescent="0.25">
      <c r="A48" s="99">
        <f>PRODUCT(Table1[[#This Row],[Quantity]],Table1[[#This Row],[Unit_Price]])</f>
        <v>514.08000000000004</v>
      </c>
      <c r="B48" s="47">
        <v>155.34</v>
      </c>
      <c r="C48" s="38">
        <f>Table2[[#This Row],[Profit]]/Table2[[#This Row],[Total_Sales]]</f>
        <v>0.30217086834733892</v>
      </c>
      <c r="D48" s="30" t="str">
        <f>IF(AND(Table2[[#This Row],[Profit_Margin %]]&gt;20%,Table2[[#This Row],[Total_Sales]]&gt;2000),"Excellent",IF(AND(Table2[[#This Row],[Profit_Margin %]]&gt;=10%,Table2[[#This Row],[Profit_Margin %]]&lt;=20%),"Good","Needs Improvement"))</f>
        <v>Needs Improvement</v>
      </c>
    </row>
    <row r="49" spans="1:4" x14ac:dyDescent="0.25">
      <c r="A49" s="99">
        <f>PRODUCT(Table1[[#This Row],[Quantity]],Table1[[#This Row],[Unit_Price]])</f>
        <v>556.02</v>
      </c>
      <c r="B49" s="47">
        <v>220.02</v>
      </c>
      <c r="C49" s="38">
        <f>Table2[[#This Row],[Profit]]/Table2[[#This Row],[Total_Sales]]</f>
        <v>0.39570519046077485</v>
      </c>
      <c r="D49" s="30" t="str">
        <f>IF(AND(Table2[[#This Row],[Profit_Margin %]]&gt;20%,Table2[[#This Row],[Total_Sales]]&gt;2000),"Excellent",IF(AND(Table2[[#This Row],[Profit_Margin %]]&gt;=10%,Table2[[#This Row],[Profit_Margin %]]&lt;=20%),"Good","Needs Improvement"))</f>
        <v>Needs Improvement</v>
      </c>
    </row>
    <row r="50" spans="1:4" x14ac:dyDescent="0.25">
      <c r="A50" s="99">
        <f>PRODUCT(Table1[[#This Row],[Quantity]],Table1[[#This Row],[Unit_Price]])</f>
        <v>1100.6099999999999</v>
      </c>
      <c r="B50" s="47">
        <v>284.51</v>
      </c>
      <c r="C50" s="38">
        <f>Table2[[#This Row],[Profit]]/Table2[[#This Row],[Total_Sales]]</f>
        <v>0.25850210337903529</v>
      </c>
      <c r="D50" s="30" t="str">
        <f>IF(AND(Table2[[#This Row],[Profit_Margin %]]&gt;20%,Table2[[#This Row],[Total_Sales]]&gt;2000),"Excellent",IF(AND(Table2[[#This Row],[Profit_Margin %]]&gt;=10%,Table2[[#This Row],[Profit_Margin %]]&lt;=20%),"Good","Needs Improvement"))</f>
        <v>Needs Improvement</v>
      </c>
    </row>
    <row r="51" spans="1:4" x14ac:dyDescent="0.25">
      <c r="A51" s="99">
        <f>PRODUCT(Table1[[#This Row],[Quantity]],Table1[[#This Row],[Unit_Price]])</f>
        <v>656.88</v>
      </c>
      <c r="B51" s="47">
        <v>167.02</v>
      </c>
      <c r="C51" s="38">
        <f>Table2[[#This Row],[Profit]]/Table2[[#This Row],[Total_Sales]]</f>
        <v>0.25426257459505541</v>
      </c>
      <c r="D51" s="30" t="str">
        <f>IF(AND(Table2[[#This Row],[Profit_Margin %]]&gt;20%,Table2[[#This Row],[Total_Sales]]&gt;2000),"Excellent",IF(AND(Table2[[#This Row],[Profit_Margin %]]&gt;=10%,Table2[[#This Row],[Profit_Margin %]]&lt;=20%),"Good","Needs Improvement"))</f>
        <v>Needs Improvement</v>
      </c>
    </row>
    <row r="52" spans="1:4" x14ac:dyDescent="0.25">
      <c r="A52" s="99">
        <f>PRODUCT(Table1[[#This Row],[Quantity]],Table1[[#This Row],[Unit_Price]])</f>
        <v>1057.3899999999999</v>
      </c>
      <c r="B52" s="47">
        <v>248.17</v>
      </c>
      <c r="C52" s="38">
        <f>Table2[[#This Row],[Profit]]/Table2[[#This Row],[Total_Sales]]</f>
        <v>0.23470053622599044</v>
      </c>
      <c r="D52" s="30" t="str">
        <f>IF(AND(Table2[[#This Row],[Profit_Margin %]]&gt;20%,Table2[[#This Row],[Total_Sales]]&gt;2000),"Excellent",IF(AND(Table2[[#This Row],[Profit_Margin %]]&gt;=10%,Table2[[#This Row],[Profit_Margin %]]&lt;=20%),"Good","Needs Improvement"))</f>
        <v>Needs Improvement</v>
      </c>
    </row>
    <row r="53" spans="1:4" x14ac:dyDescent="0.25">
      <c r="A53" s="99">
        <f>PRODUCT(Table1[[#This Row],[Quantity]],Table1[[#This Row],[Unit_Price]])</f>
        <v>1686.3300000000002</v>
      </c>
      <c r="B53" s="47">
        <v>458.21</v>
      </c>
      <c r="C53" s="38">
        <f>Table2[[#This Row],[Profit]]/Table2[[#This Row],[Total_Sales]]</f>
        <v>0.27172024455474308</v>
      </c>
      <c r="D53" s="30" t="str">
        <f>IF(AND(Table2[[#This Row],[Profit_Margin %]]&gt;20%,Table2[[#This Row],[Total_Sales]]&gt;2000),"Excellent",IF(AND(Table2[[#This Row],[Profit_Margin %]]&gt;=10%,Table2[[#This Row],[Profit_Margin %]]&lt;=20%),"Good","Needs Improvement"))</f>
        <v>Needs Improvement</v>
      </c>
    </row>
    <row r="54" spans="1:4" x14ac:dyDescent="0.25">
      <c r="A54" s="99">
        <f>PRODUCT(Table1[[#This Row],[Quantity]],Table1[[#This Row],[Unit_Price]])</f>
        <v>1837.1100000000001</v>
      </c>
      <c r="B54" s="47">
        <v>372.79</v>
      </c>
      <c r="C54" s="38">
        <f>Table2[[#This Row],[Profit]]/Table2[[#This Row],[Total_Sales]]</f>
        <v>0.20292198071971737</v>
      </c>
      <c r="D54" s="30" t="str">
        <f>IF(AND(Table2[[#This Row],[Profit_Margin %]]&gt;20%,Table2[[#This Row],[Total_Sales]]&gt;2000),"Excellent",IF(AND(Table2[[#This Row],[Profit_Margin %]]&gt;=10%,Table2[[#This Row],[Profit_Margin %]]&lt;=20%),"Good","Needs Improvement"))</f>
        <v>Needs Improvement</v>
      </c>
    </row>
    <row r="55" spans="1:4" x14ac:dyDescent="0.25">
      <c r="A55" s="99">
        <f>PRODUCT(Table1[[#This Row],[Quantity]],Table1[[#This Row],[Unit_Price]])</f>
        <v>915.66</v>
      </c>
      <c r="B55" s="47">
        <v>145.72999999999999</v>
      </c>
      <c r="C55" s="38">
        <f>Table2[[#This Row],[Profit]]/Table2[[#This Row],[Total_Sales]]</f>
        <v>0.15915296070593887</v>
      </c>
      <c r="D55" s="30" t="str">
        <f>IF(AND(Table2[[#This Row],[Profit_Margin %]]&gt;20%,Table2[[#This Row],[Total_Sales]]&gt;2000),"Excellent",IF(AND(Table2[[#This Row],[Profit_Margin %]]&gt;=10%,Table2[[#This Row],[Profit_Margin %]]&lt;=20%),"Good","Needs Improvement"))</f>
        <v>Good</v>
      </c>
    </row>
    <row r="56" spans="1:4" x14ac:dyDescent="0.25">
      <c r="A56" s="99">
        <f>PRODUCT(Table1[[#This Row],[Quantity]],Table1[[#This Row],[Unit_Price]])</f>
        <v>373.8</v>
      </c>
      <c r="B56" s="47">
        <v>144.96</v>
      </c>
      <c r="C56" s="38">
        <f>Table2[[#This Row],[Profit]]/Table2[[#This Row],[Total_Sales]]</f>
        <v>0.38780096308186196</v>
      </c>
      <c r="D56" s="30" t="str">
        <f>IF(AND(Table2[[#This Row],[Profit_Margin %]]&gt;20%,Table2[[#This Row],[Total_Sales]]&gt;2000),"Excellent",IF(AND(Table2[[#This Row],[Profit_Margin %]]&gt;=10%,Table2[[#This Row],[Profit_Margin %]]&lt;=20%),"Good","Needs Improvement"))</f>
        <v>Needs Improvement</v>
      </c>
    </row>
    <row r="57" spans="1:4" x14ac:dyDescent="0.25">
      <c r="A57" s="99">
        <f>PRODUCT(Table1[[#This Row],[Quantity]],Table1[[#This Row],[Unit_Price]])</f>
        <v>463.36</v>
      </c>
      <c r="B57" s="47">
        <v>139.71</v>
      </c>
      <c r="C57" s="38">
        <f>Table2[[#This Row],[Profit]]/Table2[[#This Row],[Total_Sales]]</f>
        <v>0.30151502071823205</v>
      </c>
      <c r="D57" s="30" t="str">
        <f>IF(AND(Table2[[#This Row],[Profit_Margin %]]&gt;20%,Table2[[#This Row],[Total_Sales]]&gt;2000),"Excellent",IF(AND(Table2[[#This Row],[Profit_Margin %]]&gt;=10%,Table2[[#This Row],[Profit_Margin %]]&lt;=20%),"Good","Needs Improvement"))</f>
        <v>Needs Improvement</v>
      </c>
    </row>
    <row r="58" spans="1:4" x14ac:dyDescent="0.25">
      <c r="A58" s="99">
        <f>PRODUCT(Table1[[#This Row],[Quantity]],Table1[[#This Row],[Unit_Price]])</f>
        <v>1082.4100000000001</v>
      </c>
      <c r="B58" s="47">
        <v>186.29</v>
      </c>
      <c r="C58" s="38">
        <f>Table2[[#This Row],[Profit]]/Table2[[#This Row],[Total_Sales]]</f>
        <v>0.1721066878539555</v>
      </c>
      <c r="D58" s="30" t="str">
        <f>IF(AND(Table2[[#This Row],[Profit_Margin %]]&gt;20%,Table2[[#This Row],[Total_Sales]]&gt;2000),"Excellent",IF(AND(Table2[[#This Row],[Profit_Margin %]]&gt;=10%,Table2[[#This Row],[Profit_Margin %]]&lt;=20%),"Good","Needs Improvement"))</f>
        <v>Good</v>
      </c>
    </row>
    <row r="59" spans="1:4" x14ac:dyDescent="0.25">
      <c r="A59" s="99">
        <f>PRODUCT(Table1[[#This Row],[Quantity]],Table1[[#This Row],[Unit_Price]])</f>
        <v>900.54</v>
      </c>
      <c r="B59" s="47">
        <v>202.1</v>
      </c>
      <c r="C59" s="38">
        <f>Table2[[#This Row],[Profit]]/Table2[[#This Row],[Total_Sales]]</f>
        <v>0.22442090301374731</v>
      </c>
      <c r="D59" s="30" t="str">
        <f>IF(AND(Table2[[#This Row],[Profit_Margin %]]&gt;20%,Table2[[#This Row],[Total_Sales]]&gt;2000),"Excellent",IF(AND(Table2[[#This Row],[Profit_Margin %]]&gt;=10%,Table2[[#This Row],[Profit_Margin %]]&lt;=20%),"Good","Needs Improvement"))</f>
        <v>Needs Improvement</v>
      </c>
    </row>
    <row r="60" spans="1:4" x14ac:dyDescent="0.25">
      <c r="A60" s="99">
        <f>PRODUCT(Table1[[#This Row],[Quantity]],Table1[[#This Row],[Unit_Price]])</f>
        <v>1218.6600000000001</v>
      </c>
      <c r="B60" s="47">
        <v>214.17</v>
      </c>
      <c r="C60" s="38">
        <f>Table2[[#This Row],[Profit]]/Table2[[#This Row],[Total_Sales]]</f>
        <v>0.17574220865540838</v>
      </c>
      <c r="D60" s="30" t="str">
        <f>IF(AND(Table2[[#This Row],[Profit_Margin %]]&gt;20%,Table2[[#This Row],[Total_Sales]]&gt;2000),"Excellent",IF(AND(Table2[[#This Row],[Profit_Margin %]]&gt;=10%,Table2[[#This Row],[Profit_Margin %]]&lt;=20%),"Good","Needs Improvement"))</f>
        <v>Good</v>
      </c>
    </row>
    <row r="61" spans="1:4" x14ac:dyDescent="0.25">
      <c r="A61" s="99">
        <f>PRODUCT(Table1[[#This Row],[Quantity]],Table1[[#This Row],[Unit_Price]])</f>
        <v>1172.08</v>
      </c>
      <c r="B61" s="47">
        <v>375.08</v>
      </c>
      <c r="C61" s="38">
        <f>Table2[[#This Row],[Profit]]/Table2[[#This Row],[Total_Sales]]</f>
        <v>0.32001228585079516</v>
      </c>
      <c r="D61" s="30" t="str">
        <f>IF(AND(Table2[[#This Row],[Profit_Margin %]]&gt;20%,Table2[[#This Row],[Total_Sales]]&gt;2000),"Excellent",IF(AND(Table2[[#This Row],[Profit_Margin %]]&gt;=10%,Table2[[#This Row],[Profit_Margin %]]&lt;=20%),"Good","Needs Improvement"))</f>
        <v>Needs Improvement</v>
      </c>
    </row>
    <row r="62" spans="1:4" x14ac:dyDescent="0.25">
      <c r="A62" s="99">
        <f>PRODUCT(Table1[[#This Row],[Quantity]],Table1[[#This Row],[Unit_Price]])</f>
        <v>3247.6</v>
      </c>
      <c r="B62" s="47">
        <v>1240.69</v>
      </c>
      <c r="C62" s="38">
        <f>Table2[[#This Row],[Profit]]/Table2[[#This Row],[Total_Sales]]</f>
        <v>0.3820328858233773</v>
      </c>
      <c r="D62" s="30" t="str">
        <f>IF(AND(Table2[[#This Row],[Profit_Margin %]]&gt;20%,Table2[[#This Row],[Total_Sales]]&gt;2000),"Excellent",IF(AND(Table2[[#This Row],[Profit_Margin %]]&gt;=10%,Table2[[#This Row],[Profit_Margin %]]&lt;=20%),"Good","Needs Improvement"))</f>
        <v>Excellent</v>
      </c>
    </row>
    <row r="63" spans="1:4" x14ac:dyDescent="0.25">
      <c r="A63" s="99">
        <f>PRODUCT(Table1[[#This Row],[Quantity]],Table1[[#This Row],[Unit_Price]])</f>
        <v>800.4</v>
      </c>
      <c r="B63" s="47">
        <v>144.11000000000001</v>
      </c>
      <c r="C63" s="38">
        <f>Table2[[#This Row],[Profit]]/Table2[[#This Row],[Total_Sales]]</f>
        <v>0.18004747626186909</v>
      </c>
      <c r="D63" s="30" t="str">
        <f>IF(AND(Table2[[#This Row],[Profit_Margin %]]&gt;20%,Table2[[#This Row],[Total_Sales]]&gt;2000),"Excellent",IF(AND(Table2[[#This Row],[Profit_Margin %]]&gt;=10%,Table2[[#This Row],[Profit_Margin %]]&lt;=20%),"Good","Needs Improvement"))</f>
        <v>Good</v>
      </c>
    </row>
    <row r="64" spans="1:4" x14ac:dyDescent="0.25">
      <c r="A64" s="99">
        <f>PRODUCT(Table1[[#This Row],[Quantity]],Table1[[#This Row],[Unit_Price]])</f>
        <v>1673.2800000000002</v>
      </c>
      <c r="B64" s="47">
        <v>196.54</v>
      </c>
      <c r="C64" s="38">
        <f>Table2[[#This Row],[Profit]]/Table2[[#This Row],[Total_Sales]]</f>
        <v>0.11745792694587874</v>
      </c>
      <c r="D64" s="30" t="str">
        <f>IF(AND(Table2[[#This Row],[Profit_Margin %]]&gt;20%,Table2[[#This Row],[Total_Sales]]&gt;2000),"Excellent",IF(AND(Table2[[#This Row],[Profit_Margin %]]&gt;=10%,Table2[[#This Row],[Profit_Margin %]]&lt;=20%),"Good","Needs Improvement"))</f>
        <v>Good</v>
      </c>
    </row>
    <row r="65" spans="1:4" x14ac:dyDescent="0.25">
      <c r="A65" s="99">
        <f>PRODUCT(Table1[[#This Row],[Quantity]],Table1[[#This Row],[Unit_Price]])</f>
        <v>1186.06</v>
      </c>
      <c r="B65" s="47">
        <v>341.73</v>
      </c>
      <c r="C65" s="38">
        <f>Table2[[#This Row],[Profit]]/Table2[[#This Row],[Total_Sales]]</f>
        <v>0.28812201743588017</v>
      </c>
      <c r="D65" s="30" t="str">
        <f>IF(AND(Table2[[#This Row],[Profit_Margin %]]&gt;20%,Table2[[#This Row],[Total_Sales]]&gt;2000),"Excellent",IF(AND(Table2[[#This Row],[Profit_Margin %]]&gt;=10%,Table2[[#This Row],[Profit_Margin %]]&lt;=20%),"Good","Needs Improvement"))</f>
        <v>Needs Improvement</v>
      </c>
    </row>
    <row r="66" spans="1:4" x14ac:dyDescent="0.25">
      <c r="A66" s="99">
        <f>PRODUCT(Table1[[#This Row],[Quantity]],Table1[[#This Row],[Unit_Price]])</f>
        <v>46.18</v>
      </c>
      <c r="B66" s="47">
        <v>12.66</v>
      </c>
      <c r="C66" s="38">
        <f>Table2[[#This Row],[Profit]]/Table2[[#This Row],[Total_Sales]]</f>
        <v>0.27414465136422694</v>
      </c>
      <c r="D66" s="30" t="str">
        <f>IF(AND(Table2[[#This Row],[Profit_Margin %]]&gt;20%,Table2[[#This Row],[Total_Sales]]&gt;2000),"Excellent",IF(AND(Table2[[#This Row],[Profit_Margin %]]&gt;=10%,Table2[[#This Row],[Profit_Margin %]]&lt;=20%),"Good","Needs Improvement"))</f>
        <v>Needs Improvement</v>
      </c>
    </row>
    <row r="67" spans="1:4" x14ac:dyDescent="0.25">
      <c r="A67" s="99">
        <f>PRODUCT(Table1[[#This Row],[Quantity]],Table1[[#This Row],[Unit_Price]])</f>
        <v>1872.4</v>
      </c>
      <c r="B67" s="47">
        <v>549.39</v>
      </c>
      <c r="C67" s="38">
        <f>Table2[[#This Row],[Profit]]/Table2[[#This Row],[Total_Sales]]</f>
        <v>0.29341486861781668</v>
      </c>
      <c r="D67" s="30" t="str">
        <f>IF(AND(Table2[[#This Row],[Profit_Margin %]]&gt;20%,Table2[[#This Row],[Total_Sales]]&gt;2000),"Excellent",IF(AND(Table2[[#This Row],[Profit_Margin %]]&gt;=10%,Table2[[#This Row],[Profit_Margin %]]&lt;=20%),"Good","Needs Improvement"))</f>
        <v>Needs Improvement</v>
      </c>
    </row>
    <row r="68" spans="1:4" x14ac:dyDescent="0.25">
      <c r="A68" s="99">
        <f>PRODUCT(Table1[[#This Row],[Quantity]],Table1[[#This Row],[Unit_Price]])</f>
        <v>2451.4299999999998</v>
      </c>
      <c r="B68" s="47">
        <v>960.39</v>
      </c>
      <c r="C68" s="38">
        <f>Table2[[#This Row],[Profit]]/Table2[[#This Row],[Total_Sales]]</f>
        <v>0.39176725421488684</v>
      </c>
      <c r="D68" s="30" t="str">
        <f>IF(AND(Table2[[#This Row],[Profit_Margin %]]&gt;20%,Table2[[#This Row],[Total_Sales]]&gt;2000),"Excellent",IF(AND(Table2[[#This Row],[Profit_Margin %]]&gt;=10%,Table2[[#This Row],[Profit_Margin %]]&lt;=20%),"Good","Needs Improvement"))</f>
        <v>Excellent</v>
      </c>
    </row>
    <row r="69" spans="1:4" x14ac:dyDescent="0.25">
      <c r="A69" s="99">
        <f>PRODUCT(Table1[[#This Row],[Quantity]],Table1[[#This Row],[Unit_Price]])</f>
        <v>333.45</v>
      </c>
      <c r="B69" s="47">
        <v>125.31</v>
      </c>
      <c r="C69" s="38">
        <f>Table2[[#This Row],[Profit]]/Table2[[#This Row],[Total_Sales]]</f>
        <v>0.37579847053531268</v>
      </c>
      <c r="D69" s="30" t="str">
        <f>IF(AND(Table2[[#This Row],[Profit_Margin %]]&gt;20%,Table2[[#This Row],[Total_Sales]]&gt;2000),"Excellent",IF(AND(Table2[[#This Row],[Profit_Margin %]]&gt;=10%,Table2[[#This Row],[Profit_Margin %]]&lt;=20%),"Good","Needs Improvement"))</f>
        <v>Needs Improvement</v>
      </c>
    </row>
    <row r="70" spans="1:4" x14ac:dyDescent="0.25">
      <c r="A70" s="99">
        <f>PRODUCT(Table1[[#This Row],[Quantity]],Table1[[#This Row],[Unit_Price]])</f>
        <v>288.45</v>
      </c>
      <c r="B70" s="47">
        <v>35.729999999999997</v>
      </c>
      <c r="C70" s="38">
        <f>Table2[[#This Row],[Profit]]/Table2[[#This Row],[Total_Sales]]</f>
        <v>0.12386895475819032</v>
      </c>
      <c r="D70" s="30" t="str">
        <f>IF(AND(Table2[[#This Row],[Profit_Margin %]]&gt;20%,Table2[[#This Row],[Total_Sales]]&gt;2000),"Excellent",IF(AND(Table2[[#This Row],[Profit_Margin %]]&gt;=10%,Table2[[#This Row],[Profit_Margin %]]&lt;=20%),"Good","Needs Improvement"))</f>
        <v>Good</v>
      </c>
    </row>
    <row r="71" spans="1:4" x14ac:dyDescent="0.25">
      <c r="A71" s="99">
        <f>PRODUCT(Table1[[#This Row],[Quantity]],Table1[[#This Row],[Unit_Price]])</f>
        <v>1548.36</v>
      </c>
      <c r="B71" s="47">
        <v>559.6</v>
      </c>
      <c r="C71" s="38">
        <f>Table2[[#This Row],[Profit]]/Table2[[#This Row],[Total_Sales]]</f>
        <v>0.36141465808984996</v>
      </c>
      <c r="D71" s="30" t="str">
        <f>IF(AND(Table2[[#This Row],[Profit_Margin %]]&gt;20%,Table2[[#This Row],[Total_Sales]]&gt;2000),"Excellent",IF(AND(Table2[[#This Row],[Profit_Margin %]]&gt;=10%,Table2[[#This Row],[Profit_Margin %]]&lt;=20%),"Good","Needs Improvement"))</f>
        <v>Needs Improvement</v>
      </c>
    </row>
    <row r="72" spans="1:4" x14ac:dyDescent="0.25">
      <c r="A72" s="99">
        <f>PRODUCT(Table1[[#This Row],[Quantity]],Table1[[#This Row],[Unit_Price]])</f>
        <v>2108.04</v>
      </c>
      <c r="B72" s="47">
        <v>676.34</v>
      </c>
      <c r="C72" s="38">
        <f>Table2[[#This Row],[Profit]]/Table2[[#This Row],[Total_Sales]]</f>
        <v>0.32083831426348647</v>
      </c>
      <c r="D72" s="30" t="str">
        <f>IF(AND(Table2[[#This Row],[Profit_Margin %]]&gt;20%,Table2[[#This Row],[Total_Sales]]&gt;2000),"Excellent",IF(AND(Table2[[#This Row],[Profit_Margin %]]&gt;=10%,Table2[[#This Row],[Profit_Margin %]]&lt;=20%),"Good","Needs Improvement"))</f>
        <v>Excellent</v>
      </c>
    </row>
    <row r="73" spans="1:4" x14ac:dyDescent="0.25">
      <c r="A73" s="99">
        <f>PRODUCT(Table1[[#This Row],[Quantity]],Table1[[#This Row],[Unit_Price]])</f>
        <v>989.81999999999994</v>
      </c>
      <c r="B73" s="47">
        <v>237</v>
      </c>
      <c r="C73" s="38">
        <f>Table2[[#This Row],[Profit]]/Table2[[#This Row],[Total_Sales]]</f>
        <v>0.2394374734800267</v>
      </c>
      <c r="D73" s="30" t="str">
        <f>IF(AND(Table2[[#This Row],[Profit_Margin %]]&gt;20%,Table2[[#This Row],[Total_Sales]]&gt;2000),"Excellent",IF(AND(Table2[[#This Row],[Profit_Margin %]]&gt;=10%,Table2[[#This Row],[Profit_Margin %]]&lt;=20%),"Good","Needs Improvement"))</f>
        <v>Needs Improvement</v>
      </c>
    </row>
    <row r="74" spans="1:4" x14ac:dyDescent="0.25">
      <c r="A74" s="99">
        <f>PRODUCT(Table1[[#This Row],[Quantity]],Table1[[#This Row],[Unit_Price]])</f>
        <v>350.82</v>
      </c>
      <c r="B74" s="47">
        <v>100.26</v>
      </c>
      <c r="C74" s="38">
        <f>Table2[[#This Row],[Profit]]/Table2[[#This Row],[Total_Sales]]</f>
        <v>0.28578758337609034</v>
      </c>
      <c r="D74" s="30" t="str">
        <f>IF(AND(Table2[[#This Row],[Profit_Margin %]]&gt;20%,Table2[[#This Row],[Total_Sales]]&gt;2000),"Excellent",IF(AND(Table2[[#This Row],[Profit_Margin %]]&gt;=10%,Table2[[#This Row],[Profit_Margin %]]&lt;=20%),"Good","Needs Improvement"))</f>
        <v>Needs Improvement</v>
      </c>
    </row>
    <row r="75" spans="1:4" x14ac:dyDescent="0.25">
      <c r="A75" s="99">
        <f>PRODUCT(Table1[[#This Row],[Quantity]],Table1[[#This Row],[Unit_Price]])</f>
        <v>502.03999999999996</v>
      </c>
      <c r="B75" s="47">
        <v>181.91</v>
      </c>
      <c r="C75" s="38">
        <f>Table2[[#This Row],[Profit]]/Table2[[#This Row],[Total_Sales]]</f>
        <v>0.3623416460839774</v>
      </c>
      <c r="D75" s="30" t="str">
        <f>IF(AND(Table2[[#This Row],[Profit_Margin %]]&gt;20%,Table2[[#This Row],[Total_Sales]]&gt;2000),"Excellent",IF(AND(Table2[[#This Row],[Profit_Margin %]]&gt;=10%,Table2[[#This Row],[Profit_Margin %]]&lt;=20%),"Good","Needs Improvement"))</f>
        <v>Needs Improvement</v>
      </c>
    </row>
    <row r="76" spans="1:4" x14ac:dyDescent="0.25">
      <c r="A76" s="99">
        <f>PRODUCT(Table1[[#This Row],[Quantity]],Table1[[#This Row],[Unit_Price]])</f>
        <v>1047.1300000000001</v>
      </c>
      <c r="B76" s="47">
        <v>221.65</v>
      </c>
      <c r="C76" s="38">
        <f>Table2[[#This Row],[Profit]]/Table2[[#This Row],[Total_Sales]]</f>
        <v>0.21167381318460934</v>
      </c>
      <c r="D76" s="30" t="str">
        <f>IF(AND(Table2[[#This Row],[Profit_Margin %]]&gt;20%,Table2[[#This Row],[Total_Sales]]&gt;2000),"Excellent",IF(AND(Table2[[#This Row],[Profit_Margin %]]&gt;=10%,Table2[[#This Row],[Profit_Margin %]]&lt;=20%),"Good","Needs Improvement"))</f>
        <v>Needs Improvement</v>
      </c>
    </row>
    <row r="77" spans="1:4" x14ac:dyDescent="0.25">
      <c r="A77" s="99">
        <f>PRODUCT(Table1[[#This Row],[Quantity]],Table1[[#This Row],[Unit_Price]])</f>
        <v>1031.94</v>
      </c>
      <c r="B77" s="47">
        <v>219.49</v>
      </c>
      <c r="C77" s="38">
        <f>Table2[[#This Row],[Profit]]/Table2[[#This Row],[Total_Sales]]</f>
        <v>0.2126964746012365</v>
      </c>
      <c r="D77" s="30" t="str">
        <f>IF(AND(Table2[[#This Row],[Profit_Margin %]]&gt;20%,Table2[[#This Row],[Total_Sales]]&gt;2000),"Excellent",IF(AND(Table2[[#This Row],[Profit_Margin %]]&gt;=10%,Table2[[#This Row],[Profit_Margin %]]&lt;=20%),"Good","Needs Improvement"))</f>
        <v>Needs Improvement</v>
      </c>
    </row>
    <row r="78" spans="1:4" x14ac:dyDescent="0.25">
      <c r="A78" s="99">
        <f>PRODUCT(Table1[[#This Row],[Quantity]],Table1[[#This Row],[Unit_Price]])</f>
        <v>1108.3800000000001</v>
      </c>
      <c r="B78" s="47">
        <v>307.82</v>
      </c>
      <c r="C78" s="38">
        <f>Table2[[#This Row],[Profit]]/Table2[[#This Row],[Total_Sales]]</f>
        <v>0.27772063732654861</v>
      </c>
      <c r="D78" s="30" t="str">
        <f>IF(AND(Table2[[#This Row],[Profit_Margin %]]&gt;20%,Table2[[#This Row],[Total_Sales]]&gt;2000),"Excellent",IF(AND(Table2[[#This Row],[Profit_Margin %]]&gt;=10%,Table2[[#This Row],[Profit_Margin %]]&lt;=20%),"Good","Needs Improvement"))</f>
        <v>Needs Improvement</v>
      </c>
    </row>
    <row r="79" spans="1:4" x14ac:dyDescent="0.25">
      <c r="A79" s="99">
        <f>PRODUCT(Table1[[#This Row],[Quantity]],Table1[[#This Row],[Unit_Price]])</f>
        <v>1486.5</v>
      </c>
      <c r="B79" s="47">
        <v>389.73</v>
      </c>
      <c r="C79" s="38">
        <f>Table2[[#This Row],[Profit]]/Table2[[#This Row],[Total_Sales]]</f>
        <v>0.26217961654894045</v>
      </c>
      <c r="D79" s="30" t="str">
        <f>IF(AND(Table2[[#This Row],[Profit_Margin %]]&gt;20%,Table2[[#This Row],[Total_Sales]]&gt;2000),"Excellent",IF(AND(Table2[[#This Row],[Profit_Margin %]]&gt;=10%,Table2[[#This Row],[Profit_Margin %]]&lt;=20%),"Good","Needs Improvement"))</f>
        <v>Needs Improvement</v>
      </c>
    </row>
    <row r="80" spans="1:4" x14ac:dyDescent="0.25">
      <c r="A80" s="99">
        <f>PRODUCT(Table1[[#This Row],[Quantity]],Table1[[#This Row],[Unit_Price]])</f>
        <v>801.83999999999992</v>
      </c>
      <c r="B80" s="47">
        <v>153.79</v>
      </c>
      <c r="C80" s="38">
        <f>Table2[[#This Row],[Profit]]/Table2[[#This Row],[Total_Sales]]</f>
        <v>0.1917963683527886</v>
      </c>
      <c r="D80" s="30" t="str">
        <f>IF(AND(Table2[[#This Row],[Profit_Margin %]]&gt;20%,Table2[[#This Row],[Total_Sales]]&gt;2000),"Excellent",IF(AND(Table2[[#This Row],[Profit_Margin %]]&gt;=10%,Table2[[#This Row],[Profit_Margin %]]&lt;=20%),"Good","Needs Improvement"))</f>
        <v>Good</v>
      </c>
    </row>
    <row r="81" spans="1:4" x14ac:dyDescent="0.25">
      <c r="A81" s="99">
        <f>PRODUCT(Table1[[#This Row],[Quantity]],Table1[[#This Row],[Unit_Price]])</f>
        <v>1169.28</v>
      </c>
      <c r="B81" s="47">
        <v>343.68</v>
      </c>
      <c r="C81" s="38">
        <f>Table2[[#This Row],[Profit]]/Table2[[#This Row],[Total_Sales]]</f>
        <v>0.29392446633825947</v>
      </c>
      <c r="D81" s="30" t="str">
        <f>IF(AND(Table2[[#This Row],[Profit_Margin %]]&gt;20%,Table2[[#This Row],[Total_Sales]]&gt;2000),"Excellent",IF(AND(Table2[[#This Row],[Profit_Margin %]]&gt;=10%,Table2[[#This Row],[Profit_Margin %]]&lt;=20%),"Good","Needs Improvement"))</f>
        <v>Needs Improvement</v>
      </c>
    </row>
    <row r="82" spans="1:4" x14ac:dyDescent="0.25">
      <c r="A82" s="99">
        <f>PRODUCT(Table1[[#This Row],[Quantity]],Table1[[#This Row],[Unit_Price]])</f>
        <v>1118</v>
      </c>
      <c r="B82" s="47">
        <v>180.41</v>
      </c>
      <c r="C82" s="38">
        <f>Table2[[#This Row],[Profit]]/Table2[[#This Row],[Total_Sales]]</f>
        <v>0.16136851520572451</v>
      </c>
      <c r="D82" s="30" t="str">
        <f>IF(AND(Table2[[#This Row],[Profit_Margin %]]&gt;20%,Table2[[#This Row],[Total_Sales]]&gt;2000),"Excellent",IF(AND(Table2[[#This Row],[Profit_Margin %]]&gt;=10%,Table2[[#This Row],[Profit_Margin %]]&lt;=20%),"Good","Needs Improvement"))</f>
        <v>Good</v>
      </c>
    </row>
    <row r="83" spans="1:4" x14ac:dyDescent="0.25">
      <c r="A83" s="99">
        <f>PRODUCT(Table1[[#This Row],[Quantity]],Table1[[#This Row],[Unit_Price]])</f>
        <v>843.99</v>
      </c>
      <c r="B83" s="47">
        <v>223.59</v>
      </c>
      <c r="C83" s="38">
        <f>Table2[[#This Row],[Profit]]/Table2[[#This Row],[Total_Sales]]</f>
        <v>0.26492020047630899</v>
      </c>
      <c r="D83" s="30" t="str">
        <f>IF(AND(Table2[[#This Row],[Profit_Margin %]]&gt;20%,Table2[[#This Row],[Total_Sales]]&gt;2000),"Excellent",IF(AND(Table2[[#This Row],[Profit_Margin %]]&gt;=10%,Table2[[#This Row],[Profit_Margin %]]&lt;=20%),"Good","Needs Improvement"))</f>
        <v>Needs Improvement</v>
      </c>
    </row>
    <row r="84" spans="1:4" x14ac:dyDescent="0.25">
      <c r="A84" s="99">
        <f>PRODUCT(Table1[[#This Row],[Quantity]],Table1[[#This Row],[Unit_Price]])</f>
        <v>433.42000000000007</v>
      </c>
      <c r="B84" s="47">
        <v>69.13</v>
      </c>
      <c r="C84" s="38">
        <f>Table2[[#This Row],[Profit]]/Table2[[#This Row],[Total_Sales]]</f>
        <v>0.15949886945687783</v>
      </c>
      <c r="D84" s="30" t="str">
        <f>IF(AND(Table2[[#This Row],[Profit_Margin %]]&gt;20%,Table2[[#This Row],[Total_Sales]]&gt;2000),"Excellent",IF(AND(Table2[[#This Row],[Profit_Margin %]]&gt;=10%,Table2[[#This Row],[Profit_Margin %]]&lt;=20%),"Good","Needs Improvement"))</f>
        <v>Good</v>
      </c>
    </row>
    <row r="85" spans="1:4" x14ac:dyDescent="0.25">
      <c r="A85" s="99">
        <f>PRODUCT(Table1[[#This Row],[Quantity]],Table1[[#This Row],[Unit_Price]])</f>
        <v>1115.8</v>
      </c>
      <c r="B85" s="47">
        <v>175.93</v>
      </c>
      <c r="C85" s="38">
        <f>Table2[[#This Row],[Profit]]/Table2[[#This Row],[Total_Sales]]</f>
        <v>0.15767162573937982</v>
      </c>
      <c r="D85" s="30" t="str">
        <f>IF(AND(Table2[[#This Row],[Profit_Margin %]]&gt;20%,Table2[[#This Row],[Total_Sales]]&gt;2000),"Excellent",IF(AND(Table2[[#This Row],[Profit_Margin %]]&gt;=10%,Table2[[#This Row],[Profit_Margin %]]&lt;=20%),"Good","Needs Improvement"))</f>
        <v>Good</v>
      </c>
    </row>
    <row r="86" spans="1:4" x14ac:dyDescent="0.25">
      <c r="A86" s="99">
        <f>PRODUCT(Table1[[#This Row],[Quantity]],Table1[[#This Row],[Unit_Price]])</f>
        <v>750.59</v>
      </c>
      <c r="B86" s="47">
        <v>102.79</v>
      </c>
      <c r="C86" s="38">
        <f>Table2[[#This Row],[Profit]]/Table2[[#This Row],[Total_Sales]]</f>
        <v>0.13694560279246992</v>
      </c>
      <c r="D86" s="30" t="str">
        <f>IF(AND(Table2[[#This Row],[Profit_Margin %]]&gt;20%,Table2[[#This Row],[Total_Sales]]&gt;2000),"Excellent",IF(AND(Table2[[#This Row],[Profit_Margin %]]&gt;=10%,Table2[[#This Row],[Profit_Margin %]]&lt;=20%),"Good","Needs Improvement"))</f>
        <v>Good</v>
      </c>
    </row>
    <row r="87" spans="1:4" x14ac:dyDescent="0.25">
      <c r="A87" s="99">
        <f>PRODUCT(Table1[[#This Row],[Quantity]],Table1[[#This Row],[Unit_Price]])</f>
        <v>1500.8</v>
      </c>
      <c r="B87" s="47">
        <v>312.25</v>
      </c>
      <c r="C87" s="38">
        <f>Table2[[#This Row],[Profit]]/Table2[[#This Row],[Total_Sales]]</f>
        <v>0.20805570362473347</v>
      </c>
      <c r="D87" s="30" t="str">
        <f>IF(AND(Table2[[#This Row],[Profit_Margin %]]&gt;20%,Table2[[#This Row],[Total_Sales]]&gt;2000),"Excellent",IF(AND(Table2[[#This Row],[Profit_Margin %]]&gt;=10%,Table2[[#This Row],[Profit_Margin %]]&lt;=20%),"Good","Needs Improvement"))</f>
        <v>Needs Improvement</v>
      </c>
    </row>
    <row r="88" spans="1:4" x14ac:dyDescent="0.25">
      <c r="A88" s="99">
        <f>PRODUCT(Table1[[#This Row],[Quantity]],Table1[[#This Row],[Unit_Price]])</f>
        <v>1481.85</v>
      </c>
      <c r="B88" s="47">
        <v>400.25</v>
      </c>
      <c r="C88" s="38">
        <f>Table2[[#This Row],[Profit]]/Table2[[#This Row],[Total_Sales]]</f>
        <v>0.2701015622363937</v>
      </c>
      <c r="D88" s="30" t="str">
        <f>IF(AND(Table2[[#This Row],[Profit_Margin %]]&gt;20%,Table2[[#This Row],[Total_Sales]]&gt;2000),"Excellent",IF(AND(Table2[[#This Row],[Profit_Margin %]]&gt;=10%,Table2[[#This Row],[Profit_Margin %]]&lt;=20%),"Good","Needs Improvement"))</f>
        <v>Needs Improvement</v>
      </c>
    </row>
    <row r="89" spans="1:4" x14ac:dyDescent="0.25">
      <c r="A89" s="99">
        <f>PRODUCT(Table1[[#This Row],[Quantity]],Table1[[#This Row],[Unit_Price]])</f>
        <v>1968.3000000000002</v>
      </c>
      <c r="B89" s="47">
        <v>312.75</v>
      </c>
      <c r="C89" s="38">
        <f>Table2[[#This Row],[Profit]]/Table2[[#This Row],[Total_Sales]]</f>
        <v>0.15889346136259716</v>
      </c>
      <c r="D89" s="30" t="str">
        <f>IF(AND(Table2[[#This Row],[Profit_Margin %]]&gt;20%,Table2[[#This Row],[Total_Sales]]&gt;2000),"Excellent",IF(AND(Table2[[#This Row],[Profit_Margin %]]&gt;=10%,Table2[[#This Row],[Profit_Margin %]]&lt;=20%),"Good","Needs Improvement"))</f>
        <v>Good</v>
      </c>
    </row>
    <row r="90" spans="1:4" x14ac:dyDescent="0.25">
      <c r="A90" s="99">
        <f>PRODUCT(Table1[[#This Row],[Quantity]],Table1[[#This Row],[Unit_Price]])</f>
        <v>221.67</v>
      </c>
      <c r="B90" s="47">
        <v>68.64</v>
      </c>
      <c r="C90" s="38">
        <f>Table2[[#This Row],[Profit]]/Table2[[#This Row],[Total_Sales]]</f>
        <v>0.30964947895520373</v>
      </c>
      <c r="D90" s="30" t="str">
        <f>IF(AND(Table2[[#This Row],[Profit_Margin %]]&gt;20%,Table2[[#This Row],[Total_Sales]]&gt;2000),"Excellent",IF(AND(Table2[[#This Row],[Profit_Margin %]]&gt;=10%,Table2[[#This Row],[Profit_Margin %]]&lt;=20%),"Good","Needs Improvement"))</f>
        <v>Needs Improvement</v>
      </c>
    </row>
    <row r="91" spans="1:4" x14ac:dyDescent="0.25">
      <c r="A91" s="99">
        <f>PRODUCT(Table1[[#This Row],[Quantity]],Table1[[#This Row],[Unit_Price]])</f>
        <v>130.74</v>
      </c>
      <c r="B91" s="47">
        <v>29.99</v>
      </c>
      <c r="C91" s="38">
        <f>Table2[[#This Row],[Profit]]/Table2[[#This Row],[Total_Sales]]</f>
        <v>0.22938656876242922</v>
      </c>
      <c r="D91" s="30" t="str">
        <f>IF(AND(Table2[[#This Row],[Profit_Margin %]]&gt;20%,Table2[[#This Row],[Total_Sales]]&gt;2000),"Excellent",IF(AND(Table2[[#This Row],[Profit_Margin %]]&gt;=10%,Table2[[#This Row],[Profit_Margin %]]&lt;=20%),"Good","Needs Improvement"))</f>
        <v>Needs Improvement</v>
      </c>
    </row>
    <row r="92" spans="1:4" x14ac:dyDescent="0.25">
      <c r="A92" s="99">
        <f>PRODUCT(Table1[[#This Row],[Quantity]],Table1[[#This Row],[Unit_Price]])</f>
        <v>1343.89</v>
      </c>
      <c r="B92" s="47">
        <v>500.16</v>
      </c>
      <c r="C92" s="38">
        <f>Table2[[#This Row],[Profit]]/Table2[[#This Row],[Total_Sales]]</f>
        <v>0.37217331775666163</v>
      </c>
      <c r="D92" s="30" t="str">
        <f>IF(AND(Table2[[#This Row],[Profit_Margin %]]&gt;20%,Table2[[#This Row],[Total_Sales]]&gt;2000),"Excellent",IF(AND(Table2[[#This Row],[Profit_Margin %]]&gt;=10%,Table2[[#This Row],[Profit_Margin %]]&lt;=20%),"Good","Needs Improvement"))</f>
        <v>Needs Improvement</v>
      </c>
    </row>
    <row r="93" spans="1:4" x14ac:dyDescent="0.25">
      <c r="A93" s="99">
        <f>PRODUCT(Table1[[#This Row],[Quantity]],Table1[[#This Row],[Unit_Price]])</f>
        <v>1274.1400000000001</v>
      </c>
      <c r="B93" s="47">
        <v>428.41</v>
      </c>
      <c r="C93" s="38">
        <f>Table2[[#This Row],[Profit]]/Table2[[#This Row],[Total_Sales]]</f>
        <v>0.33623463669612441</v>
      </c>
      <c r="D93" s="30" t="str">
        <f>IF(AND(Table2[[#This Row],[Profit_Margin %]]&gt;20%,Table2[[#This Row],[Total_Sales]]&gt;2000),"Excellent",IF(AND(Table2[[#This Row],[Profit_Margin %]]&gt;=10%,Table2[[#This Row],[Profit_Margin %]]&lt;=20%),"Good","Needs Improvement"))</f>
        <v>Needs Improvement</v>
      </c>
    </row>
    <row r="94" spans="1:4" x14ac:dyDescent="0.25">
      <c r="A94" s="99">
        <f>PRODUCT(Table1[[#This Row],[Quantity]],Table1[[#This Row],[Unit_Price]])</f>
        <v>100.52</v>
      </c>
      <c r="B94" s="47">
        <v>22.92</v>
      </c>
      <c r="C94" s="38">
        <f>Table2[[#This Row],[Profit]]/Table2[[#This Row],[Total_Sales]]</f>
        <v>0.22801432550736175</v>
      </c>
      <c r="D94" s="30" t="str">
        <f>IF(AND(Table2[[#This Row],[Profit_Margin %]]&gt;20%,Table2[[#This Row],[Total_Sales]]&gt;2000),"Excellent",IF(AND(Table2[[#This Row],[Profit_Margin %]]&gt;=10%,Table2[[#This Row],[Profit_Margin %]]&lt;=20%),"Good","Needs Improvement"))</f>
        <v>Needs Improvement</v>
      </c>
    </row>
    <row r="95" spans="1:4" x14ac:dyDescent="0.25">
      <c r="A95" s="99">
        <f>PRODUCT(Table1[[#This Row],[Quantity]],Table1[[#This Row],[Unit_Price]])</f>
        <v>502.84</v>
      </c>
      <c r="B95" s="47">
        <v>73.33</v>
      </c>
      <c r="C95" s="38">
        <f>Table2[[#This Row],[Profit]]/Table2[[#This Row],[Total_Sales]]</f>
        <v>0.14583167607986636</v>
      </c>
      <c r="D95" s="30" t="str">
        <f>IF(AND(Table2[[#This Row],[Profit_Margin %]]&gt;20%,Table2[[#This Row],[Total_Sales]]&gt;2000),"Excellent",IF(AND(Table2[[#This Row],[Profit_Margin %]]&gt;=10%,Table2[[#This Row],[Profit_Margin %]]&lt;=20%),"Good","Needs Improvement"))</f>
        <v>Good</v>
      </c>
    </row>
    <row r="96" spans="1:4" x14ac:dyDescent="0.25">
      <c r="A96" s="99">
        <f>PRODUCT(Table1[[#This Row],[Quantity]],Table1[[#This Row],[Unit_Price]])</f>
        <v>931.06000000000006</v>
      </c>
      <c r="B96" s="47">
        <v>350</v>
      </c>
      <c r="C96" s="38">
        <f>Table2[[#This Row],[Profit]]/Table2[[#This Row],[Total_Sales]]</f>
        <v>0.37591562305329407</v>
      </c>
      <c r="D96" s="30" t="str">
        <f>IF(AND(Table2[[#This Row],[Profit_Margin %]]&gt;20%,Table2[[#This Row],[Total_Sales]]&gt;2000),"Excellent",IF(AND(Table2[[#This Row],[Profit_Margin %]]&gt;=10%,Table2[[#This Row],[Profit_Margin %]]&lt;=20%),"Good","Needs Improvement"))</f>
        <v>Needs Improvement</v>
      </c>
    </row>
    <row r="97" spans="1:4" x14ac:dyDescent="0.25">
      <c r="A97" s="99">
        <f>PRODUCT(Table1[[#This Row],[Quantity]],Table1[[#This Row],[Unit_Price]])</f>
        <v>1677.9</v>
      </c>
      <c r="B97" s="47">
        <v>638.95000000000005</v>
      </c>
      <c r="C97" s="38">
        <f>Table2[[#This Row],[Profit]]/Table2[[#This Row],[Total_Sales]]</f>
        <v>0.38080338518386081</v>
      </c>
      <c r="D97" s="30" t="str">
        <f>IF(AND(Table2[[#This Row],[Profit_Margin %]]&gt;20%,Table2[[#This Row],[Total_Sales]]&gt;2000),"Excellent",IF(AND(Table2[[#This Row],[Profit_Margin %]]&gt;=10%,Table2[[#This Row],[Profit_Margin %]]&lt;=20%),"Good","Needs Improvement"))</f>
        <v>Needs Improvement</v>
      </c>
    </row>
    <row r="98" spans="1:4" x14ac:dyDescent="0.25">
      <c r="A98" s="99">
        <f>PRODUCT(Table1[[#This Row],[Quantity]],Table1[[#This Row],[Unit_Price]])</f>
        <v>1899.2399999999998</v>
      </c>
      <c r="B98" s="47">
        <v>456.33</v>
      </c>
      <c r="C98" s="38">
        <f>Table2[[#This Row],[Profit]]/Table2[[#This Row],[Total_Sales]]</f>
        <v>0.24026979212737729</v>
      </c>
      <c r="D98" s="30" t="str">
        <f>IF(AND(Table2[[#This Row],[Profit_Margin %]]&gt;20%,Table2[[#This Row],[Total_Sales]]&gt;2000),"Excellent",IF(AND(Table2[[#This Row],[Profit_Margin %]]&gt;=10%,Table2[[#This Row],[Profit_Margin %]]&lt;=20%),"Good","Needs Improvement"))</f>
        <v>Needs Improvement</v>
      </c>
    </row>
    <row r="99" spans="1:4" x14ac:dyDescent="0.25">
      <c r="A99" s="99">
        <f>PRODUCT(Table1[[#This Row],[Quantity]],Table1[[#This Row],[Unit_Price]])</f>
        <v>45.84</v>
      </c>
      <c r="B99" s="47">
        <v>16.579999999999998</v>
      </c>
      <c r="C99" s="38">
        <f>Table2[[#This Row],[Profit]]/Table2[[#This Row],[Total_Sales]]</f>
        <v>0.3616928446771378</v>
      </c>
      <c r="D99" s="30" t="str">
        <f>IF(AND(Table2[[#This Row],[Profit_Margin %]]&gt;20%,Table2[[#This Row],[Total_Sales]]&gt;2000),"Excellent",IF(AND(Table2[[#This Row],[Profit_Margin %]]&gt;=10%,Table2[[#This Row],[Profit_Margin %]]&lt;=20%),"Good","Needs Improvement"))</f>
        <v>Needs Improvement</v>
      </c>
    </row>
    <row r="100" spans="1:4" x14ac:dyDescent="0.25">
      <c r="A100" s="99">
        <f>PRODUCT(Table1[[#This Row],[Quantity]],Table1[[#This Row],[Unit_Price]])</f>
        <v>1000.92</v>
      </c>
      <c r="B100" s="47">
        <v>269.04000000000002</v>
      </c>
      <c r="C100" s="38">
        <f>Table2[[#This Row],[Profit]]/Table2[[#This Row],[Total_Sales]]</f>
        <v>0.26879271070615035</v>
      </c>
      <c r="D100" s="30" t="str">
        <f>IF(AND(Table2[[#This Row],[Profit_Margin %]]&gt;20%,Table2[[#This Row],[Total_Sales]]&gt;2000),"Excellent",IF(AND(Table2[[#This Row],[Profit_Margin %]]&gt;=10%,Table2[[#This Row],[Profit_Margin %]]&lt;=20%),"Good","Needs Improvement"))</f>
        <v>Needs Improvement</v>
      </c>
    </row>
    <row r="101" spans="1:4" x14ac:dyDescent="0.25">
      <c r="A101" s="99">
        <f>PRODUCT(Table1[[#This Row],[Quantity]],Table1[[#This Row],[Unit_Price]])</f>
        <v>1092.9000000000001</v>
      </c>
      <c r="B101" s="47">
        <v>280.93</v>
      </c>
      <c r="C101" s="38">
        <f>Table2[[#This Row],[Profit]]/Table2[[#This Row],[Total_Sales]]</f>
        <v>0.25705005032482386</v>
      </c>
      <c r="D101" s="30" t="str">
        <f>IF(AND(Table2[[#This Row],[Profit_Margin %]]&gt;20%,Table2[[#This Row],[Total_Sales]]&gt;2000),"Excellent",IF(AND(Table2[[#This Row],[Profit_Margin %]]&gt;=10%,Table2[[#This Row],[Profit_Margin %]]&lt;=20%),"Good","Needs Improvement"))</f>
        <v>Needs Improvement</v>
      </c>
    </row>
    <row r="102" spans="1:4" x14ac:dyDescent="0.25">
      <c r="A102" s="99">
        <f>PRODUCT(Table1[[#This Row],[Quantity]],Table1[[#This Row],[Unit_Price]])</f>
        <v>200.43</v>
      </c>
      <c r="B102" s="47">
        <v>72.47</v>
      </c>
      <c r="C102" s="38">
        <f>Table2[[#This Row],[Profit]]/Table2[[#This Row],[Total_Sales]]</f>
        <v>0.36157261886943071</v>
      </c>
      <c r="D102" s="30" t="str">
        <f>IF(AND(Table2[[#This Row],[Profit_Margin %]]&gt;20%,Table2[[#This Row],[Total_Sales]]&gt;2000),"Excellent",IF(AND(Table2[[#This Row],[Profit_Margin %]]&gt;=10%,Table2[[#This Row],[Profit_Margin %]]&lt;=20%),"Good","Needs Improvement"))</f>
        <v>Needs Improvement</v>
      </c>
    </row>
    <row r="103" spans="1:4" x14ac:dyDescent="0.25">
      <c r="A103" s="99">
        <f>PRODUCT(Table1[[#This Row],[Quantity]],Table1[[#This Row],[Unit_Price]])</f>
        <v>718.9</v>
      </c>
      <c r="B103" s="47">
        <v>269.64999999999998</v>
      </c>
      <c r="C103" s="38">
        <f>Table2[[#This Row],[Profit]]/Table2[[#This Row],[Total_Sales]]</f>
        <v>0.37508693837807761</v>
      </c>
      <c r="D103" s="30" t="str">
        <f>IF(AND(Table2[[#This Row],[Profit_Margin %]]&gt;20%,Table2[[#This Row],[Total_Sales]]&gt;2000),"Excellent",IF(AND(Table2[[#This Row],[Profit_Margin %]]&gt;=10%,Table2[[#This Row],[Profit_Margin %]]&lt;=20%),"Good","Needs Improvement"))</f>
        <v>Needs Improvement</v>
      </c>
    </row>
    <row r="104" spans="1:4" x14ac:dyDescent="0.25">
      <c r="A104" s="99">
        <f>PRODUCT(Table1[[#This Row],[Quantity]],Table1[[#This Row],[Unit_Price]])</f>
        <v>516.35</v>
      </c>
      <c r="B104" s="47">
        <v>144.16999999999999</v>
      </c>
      <c r="C104" s="38">
        <f>Table2[[#This Row],[Profit]]/Table2[[#This Row],[Total_Sales]]</f>
        <v>0.2792098382879829</v>
      </c>
      <c r="D104" s="30" t="str">
        <f>IF(AND(Table2[[#This Row],[Profit_Margin %]]&gt;20%,Table2[[#This Row],[Total_Sales]]&gt;2000),"Excellent",IF(AND(Table2[[#This Row],[Profit_Margin %]]&gt;=10%,Table2[[#This Row],[Profit_Margin %]]&lt;=20%),"Good","Needs Improvement"))</f>
        <v>Needs Improvement</v>
      </c>
    </row>
    <row r="105" spans="1:4" x14ac:dyDescent="0.25">
      <c r="A105" s="99">
        <f>PRODUCT(Table1[[#This Row],[Quantity]],Table1[[#This Row],[Unit_Price]])</f>
        <v>657.9</v>
      </c>
      <c r="B105" s="47">
        <v>168.24</v>
      </c>
      <c r="C105" s="38">
        <f>Table2[[#This Row],[Profit]]/Table2[[#This Row],[Total_Sales]]</f>
        <v>0.25572275421796625</v>
      </c>
      <c r="D105" s="30" t="str">
        <f>IF(AND(Table2[[#This Row],[Profit_Margin %]]&gt;20%,Table2[[#This Row],[Total_Sales]]&gt;2000),"Excellent",IF(AND(Table2[[#This Row],[Profit_Margin %]]&gt;=10%,Table2[[#This Row],[Profit_Margin %]]&lt;=20%),"Good","Needs Improvement"))</f>
        <v>Needs Improvement</v>
      </c>
    </row>
    <row r="106" spans="1:4" x14ac:dyDescent="0.25">
      <c r="A106" s="99">
        <f>PRODUCT(Table1[[#This Row],[Quantity]],Table1[[#This Row],[Unit_Price]])</f>
        <v>942.56000000000006</v>
      </c>
      <c r="B106" s="47">
        <v>343.16</v>
      </c>
      <c r="C106" s="38">
        <f>Table2[[#This Row],[Profit]]/Table2[[#This Row],[Total_Sales]]</f>
        <v>0.36407231369886267</v>
      </c>
      <c r="D106" s="30" t="str">
        <f>IF(AND(Table2[[#This Row],[Profit_Margin %]]&gt;20%,Table2[[#This Row],[Total_Sales]]&gt;2000),"Excellent",IF(AND(Table2[[#This Row],[Profit_Margin %]]&gt;=10%,Table2[[#This Row],[Profit_Margin %]]&lt;=20%),"Good","Needs Improvement"))</f>
        <v>Needs Improvement</v>
      </c>
    </row>
    <row r="107" spans="1:4" x14ac:dyDescent="0.25">
      <c r="A107" s="99">
        <f>PRODUCT(Table1[[#This Row],[Quantity]],Table1[[#This Row],[Unit_Price]])</f>
        <v>168.63</v>
      </c>
      <c r="B107" s="47">
        <v>41.07</v>
      </c>
      <c r="C107" s="38">
        <f>Table2[[#This Row],[Profit]]/Table2[[#This Row],[Total_Sales]]</f>
        <v>0.24355096957836686</v>
      </c>
      <c r="D107" s="30" t="str">
        <f>IF(AND(Table2[[#This Row],[Profit_Margin %]]&gt;20%,Table2[[#This Row],[Total_Sales]]&gt;2000),"Excellent",IF(AND(Table2[[#This Row],[Profit_Margin %]]&gt;=10%,Table2[[#This Row],[Profit_Margin %]]&lt;=20%),"Good","Needs Improvement"))</f>
        <v>Needs Improvement</v>
      </c>
    </row>
    <row r="108" spans="1:4" x14ac:dyDescent="0.25">
      <c r="A108" s="99">
        <f>PRODUCT(Table1[[#This Row],[Quantity]],Table1[[#This Row],[Unit_Price]])</f>
        <v>509.52</v>
      </c>
      <c r="B108" s="47">
        <v>69.069999999999993</v>
      </c>
      <c r="C108" s="38">
        <f>Table2[[#This Row],[Profit]]/Table2[[#This Row],[Total_Sales]]</f>
        <v>0.13555895745014915</v>
      </c>
      <c r="D108" s="30" t="str">
        <f>IF(AND(Table2[[#This Row],[Profit_Margin %]]&gt;20%,Table2[[#This Row],[Total_Sales]]&gt;2000),"Excellent",IF(AND(Table2[[#This Row],[Profit_Margin %]]&gt;=10%,Table2[[#This Row],[Profit_Margin %]]&lt;=20%),"Good","Needs Improvement"))</f>
        <v>Good</v>
      </c>
    </row>
    <row r="109" spans="1:4" x14ac:dyDescent="0.25">
      <c r="A109" s="99">
        <f>PRODUCT(Table1[[#This Row],[Quantity]],Table1[[#This Row],[Unit_Price]])</f>
        <v>1151</v>
      </c>
      <c r="B109" s="47">
        <v>306.7</v>
      </c>
      <c r="C109" s="38">
        <f>Table2[[#This Row],[Profit]]/Table2[[#This Row],[Total_Sales]]</f>
        <v>0.26646394439617721</v>
      </c>
      <c r="D109" s="30" t="str">
        <f>IF(AND(Table2[[#This Row],[Profit_Margin %]]&gt;20%,Table2[[#This Row],[Total_Sales]]&gt;2000),"Excellent",IF(AND(Table2[[#This Row],[Profit_Margin %]]&gt;=10%,Table2[[#This Row],[Profit_Margin %]]&lt;=20%),"Good","Needs Improvement"))</f>
        <v>Needs Improvement</v>
      </c>
    </row>
    <row r="110" spans="1:4" x14ac:dyDescent="0.25">
      <c r="A110" s="99">
        <f>PRODUCT(Table1[[#This Row],[Quantity]],Table1[[#This Row],[Unit_Price]])</f>
        <v>136.08000000000001</v>
      </c>
      <c r="B110" s="47">
        <v>25.24</v>
      </c>
      <c r="C110" s="38">
        <f>Table2[[#This Row],[Profit]]/Table2[[#This Row],[Total_Sales]]</f>
        <v>0.18547912992357435</v>
      </c>
      <c r="D110" s="30" t="str">
        <f>IF(AND(Table2[[#This Row],[Profit_Margin %]]&gt;20%,Table2[[#This Row],[Total_Sales]]&gt;2000),"Excellent",IF(AND(Table2[[#This Row],[Profit_Margin %]]&gt;=10%,Table2[[#This Row],[Profit_Margin %]]&lt;=20%),"Good","Needs Improvement"))</f>
        <v>Good</v>
      </c>
    </row>
    <row r="111" spans="1:4" x14ac:dyDescent="0.25">
      <c r="A111" s="99">
        <f>PRODUCT(Table1[[#This Row],[Quantity]],Table1[[#This Row],[Unit_Price]])</f>
        <v>423.52</v>
      </c>
      <c r="B111" s="47">
        <v>119.65</v>
      </c>
      <c r="C111" s="38">
        <f>Table2[[#This Row],[Profit]]/Table2[[#This Row],[Total_Sales]]</f>
        <v>0.28251322251605593</v>
      </c>
      <c r="D111" s="30" t="str">
        <f>IF(AND(Table2[[#This Row],[Profit_Margin %]]&gt;20%,Table2[[#This Row],[Total_Sales]]&gt;2000),"Excellent",IF(AND(Table2[[#This Row],[Profit_Margin %]]&gt;=10%,Table2[[#This Row],[Profit_Margin %]]&lt;=20%),"Good","Needs Improvement"))</f>
        <v>Needs Improvement</v>
      </c>
    </row>
    <row r="112" spans="1:4" x14ac:dyDescent="0.25">
      <c r="A112" s="99">
        <f>PRODUCT(Table1[[#This Row],[Quantity]],Table1[[#This Row],[Unit_Price]])</f>
        <v>1381.76</v>
      </c>
      <c r="B112" s="47">
        <v>269.22000000000003</v>
      </c>
      <c r="C112" s="38">
        <f>Table2[[#This Row],[Profit]]/Table2[[#This Row],[Total_Sales]]</f>
        <v>0.19483846688281614</v>
      </c>
      <c r="D112" s="30" t="str">
        <f>IF(AND(Table2[[#This Row],[Profit_Margin %]]&gt;20%,Table2[[#This Row],[Total_Sales]]&gt;2000),"Excellent",IF(AND(Table2[[#This Row],[Profit_Margin %]]&gt;=10%,Table2[[#This Row],[Profit_Margin %]]&lt;=20%),"Good","Needs Improvement"))</f>
        <v>Good</v>
      </c>
    </row>
    <row r="113" spans="1:4" x14ac:dyDescent="0.25">
      <c r="A113" s="99">
        <f>PRODUCT(Table1[[#This Row],[Quantity]],Table1[[#This Row],[Unit_Price]])</f>
        <v>546.65000000000009</v>
      </c>
      <c r="B113" s="47">
        <v>83.93</v>
      </c>
      <c r="C113" s="38">
        <f>Table2[[#This Row],[Profit]]/Table2[[#This Row],[Total_Sales]]</f>
        <v>0.15353516875514497</v>
      </c>
      <c r="D113" s="30" t="str">
        <f>IF(AND(Table2[[#This Row],[Profit_Margin %]]&gt;20%,Table2[[#This Row],[Total_Sales]]&gt;2000),"Excellent",IF(AND(Table2[[#This Row],[Profit_Margin %]]&gt;=10%,Table2[[#This Row],[Profit_Margin %]]&lt;=20%),"Good","Needs Improvement"))</f>
        <v>Good</v>
      </c>
    </row>
    <row r="114" spans="1:4" x14ac:dyDescent="0.25">
      <c r="A114" s="99">
        <f>PRODUCT(Table1[[#This Row],[Quantity]],Table1[[#This Row],[Unit_Price]])</f>
        <v>1030.4000000000001</v>
      </c>
      <c r="B114" s="47">
        <v>328.68</v>
      </c>
      <c r="C114" s="38">
        <f>Table2[[#This Row],[Profit]]/Table2[[#This Row],[Total_Sales]]</f>
        <v>0.31898291925465838</v>
      </c>
      <c r="D114" s="30" t="str">
        <f>IF(AND(Table2[[#This Row],[Profit_Margin %]]&gt;20%,Table2[[#This Row],[Total_Sales]]&gt;2000),"Excellent",IF(AND(Table2[[#This Row],[Profit_Margin %]]&gt;=10%,Table2[[#This Row],[Profit_Margin %]]&lt;=20%),"Good","Needs Improvement"))</f>
        <v>Needs Improvement</v>
      </c>
    </row>
    <row r="115" spans="1:4" x14ac:dyDescent="0.25">
      <c r="A115" s="99">
        <f>PRODUCT(Table1[[#This Row],[Quantity]],Table1[[#This Row],[Unit_Price]])</f>
        <v>292.95000000000005</v>
      </c>
      <c r="B115" s="47">
        <v>53.3</v>
      </c>
      <c r="C115" s="38">
        <f>Table2[[#This Row],[Profit]]/Table2[[#This Row],[Total_Sales]]</f>
        <v>0.181942310974569</v>
      </c>
      <c r="D115" s="30" t="str">
        <f>IF(AND(Table2[[#This Row],[Profit_Margin %]]&gt;20%,Table2[[#This Row],[Total_Sales]]&gt;2000),"Excellent",IF(AND(Table2[[#This Row],[Profit_Margin %]]&gt;=10%,Table2[[#This Row],[Profit_Margin %]]&lt;=20%),"Good","Needs Improvement"))</f>
        <v>Good</v>
      </c>
    </row>
    <row r="116" spans="1:4" x14ac:dyDescent="0.25">
      <c r="A116" s="99">
        <f>PRODUCT(Table1[[#This Row],[Quantity]],Table1[[#This Row],[Unit_Price]])</f>
        <v>937.80000000000007</v>
      </c>
      <c r="B116" s="47">
        <v>185</v>
      </c>
      <c r="C116" s="38">
        <f>Table2[[#This Row],[Profit]]/Table2[[#This Row],[Total_Sales]]</f>
        <v>0.19727020686713584</v>
      </c>
      <c r="D116" s="30" t="str">
        <f>IF(AND(Table2[[#This Row],[Profit_Margin %]]&gt;20%,Table2[[#This Row],[Total_Sales]]&gt;2000),"Excellent",IF(AND(Table2[[#This Row],[Profit_Margin %]]&gt;=10%,Table2[[#This Row],[Profit_Margin %]]&lt;=20%),"Good","Needs Improvement"))</f>
        <v>Good</v>
      </c>
    </row>
    <row r="117" spans="1:4" x14ac:dyDescent="0.25">
      <c r="A117" s="99">
        <f>PRODUCT(Table1[[#This Row],[Quantity]],Table1[[#This Row],[Unit_Price]])</f>
        <v>1235.52</v>
      </c>
      <c r="B117" s="47">
        <v>372.11</v>
      </c>
      <c r="C117" s="38">
        <f>Table2[[#This Row],[Profit]]/Table2[[#This Row],[Total_Sales]]</f>
        <v>0.30117683242683246</v>
      </c>
      <c r="D117" s="30" t="str">
        <f>IF(AND(Table2[[#This Row],[Profit_Margin %]]&gt;20%,Table2[[#This Row],[Total_Sales]]&gt;2000),"Excellent",IF(AND(Table2[[#This Row],[Profit_Margin %]]&gt;=10%,Table2[[#This Row],[Profit_Margin %]]&lt;=20%),"Good","Needs Improvement"))</f>
        <v>Needs Improvement</v>
      </c>
    </row>
    <row r="118" spans="1:4" x14ac:dyDescent="0.25">
      <c r="A118" s="99">
        <f>PRODUCT(Table1[[#This Row],[Quantity]],Table1[[#This Row],[Unit_Price]])</f>
        <v>1002.4399999999999</v>
      </c>
      <c r="B118" s="47">
        <v>285.39</v>
      </c>
      <c r="C118" s="38">
        <f>Table2[[#This Row],[Profit]]/Table2[[#This Row],[Total_Sales]]</f>
        <v>0.28469534336219626</v>
      </c>
      <c r="D118" s="30" t="str">
        <f>IF(AND(Table2[[#This Row],[Profit_Margin %]]&gt;20%,Table2[[#This Row],[Total_Sales]]&gt;2000),"Excellent",IF(AND(Table2[[#This Row],[Profit_Margin %]]&gt;=10%,Table2[[#This Row],[Profit_Margin %]]&lt;=20%),"Good","Needs Improvement"))</f>
        <v>Needs Improvement</v>
      </c>
    </row>
    <row r="119" spans="1:4" x14ac:dyDescent="0.25">
      <c r="A119" s="99">
        <f>PRODUCT(Table1[[#This Row],[Quantity]],Table1[[#This Row],[Unit_Price]])</f>
        <v>123.62</v>
      </c>
      <c r="B119" s="47">
        <v>27.42</v>
      </c>
      <c r="C119" s="38">
        <f>Table2[[#This Row],[Profit]]/Table2[[#This Row],[Total_Sales]]</f>
        <v>0.22180876880763631</v>
      </c>
      <c r="D119" s="30" t="str">
        <f>IF(AND(Table2[[#This Row],[Profit_Margin %]]&gt;20%,Table2[[#This Row],[Total_Sales]]&gt;2000),"Excellent",IF(AND(Table2[[#This Row],[Profit_Margin %]]&gt;=10%,Table2[[#This Row],[Profit_Margin %]]&lt;=20%),"Good","Needs Improvement"))</f>
        <v>Needs Improvement</v>
      </c>
    </row>
    <row r="120" spans="1:4" x14ac:dyDescent="0.25">
      <c r="A120" s="99">
        <f>PRODUCT(Table1[[#This Row],[Quantity]],Table1[[#This Row],[Unit_Price]])</f>
        <v>1339</v>
      </c>
      <c r="B120" s="47">
        <v>336.91</v>
      </c>
      <c r="C120" s="38">
        <f>Table2[[#This Row],[Profit]]/Table2[[#This Row],[Total_Sales]]</f>
        <v>0.25161314413741598</v>
      </c>
      <c r="D120" s="30" t="str">
        <f>IF(AND(Table2[[#This Row],[Profit_Margin %]]&gt;20%,Table2[[#This Row],[Total_Sales]]&gt;2000),"Excellent",IF(AND(Table2[[#This Row],[Profit_Margin %]]&gt;=10%,Table2[[#This Row],[Profit_Margin %]]&lt;=20%),"Good","Needs Improvement"))</f>
        <v>Needs Improvement</v>
      </c>
    </row>
    <row r="121" spans="1:4" x14ac:dyDescent="0.25">
      <c r="A121" s="99">
        <f>PRODUCT(Table1[[#This Row],[Quantity]],Table1[[#This Row],[Unit_Price]])</f>
        <v>675</v>
      </c>
      <c r="B121" s="47">
        <v>241.01</v>
      </c>
      <c r="C121" s="38">
        <f>Table2[[#This Row],[Profit]]/Table2[[#This Row],[Total_Sales]]</f>
        <v>0.35705185185185184</v>
      </c>
      <c r="D121" s="30" t="str">
        <f>IF(AND(Table2[[#This Row],[Profit_Margin %]]&gt;20%,Table2[[#This Row],[Total_Sales]]&gt;2000),"Excellent",IF(AND(Table2[[#This Row],[Profit_Margin %]]&gt;=10%,Table2[[#This Row],[Profit_Margin %]]&lt;=20%),"Good","Needs Improvement"))</f>
        <v>Needs Improvement</v>
      </c>
    </row>
    <row r="122" spans="1:4" x14ac:dyDescent="0.25">
      <c r="A122" s="99">
        <f>PRODUCT(Table1[[#This Row],[Quantity]],Table1[[#This Row],[Unit_Price]])</f>
        <v>76</v>
      </c>
      <c r="B122" s="47">
        <v>21.22</v>
      </c>
      <c r="C122" s="38">
        <f>Table2[[#This Row],[Profit]]/Table2[[#This Row],[Total_Sales]]</f>
        <v>0.27921052631578946</v>
      </c>
      <c r="D122" s="30" t="str">
        <f>IF(AND(Table2[[#This Row],[Profit_Margin %]]&gt;20%,Table2[[#This Row],[Total_Sales]]&gt;2000),"Excellent",IF(AND(Table2[[#This Row],[Profit_Margin %]]&gt;=10%,Table2[[#This Row],[Profit_Margin %]]&lt;=20%),"Good","Needs Improvement"))</f>
        <v>Needs Improvement</v>
      </c>
    </row>
    <row r="123" spans="1:4" x14ac:dyDescent="0.25">
      <c r="A123" s="99">
        <f>PRODUCT(Table1[[#This Row],[Quantity]],Table1[[#This Row],[Unit_Price]])</f>
        <v>639.12</v>
      </c>
      <c r="B123" s="47">
        <v>235.2</v>
      </c>
      <c r="C123" s="38">
        <f>Table2[[#This Row],[Profit]]/Table2[[#This Row],[Total_Sales]]</f>
        <v>0.36800600826135937</v>
      </c>
      <c r="D123" s="30" t="str">
        <f>IF(AND(Table2[[#This Row],[Profit_Margin %]]&gt;20%,Table2[[#This Row],[Total_Sales]]&gt;2000),"Excellent",IF(AND(Table2[[#This Row],[Profit_Margin %]]&gt;=10%,Table2[[#This Row],[Profit_Margin %]]&lt;=20%),"Good","Needs Improvement"))</f>
        <v>Needs Improvement</v>
      </c>
    </row>
    <row r="124" spans="1:4" x14ac:dyDescent="0.25">
      <c r="A124" s="99">
        <f>PRODUCT(Table1[[#This Row],[Quantity]],Table1[[#This Row],[Unit_Price]])</f>
        <v>1121.6400000000001</v>
      </c>
      <c r="B124" s="47">
        <v>423.56</v>
      </c>
      <c r="C124" s="38">
        <f>Table2[[#This Row],[Profit]]/Table2[[#This Row],[Total_Sales]]</f>
        <v>0.37762561962840124</v>
      </c>
      <c r="D124" s="30" t="str">
        <f>IF(AND(Table2[[#This Row],[Profit_Margin %]]&gt;20%,Table2[[#This Row],[Total_Sales]]&gt;2000),"Excellent",IF(AND(Table2[[#This Row],[Profit_Margin %]]&gt;=10%,Table2[[#This Row],[Profit_Margin %]]&lt;=20%),"Good","Needs Improvement"))</f>
        <v>Needs Improvement</v>
      </c>
    </row>
    <row r="125" spans="1:4" x14ac:dyDescent="0.25">
      <c r="A125" s="99">
        <f>PRODUCT(Table1[[#This Row],[Quantity]],Table1[[#This Row],[Unit_Price]])</f>
        <v>1170.3900000000001</v>
      </c>
      <c r="B125" s="47">
        <v>134.96</v>
      </c>
      <c r="C125" s="38">
        <f>Table2[[#This Row],[Profit]]/Table2[[#This Row],[Total_Sales]]</f>
        <v>0.11531199002042054</v>
      </c>
      <c r="D125" s="30" t="str">
        <f>IF(AND(Table2[[#This Row],[Profit_Margin %]]&gt;20%,Table2[[#This Row],[Total_Sales]]&gt;2000),"Excellent",IF(AND(Table2[[#This Row],[Profit_Margin %]]&gt;=10%,Table2[[#This Row],[Profit_Margin %]]&lt;=20%),"Good","Needs Improvement"))</f>
        <v>Good</v>
      </c>
    </row>
    <row r="126" spans="1:4" x14ac:dyDescent="0.25">
      <c r="A126" s="99">
        <f>PRODUCT(Table1[[#This Row],[Quantity]],Table1[[#This Row],[Unit_Price]])</f>
        <v>156.54999999999998</v>
      </c>
      <c r="B126" s="47">
        <v>40.01</v>
      </c>
      <c r="C126" s="38">
        <f>Table2[[#This Row],[Profit]]/Table2[[#This Row],[Total_Sales]]</f>
        <v>0.25557329926541045</v>
      </c>
      <c r="D126" s="30" t="str">
        <f>IF(AND(Table2[[#This Row],[Profit_Margin %]]&gt;20%,Table2[[#This Row],[Total_Sales]]&gt;2000),"Excellent",IF(AND(Table2[[#This Row],[Profit_Margin %]]&gt;=10%,Table2[[#This Row],[Profit_Margin %]]&lt;=20%),"Good","Needs Improvement"))</f>
        <v>Needs Improvement</v>
      </c>
    </row>
    <row r="127" spans="1:4" x14ac:dyDescent="0.25">
      <c r="A127" s="99">
        <f>PRODUCT(Table1[[#This Row],[Quantity]],Table1[[#This Row],[Unit_Price]])</f>
        <v>1551.9</v>
      </c>
      <c r="B127" s="47">
        <v>301.64</v>
      </c>
      <c r="C127" s="38">
        <f>Table2[[#This Row],[Profit]]/Table2[[#This Row],[Total_Sales]]</f>
        <v>0.19436819382692183</v>
      </c>
      <c r="D127" s="30" t="str">
        <f>IF(AND(Table2[[#This Row],[Profit_Margin %]]&gt;20%,Table2[[#This Row],[Total_Sales]]&gt;2000),"Excellent",IF(AND(Table2[[#This Row],[Profit_Margin %]]&gt;=10%,Table2[[#This Row],[Profit_Margin %]]&lt;=20%),"Good","Needs Improvement"))</f>
        <v>Good</v>
      </c>
    </row>
    <row r="128" spans="1:4" x14ac:dyDescent="0.25">
      <c r="A128" s="99">
        <f>PRODUCT(Table1[[#This Row],[Quantity]],Table1[[#This Row],[Unit_Price]])</f>
        <v>2065.3199999999997</v>
      </c>
      <c r="B128" s="47">
        <v>530.98</v>
      </c>
      <c r="C128" s="38">
        <f>Table2[[#This Row],[Profit]]/Table2[[#This Row],[Total_Sales]]</f>
        <v>0.25709333178393667</v>
      </c>
      <c r="D128" s="30" t="str">
        <f>IF(AND(Table2[[#This Row],[Profit_Margin %]]&gt;20%,Table2[[#This Row],[Total_Sales]]&gt;2000),"Excellent",IF(AND(Table2[[#This Row],[Profit_Margin %]]&gt;=10%,Table2[[#This Row],[Profit_Margin %]]&lt;=20%),"Good","Needs Improvement"))</f>
        <v>Excellent</v>
      </c>
    </row>
    <row r="129" spans="1:4" x14ac:dyDescent="0.25">
      <c r="A129" s="99">
        <f>PRODUCT(Table1[[#This Row],[Quantity]],Table1[[#This Row],[Unit_Price]])</f>
        <v>522.34</v>
      </c>
      <c r="B129" s="47">
        <v>120.97</v>
      </c>
      <c r="C129" s="38">
        <f>Table2[[#This Row],[Profit]]/Table2[[#This Row],[Total_Sales]]</f>
        <v>0.23159244936248419</v>
      </c>
      <c r="D129" s="30" t="str">
        <f>IF(AND(Table2[[#This Row],[Profit_Margin %]]&gt;20%,Table2[[#This Row],[Total_Sales]]&gt;2000),"Excellent",IF(AND(Table2[[#This Row],[Profit_Margin %]]&gt;=10%,Table2[[#This Row],[Profit_Margin %]]&lt;=20%),"Good","Needs Improvement"))</f>
        <v>Needs Improvement</v>
      </c>
    </row>
    <row r="130" spans="1:4" x14ac:dyDescent="0.25">
      <c r="A130" s="99">
        <f>PRODUCT(Table1[[#This Row],[Quantity]],Table1[[#This Row],[Unit_Price]])</f>
        <v>1454.1</v>
      </c>
      <c r="B130" s="47">
        <v>203.02</v>
      </c>
      <c r="C130" s="38">
        <f>Table2[[#This Row],[Profit]]/Table2[[#This Row],[Total_Sales]]</f>
        <v>0.13961900832129842</v>
      </c>
      <c r="D130" s="30" t="str">
        <f>IF(AND(Table2[[#This Row],[Profit_Margin %]]&gt;20%,Table2[[#This Row],[Total_Sales]]&gt;2000),"Excellent",IF(AND(Table2[[#This Row],[Profit_Margin %]]&gt;=10%,Table2[[#This Row],[Profit_Margin %]]&lt;=20%),"Good","Needs Improvement"))</f>
        <v>Good</v>
      </c>
    </row>
    <row r="131" spans="1:4" x14ac:dyDescent="0.25">
      <c r="A131" s="99">
        <f>PRODUCT(Table1[[#This Row],[Quantity]],Table1[[#This Row],[Unit_Price]])</f>
        <v>735.76</v>
      </c>
      <c r="B131" s="47">
        <v>140.80000000000001</v>
      </c>
      <c r="C131" s="38">
        <f>Table2[[#This Row],[Profit]]/Table2[[#This Row],[Total_Sales]]</f>
        <v>0.19136675002718279</v>
      </c>
      <c r="D131" s="30" t="str">
        <f>IF(AND(Table2[[#This Row],[Profit_Margin %]]&gt;20%,Table2[[#This Row],[Total_Sales]]&gt;2000),"Excellent",IF(AND(Table2[[#This Row],[Profit_Margin %]]&gt;=10%,Table2[[#This Row],[Profit_Margin %]]&lt;=20%),"Good","Needs Improvement"))</f>
        <v>Good</v>
      </c>
    </row>
    <row r="132" spans="1:4" x14ac:dyDescent="0.25">
      <c r="A132" s="99">
        <f>PRODUCT(Table1[[#This Row],[Quantity]],Table1[[#This Row],[Unit_Price]])</f>
        <v>1381.3799999999999</v>
      </c>
      <c r="B132" s="47">
        <v>535.54</v>
      </c>
      <c r="C132" s="38">
        <f>Table2[[#This Row],[Profit]]/Table2[[#This Row],[Total_Sales]]</f>
        <v>0.38768477898912684</v>
      </c>
      <c r="D132" s="30" t="str">
        <f>IF(AND(Table2[[#This Row],[Profit_Margin %]]&gt;20%,Table2[[#This Row],[Total_Sales]]&gt;2000),"Excellent",IF(AND(Table2[[#This Row],[Profit_Margin %]]&gt;=10%,Table2[[#This Row],[Profit_Margin %]]&lt;=20%),"Good","Needs Improvement"))</f>
        <v>Needs Improvement</v>
      </c>
    </row>
    <row r="133" spans="1:4" x14ac:dyDescent="0.25">
      <c r="A133" s="99">
        <f>PRODUCT(Table1[[#This Row],[Quantity]],Table1[[#This Row],[Unit_Price]])</f>
        <v>1305.48</v>
      </c>
      <c r="B133" s="47">
        <v>322.55</v>
      </c>
      <c r="C133" s="38">
        <f>Table2[[#This Row],[Profit]]/Table2[[#This Row],[Total_Sales]]</f>
        <v>0.24707387321138585</v>
      </c>
      <c r="D133" s="30" t="str">
        <f>IF(AND(Table2[[#This Row],[Profit_Margin %]]&gt;20%,Table2[[#This Row],[Total_Sales]]&gt;2000),"Excellent",IF(AND(Table2[[#This Row],[Profit_Margin %]]&gt;=10%,Table2[[#This Row],[Profit_Margin %]]&lt;=20%),"Good","Needs Improvement"))</f>
        <v>Needs Improvement</v>
      </c>
    </row>
    <row r="134" spans="1:4" x14ac:dyDescent="0.25">
      <c r="A134" s="99">
        <f>PRODUCT(Table1[[#This Row],[Quantity]],Table1[[#This Row],[Unit_Price]])</f>
        <v>1322.8600000000001</v>
      </c>
      <c r="B134" s="47">
        <v>388.8</v>
      </c>
      <c r="C134" s="38">
        <f>Table2[[#This Row],[Profit]]/Table2[[#This Row],[Total_Sales]]</f>
        <v>0.29390865246511344</v>
      </c>
      <c r="D134" s="30" t="str">
        <f>IF(AND(Table2[[#This Row],[Profit_Margin %]]&gt;20%,Table2[[#This Row],[Total_Sales]]&gt;2000),"Excellent",IF(AND(Table2[[#This Row],[Profit_Margin %]]&gt;=10%,Table2[[#This Row],[Profit_Margin %]]&lt;=20%),"Good","Needs Improvement"))</f>
        <v>Needs Improvement</v>
      </c>
    </row>
    <row r="135" spans="1:4" x14ac:dyDescent="0.25">
      <c r="A135" s="99">
        <f>PRODUCT(Table1[[#This Row],[Quantity]],Table1[[#This Row],[Unit_Price]])</f>
        <v>860.57999999999993</v>
      </c>
      <c r="B135" s="47">
        <v>298.57</v>
      </c>
      <c r="C135" s="38">
        <f>Table2[[#This Row],[Profit]]/Table2[[#This Row],[Total_Sales]]</f>
        <v>0.34694043552023057</v>
      </c>
      <c r="D135" s="30" t="str">
        <f>IF(AND(Table2[[#This Row],[Profit_Margin %]]&gt;20%,Table2[[#This Row],[Total_Sales]]&gt;2000),"Excellent",IF(AND(Table2[[#This Row],[Profit_Margin %]]&gt;=10%,Table2[[#This Row],[Profit_Margin %]]&lt;=20%),"Good","Needs Improvement"))</f>
        <v>Needs Improvement</v>
      </c>
    </row>
    <row r="136" spans="1:4" x14ac:dyDescent="0.25">
      <c r="A136" s="99">
        <f>PRODUCT(Table1[[#This Row],[Quantity]],Table1[[#This Row],[Unit_Price]])</f>
        <v>1965.6000000000001</v>
      </c>
      <c r="B136" s="47">
        <v>375.26</v>
      </c>
      <c r="C136" s="38">
        <f>Table2[[#This Row],[Profit]]/Table2[[#This Row],[Total_Sales]]</f>
        <v>0.19091371591371589</v>
      </c>
      <c r="D136" s="30" t="str">
        <f>IF(AND(Table2[[#This Row],[Profit_Margin %]]&gt;20%,Table2[[#This Row],[Total_Sales]]&gt;2000),"Excellent",IF(AND(Table2[[#This Row],[Profit_Margin %]]&gt;=10%,Table2[[#This Row],[Profit_Margin %]]&lt;=20%),"Good","Needs Improvement"))</f>
        <v>Good</v>
      </c>
    </row>
    <row r="137" spans="1:4" x14ac:dyDescent="0.25">
      <c r="A137" s="99">
        <f>PRODUCT(Table1[[#This Row],[Quantity]],Table1[[#This Row],[Unit_Price]])</f>
        <v>27.49</v>
      </c>
      <c r="B137" s="47">
        <v>11.36</v>
      </c>
      <c r="C137" s="38">
        <f>Table2[[#This Row],[Profit]]/Table2[[#This Row],[Total_Sales]]</f>
        <v>0.41324117861040377</v>
      </c>
      <c r="D137" s="30" t="str">
        <f>IF(AND(Table2[[#This Row],[Profit_Margin %]]&gt;20%,Table2[[#This Row],[Total_Sales]]&gt;2000),"Excellent",IF(AND(Table2[[#This Row],[Profit_Margin %]]&gt;=10%,Table2[[#This Row],[Profit_Margin %]]&lt;=20%),"Good","Needs Improvement"))</f>
        <v>Needs Improvement</v>
      </c>
    </row>
    <row r="138" spans="1:4" x14ac:dyDescent="0.25">
      <c r="A138" s="99">
        <f>PRODUCT(Table1[[#This Row],[Quantity]],Table1[[#This Row],[Unit_Price]])</f>
        <v>2055.5</v>
      </c>
      <c r="B138" s="47">
        <v>359.89</v>
      </c>
      <c r="C138" s="38">
        <f>Table2[[#This Row],[Profit]]/Table2[[#This Row],[Total_Sales]]</f>
        <v>0.17508635368523473</v>
      </c>
      <c r="D138" s="30" t="str">
        <f>IF(AND(Table2[[#This Row],[Profit_Margin %]]&gt;20%,Table2[[#This Row],[Total_Sales]]&gt;2000),"Excellent",IF(AND(Table2[[#This Row],[Profit_Margin %]]&gt;=10%,Table2[[#This Row],[Profit_Margin %]]&lt;=20%),"Good","Needs Improvement"))</f>
        <v>Good</v>
      </c>
    </row>
    <row r="139" spans="1:4" x14ac:dyDescent="0.25">
      <c r="A139" s="99">
        <f>PRODUCT(Table1[[#This Row],[Quantity]],Table1[[#This Row],[Unit_Price]])</f>
        <v>459.71999999999997</v>
      </c>
      <c r="B139" s="47">
        <v>153.69999999999999</v>
      </c>
      <c r="C139" s="38">
        <f>Table2[[#This Row],[Profit]]/Table2[[#This Row],[Total_Sales]]</f>
        <v>0.33433394239972158</v>
      </c>
      <c r="D139" s="30" t="str">
        <f>IF(AND(Table2[[#This Row],[Profit_Margin %]]&gt;20%,Table2[[#This Row],[Total_Sales]]&gt;2000),"Excellent",IF(AND(Table2[[#This Row],[Profit_Margin %]]&gt;=10%,Table2[[#This Row],[Profit_Margin %]]&lt;=20%),"Good","Needs Improvement"))</f>
        <v>Needs Improvement</v>
      </c>
    </row>
    <row r="140" spans="1:4" x14ac:dyDescent="0.25">
      <c r="A140" s="99">
        <f>PRODUCT(Table1[[#This Row],[Quantity]],Table1[[#This Row],[Unit_Price]])</f>
        <v>190.08</v>
      </c>
      <c r="B140" s="47">
        <v>67.849999999999994</v>
      </c>
      <c r="C140" s="38">
        <f>Table2[[#This Row],[Profit]]/Table2[[#This Row],[Total_Sales]]</f>
        <v>0.35695496632996626</v>
      </c>
      <c r="D140" s="30" t="str">
        <f>IF(AND(Table2[[#This Row],[Profit_Margin %]]&gt;20%,Table2[[#This Row],[Total_Sales]]&gt;2000),"Excellent",IF(AND(Table2[[#This Row],[Profit_Margin %]]&gt;=10%,Table2[[#This Row],[Profit_Margin %]]&lt;=20%),"Good","Needs Improvement"))</f>
        <v>Needs Improvement</v>
      </c>
    </row>
    <row r="141" spans="1:4" x14ac:dyDescent="0.25">
      <c r="A141" s="99">
        <f>PRODUCT(Table1[[#This Row],[Quantity]],Table1[[#This Row],[Unit_Price]])</f>
        <v>883.92</v>
      </c>
      <c r="B141" s="47">
        <v>125.77</v>
      </c>
      <c r="C141" s="38">
        <f>Table2[[#This Row],[Profit]]/Table2[[#This Row],[Total_Sales]]</f>
        <v>0.14228663227441399</v>
      </c>
      <c r="D141" s="30" t="str">
        <f>IF(AND(Table2[[#This Row],[Profit_Margin %]]&gt;20%,Table2[[#This Row],[Total_Sales]]&gt;2000),"Excellent",IF(AND(Table2[[#This Row],[Profit_Margin %]]&gt;=10%,Table2[[#This Row],[Profit_Margin %]]&lt;=20%),"Good","Needs Improvement"))</f>
        <v>Good</v>
      </c>
    </row>
    <row r="142" spans="1:4" x14ac:dyDescent="0.25">
      <c r="A142" s="99">
        <f>PRODUCT(Table1[[#This Row],[Quantity]],Table1[[#This Row],[Unit_Price]])</f>
        <v>1360.53</v>
      </c>
      <c r="B142" s="47">
        <v>174.13</v>
      </c>
      <c r="C142" s="38">
        <f>Table2[[#This Row],[Profit]]/Table2[[#This Row],[Total_Sales]]</f>
        <v>0.12798688746297399</v>
      </c>
      <c r="D142" s="30" t="str">
        <f>IF(AND(Table2[[#This Row],[Profit_Margin %]]&gt;20%,Table2[[#This Row],[Total_Sales]]&gt;2000),"Excellent",IF(AND(Table2[[#This Row],[Profit_Margin %]]&gt;=10%,Table2[[#This Row],[Profit_Margin %]]&lt;=20%),"Good","Needs Improvement"))</f>
        <v>Good</v>
      </c>
    </row>
    <row r="143" spans="1:4" x14ac:dyDescent="0.25">
      <c r="A143" s="99">
        <f>PRODUCT(Table1[[#This Row],[Quantity]],Table1[[#This Row],[Unit_Price]])</f>
        <v>1281.1199999999999</v>
      </c>
      <c r="B143" s="47">
        <v>376.26</v>
      </c>
      <c r="C143" s="38">
        <f>Table2[[#This Row],[Profit]]/Table2[[#This Row],[Total_Sales]]</f>
        <v>0.2936961408767329</v>
      </c>
      <c r="D143" s="30" t="str">
        <f>IF(AND(Table2[[#This Row],[Profit_Margin %]]&gt;20%,Table2[[#This Row],[Total_Sales]]&gt;2000),"Excellent",IF(AND(Table2[[#This Row],[Profit_Margin %]]&gt;=10%,Table2[[#This Row],[Profit_Margin %]]&lt;=20%),"Good","Needs Improvement"))</f>
        <v>Needs Improvement</v>
      </c>
    </row>
    <row r="144" spans="1:4" x14ac:dyDescent="0.25">
      <c r="A144" s="99">
        <f>PRODUCT(Table1[[#This Row],[Quantity]],Table1[[#This Row],[Unit_Price]])</f>
        <v>117.96000000000001</v>
      </c>
      <c r="B144" s="47">
        <v>35.99</v>
      </c>
      <c r="C144" s="38">
        <f>Table2[[#This Row],[Profit]]/Table2[[#This Row],[Total_Sales]]</f>
        <v>0.30510342488979314</v>
      </c>
      <c r="D144" s="30" t="str">
        <f>IF(AND(Table2[[#This Row],[Profit_Margin %]]&gt;20%,Table2[[#This Row],[Total_Sales]]&gt;2000),"Excellent",IF(AND(Table2[[#This Row],[Profit_Margin %]]&gt;=10%,Table2[[#This Row],[Profit_Margin %]]&lt;=20%),"Good","Needs Improvement"))</f>
        <v>Needs Improvement</v>
      </c>
    </row>
    <row r="145" spans="1:4" x14ac:dyDescent="0.25">
      <c r="A145" s="99">
        <f>PRODUCT(Table1[[#This Row],[Quantity]],Table1[[#This Row],[Unit_Price]])</f>
        <v>432</v>
      </c>
      <c r="B145" s="47">
        <v>103.32</v>
      </c>
      <c r="C145" s="38">
        <f>Table2[[#This Row],[Profit]]/Table2[[#This Row],[Total_Sales]]</f>
        <v>0.23916666666666664</v>
      </c>
      <c r="D145" s="30" t="str">
        <f>IF(AND(Table2[[#This Row],[Profit_Margin %]]&gt;20%,Table2[[#This Row],[Total_Sales]]&gt;2000),"Excellent",IF(AND(Table2[[#This Row],[Profit_Margin %]]&gt;=10%,Table2[[#This Row],[Profit_Margin %]]&lt;=20%),"Good","Needs Improvement"))</f>
        <v>Needs Improvement</v>
      </c>
    </row>
    <row r="146" spans="1:4" x14ac:dyDescent="0.25">
      <c r="A146" s="99">
        <f>PRODUCT(Table1[[#This Row],[Quantity]],Table1[[#This Row],[Unit_Price]])</f>
        <v>182.15</v>
      </c>
      <c r="B146" s="47">
        <v>61.83</v>
      </c>
      <c r="C146" s="38">
        <f>Table2[[#This Row],[Profit]]/Table2[[#This Row],[Total_Sales]]</f>
        <v>0.33944551194070821</v>
      </c>
      <c r="D146" s="30" t="str">
        <f>IF(AND(Table2[[#This Row],[Profit_Margin %]]&gt;20%,Table2[[#This Row],[Total_Sales]]&gt;2000),"Excellent",IF(AND(Table2[[#This Row],[Profit_Margin %]]&gt;=10%,Table2[[#This Row],[Profit_Margin %]]&lt;=20%),"Good","Needs Improvement"))</f>
        <v>Needs Improvement</v>
      </c>
    </row>
    <row r="147" spans="1:4" x14ac:dyDescent="0.25">
      <c r="A147" s="99">
        <f>PRODUCT(Table1[[#This Row],[Quantity]],Table1[[#This Row],[Unit_Price]])</f>
        <v>1036.53</v>
      </c>
      <c r="B147" s="47">
        <v>400.43</v>
      </c>
      <c r="C147" s="38">
        <f>Table2[[#This Row],[Profit]]/Table2[[#This Row],[Total_Sales]]</f>
        <v>0.38631781038657831</v>
      </c>
      <c r="D147" s="30" t="str">
        <f>IF(AND(Table2[[#This Row],[Profit_Margin %]]&gt;20%,Table2[[#This Row],[Total_Sales]]&gt;2000),"Excellent",IF(AND(Table2[[#This Row],[Profit_Margin %]]&gt;=10%,Table2[[#This Row],[Profit_Margin %]]&lt;=20%),"Good","Needs Improvement"))</f>
        <v>Needs Improvement</v>
      </c>
    </row>
    <row r="148" spans="1:4" x14ac:dyDescent="0.25">
      <c r="A148" s="99">
        <f>PRODUCT(Table1[[#This Row],[Quantity]],Table1[[#This Row],[Unit_Price]])</f>
        <v>475</v>
      </c>
      <c r="B148" s="47">
        <v>179.05</v>
      </c>
      <c r="C148" s="38">
        <f>Table2[[#This Row],[Profit]]/Table2[[#This Row],[Total_Sales]]</f>
        <v>0.37694736842105264</v>
      </c>
      <c r="D148" s="30" t="str">
        <f>IF(AND(Table2[[#This Row],[Profit_Margin %]]&gt;20%,Table2[[#This Row],[Total_Sales]]&gt;2000),"Excellent",IF(AND(Table2[[#This Row],[Profit_Margin %]]&gt;=10%,Table2[[#This Row],[Profit_Margin %]]&lt;=20%),"Good","Needs Improvement"))</f>
        <v>Needs Improvement</v>
      </c>
    </row>
    <row r="149" spans="1:4" x14ac:dyDescent="0.25">
      <c r="A149" s="99">
        <f>PRODUCT(Table1[[#This Row],[Quantity]],Table1[[#This Row],[Unit_Price]])</f>
        <v>2356.11</v>
      </c>
      <c r="B149" s="47">
        <v>685.89</v>
      </c>
      <c r="C149" s="38">
        <f>Table2[[#This Row],[Profit]]/Table2[[#This Row],[Total_Sales]]</f>
        <v>0.29111119599679131</v>
      </c>
      <c r="D149" s="30" t="str">
        <f>IF(AND(Table2[[#This Row],[Profit_Margin %]]&gt;20%,Table2[[#This Row],[Total_Sales]]&gt;2000),"Excellent",IF(AND(Table2[[#This Row],[Profit_Margin %]]&gt;=10%,Table2[[#This Row],[Profit_Margin %]]&lt;=20%),"Good","Needs Improvement"))</f>
        <v>Excellent</v>
      </c>
    </row>
    <row r="150" spans="1:4" x14ac:dyDescent="0.25">
      <c r="A150" s="99">
        <f>PRODUCT(Table1[[#This Row],[Quantity]],Table1[[#This Row],[Unit_Price]])</f>
        <v>1985.75</v>
      </c>
      <c r="B150" s="47">
        <v>553</v>
      </c>
      <c r="C150" s="38">
        <f>Table2[[#This Row],[Profit]]/Table2[[#This Row],[Total_Sales]]</f>
        <v>0.27848419992446177</v>
      </c>
      <c r="D150" s="30" t="str">
        <f>IF(AND(Table2[[#This Row],[Profit_Margin %]]&gt;20%,Table2[[#This Row],[Total_Sales]]&gt;2000),"Excellent",IF(AND(Table2[[#This Row],[Profit_Margin %]]&gt;=10%,Table2[[#This Row],[Profit_Margin %]]&lt;=20%),"Good","Needs Improvement"))</f>
        <v>Needs Improvement</v>
      </c>
    </row>
    <row r="151" spans="1:4" x14ac:dyDescent="0.25">
      <c r="A151" s="99">
        <f>PRODUCT(Table1[[#This Row],[Quantity]],Table1[[#This Row],[Unit_Price]])</f>
        <v>688.68</v>
      </c>
      <c r="B151" s="47">
        <v>219.9</v>
      </c>
      <c r="C151" s="38">
        <f>Table2[[#This Row],[Profit]]/Table2[[#This Row],[Total_Sales]]</f>
        <v>0.31930649939013767</v>
      </c>
      <c r="D151" s="30" t="str">
        <f>IF(AND(Table2[[#This Row],[Profit_Margin %]]&gt;20%,Table2[[#This Row],[Total_Sales]]&gt;2000),"Excellent",IF(AND(Table2[[#This Row],[Profit_Margin %]]&gt;=10%,Table2[[#This Row],[Profit_Margin %]]&lt;=20%),"Good","Needs Improvement"))</f>
        <v>Needs Improvement</v>
      </c>
    </row>
    <row r="152" spans="1:4" x14ac:dyDescent="0.25">
      <c r="A152" s="99">
        <f>PRODUCT(Table1[[#This Row],[Quantity]],Table1[[#This Row],[Unit_Price]])</f>
        <v>1446.4599999999998</v>
      </c>
      <c r="B152" s="47">
        <v>469.22</v>
      </c>
      <c r="C152" s="38">
        <f>Table2[[#This Row],[Profit]]/Table2[[#This Row],[Total_Sales]]</f>
        <v>0.32439196382893415</v>
      </c>
      <c r="D152" s="30" t="str">
        <f>IF(AND(Table2[[#This Row],[Profit_Margin %]]&gt;20%,Table2[[#This Row],[Total_Sales]]&gt;2000),"Excellent",IF(AND(Table2[[#This Row],[Profit_Margin %]]&gt;=10%,Table2[[#This Row],[Profit_Margin %]]&lt;=20%),"Good","Needs Improvement"))</f>
        <v>Needs Improvement</v>
      </c>
    </row>
    <row r="153" spans="1:4" x14ac:dyDescent="0.25">
      <c r="A153" s="99">
        <f>PRODUCT(Table1[[#This Row],[Quantity]],Table1[[#This Row],[Unit_Price]])</f>
        <v>2158.65</v>
      </c>
      <c r="B153" s="47">
        <v>736.55</v>
      </c>
      <c r="C153" s="38">
        <f>Table2[[#This Row],[Profit]]/Table2[[#This Row],[Total_Sales]]</f>
        <v>0.34120862576147126</v>
      </c>
      <c r="D153" s="30" t="str">
        <f>IF(AND(Table2[[#This Row],[Profit_Margin %]]&gt;20%,Table2[[#This Row],[Total_Sales]]&gt;2000),"Excellent",IF(AND(Table2[[#This Row],[Profit_Margin %]]&gt;=10%,Table2[[#This Row],[Profit_Margin %]]&lt;=20%),"Good","Needs Improvement"))</f>
        <v>Excellent</v>
      </c>
    </row>
    <row r="154" spans="1:4" x14ac:dyDescent="0.25">
      <c r="A154" s="99">
        <f>PRODUCT(Table1[[#This Row],[Quantity]],Table1[[#This Row],[Unit_Price]])</f>
        <v>634.48</v>
      </c>
      <c r="B154" s="47">
        <v>114.93</v>
      </c>
      <c r="C154" s="38">
        <f>Table2[[#This Row],[Profit]]/Table2[[#This Row],[Total_Sales]]</f>
        <v>0.1811404614802673</v>
      </c>
      <c r="D154" s="30" t="str">
        <f>IF(AND(Table2[[#This Row],[Profit_Margin %]]&gt;20%,Table2[[#This Row],[Total_Sales]]&gt;2000),"Excellent",IF(AND(Table2[[#This Row],[Profit_Margin %]]&gt;=10%,Table2[[#This Row],[Profit_Margin %]]&lt;=20%),"Good","Needs Improvement"))</f>
        <v>Good</v>
      </c>
    </row>
    <row r="155" spans="1:4" x14ac:dyDescent="0.25">
      <c r="A155" s="99">
        <f>PRODUCT(Table1[[#This Row],[Quantity]],Table1[[#This Row],[Unit_Price]])</f>
        <v>1203.3600000000001</v>
      </c>
      <c r="B155" s="47">
        <v>429.43</v>
      </c>
      <c r="C155" s="38">
        <f>Table2[[#This Row],[Profit]]/Table2[[#This Row],[Total_Sales]]</f>
        <v>0.35685912777556172</v>
      </c>
      <c r="D155" s="30" t="str">
        <f>IF(AND(Table2[[#This Row],[Profit_Margin %]]&gt;20%,Table2[[#This Row],[Total_Sales]]&gt;2000),"Excellent",IF(AND(Table2[[#This Row],[Profit_Margin %]]&gt;=10%,Table2[[#This Row],[Profit_Margin %]]&lt;=20%),"Good","Needs Improvement"))</f>
        <v>Needs Improvement</v>
      </c>
    </row>
    <row r="156" spans="1:4" x14ac:dyDescent="0.25">
      <c r="A156" s="99">
        <f>PRODUCT(Table1[[#This Row],[Quantity]],Table1[[#This Row],[Unit_Price]])</f>
        <v>946.43000000000006</v>
      </c>
      <c r="B156" s="47">
        <v>316.27999999999997</v>
      </c>
      <c r="C156" s="38">
        <f>Table2[[#This Row],[Profit]]/Table2[[#This Row],[Total_Sales]]</f>
        <v>0.33418213708356659</v>
      </c>
      <c r="D156" s="30" t="str">
        <f>IF(AND(Table2[[#This Row],[Profit_Margin %]]&gt;20%,Table2[[#This Row],[Total_Sales]]&gt;2000),"Excellent",IF(AND(Table2[[#This Row],[Profit_Margin %]]&gt;=10%,Table2[[#This Row],[Profit_Margin %]]&lt;=20%),"Good","Needs Improvement"))</f>
        <v>Needs Improvement</v>
      </c>
    </row>
    <row r="157" spans="1:4" x14ac:dyDescent="0.25">
      <c r="A157" s="99">
        <f>PRODUCT(Table1[[#This Row],[Quantity]],Table1[[#This Row],[Unit_Price]])</f>
        <v>1023</v>
      </c>
      <c r="B157" s="47">
        <v>216.56</v>
      </c>
      <c r="C157" s="38">
        <f>Table2[[#This Row],[Profit]]/Table2[[#This Row],[Total_Sales]]</f>
        <v>0.21169110459433041</v>
      </c>
      <c r="D157" s="30" t="str">
        <f>IF(AND(Table2[[#This Row],[Profit_Margin %]]&gt;20%,Table2[[#This Row],[Total_Sales]]&gt;2000),"Excellent",IF(AND(Table2[[#This Row],[Profit_Margin %]]&gt;=10%,Table2[[#This Row],[Profit_Margin %]]&lt;=20%),"Good","Needs Improvement"))</f>
        <v>Needs Improvement</v>
      </c>
    </row>
    <row r="158" spans="1:4" x14ac:dyDescent="0.25">
      <c r="A158" s="99">
        <f>PRODUCT(Table1[[#This Row],[Quantity]],Table1[[#This Row],[Unit_Price]])</f>
        <v>667.52</v>
      </c>
      <c r="B158" s="47">
        <v>149.9</v>
      </c>
      <c r="C158" s="38">
        <f>Table2[[#This Row],[Profit]]/Table2[[#This Row],[Total_Sales]]</f>
        <v>0.22456255992329818</v>
      </c>
      <c r="D158" s="30" t="str">
        <f>IF(AND(Table2[[#This Row],[Profit_Margin %]]&gt;20%,Table2[[#This Row],[Total_Sales]]&gt;2000),"Excellent",IF(AND(Table2[[#This Row],[Profit_Margin %]]&gt;=10%,Table2[[#This Row],[Profit_Margin %]]&lt;=20%),"Good","Needs Improvement"))</f>
        <v>Needs Improvement</v>
      </c>
    </row>
    <row r="159" spans="1:4" x14ac:dyDescent="0.25">
      <c r="A159" s="99">
        <f>PRODUCT(Table1[[#This Row],[Quantity]],Table1[[#This Row],[Unit_Price]])</f>
        <v>442.98</v>
      </c>
      <c r="B159" s="47">
        <v>55.99</v>
      </c>
      <c r="C159" s="38">
        <f>Table2[[#This Row],[Profit]]/Table2[[#This Row],[Total_Sales]]</f>
        <v>0.12639396812497178</v>
      </c>
      <c r="D159" s="30" t="str">
        <f>IF(AND(Table2[[#This Row],[Profit_Margin %]]&gt;20%,Table2[[#This Row],[Total_Sales]]&gt;2000),"Excellent",IF(AND(Table2[[#This Row],[Profit_Margin %]]&gt;=10%,Table2[[#This Row],[Profit_Margin %]]&lt;=20%),"Good","Needs Improvement"))</f>
        <v>Good</v>
      </c>
    </row>
    <row r="160" spans="1:4" x14ac:dyDescent="0.25">
      <c r="A160" s="99">
        <f>PRODUCT(Table1[[#This Row],[Quantity]],Table1[[#This Row],[Unit_Price]])</f>
        <v>1166.94</v>
      </c>
      <c r="B160" s="47">
        <v>412.66</v>
      </c>
      <c r="C160" s="38">
        <f>Table2[[#This Row],[Profit]]/Table2[[#This Row],[Total_Sales]]</f>
        <v>0.35362572197370901</v>
      </c>
      <c r="D160" s="30" t="str">
        <f>IF(AND(Table2[[#This Row],[Profit_Margin %]]&gt;20%,Table2[[#This Row],[Total_Sales]]&gt;2000),"Excellent",IF(AND(Table2[[#This Row],[Profit_Margin %]]&gt;=10%,Table2[[#This Row],[Profit_Margin %]]&lt;=20%),"Good","Needs Improvement"))</f>
        <v>Needs Improvement</v>
      </c>
    </row>
    <row r="161" spans="1:4" x14ac:dyDescent="0.25">
      <c r="A161" s="99">
        <f>PRODUCT(Table1[[#This Row],[Quantity]],Table1[[#This Row],[Unit_Price]])</f>
        <v>1446.48</v>
      </c>
      <c r="B161" s="47">
        <v>361.78</v>
      </c>
      <c r="C161" s="38">
        <f>Table2[[#This Row],[Profit]]/Table2[[#This Row],[Total_Sales]]</f>
        <v>0.25011061335103146</v>
      </c>
      <c r="D161" s="30" t="str">
        <f>IF(AND(Table2[[#This Row],[Profit_Margin %]]&gt;20%,Table2[[#This Row],[Total_Sales]]&gt;2000),"Excellent",IF(AND(Table2[[#This Row],[Profit_Margin %]]&gt;=10%,Table2[[#This Row],[Profit_Margin %]]&lt;=20%),"Good","Needs Improvement"))</f>
        <v>Needs Improvement</v>
      </c>
    </row>
    <row r="162" spans="1:4" x14ac:dyDescent="0.25">
      <c r="A162" s="99">
        <f>PRODUCT(Table1[[#This Row],[Quantity]],Table1[[#This Row],[Unit_Price]])</f>
        <v>267.3</v>
      </c>
      <c r="B162" s="47">
        <v>57.09</v>
      </c>
      <c r="C162" s="38">
        <f>Table2[[#This Row],[Profit]]/Table2[[#This Row],[Total_Sales]]</f>
        <v>0.21358024691358024</v>
      </c>
      <c r="D162" s="30" t="str">
        <f>IF(AND(Table2[[#This Row],[Profit_Margin %]]&gt;20%,Table2[[#This Row],[Total_Sales]]&gt;2000),"Excellent",IF(AND(Table2[[#This Row],[Profit_Margin %]]&gt;=10%,Table2[[#This Row],[Profit_Margin %]]&lt;=20%),"Good","Needs Improvement"))</f>
        <v>Needs Improvement</v>
      </c>
    </row>
    <row r="163" spans="1:4" x14ac:dyDescent="0.25">
      <c r="A163" s="99">
        <f>PRODUCT(Table1[[#This Row],[Quantity]],Table1[[#This Row],[Unit_Price]])</f>
        <v>544.5</v>
      </c>
      <c r="B163" s="47">
        <v>207.91</v>
      </c>
      <c r="C163" s="38">
        <f>Table2[[#This Row],[Profit]]/Table2[[#This Row],[Total_Sales]]</f>
        <v>0.38183654729109273</v>
      </c>
      <c r="D163" s="30" t="str">
        <f>IF(AND(Table2[[#This Row],[Profit_Margin %]]&gt;20%,Table2[[#This Row],[Total_Sales]]&gt;2000),"Excellent",IF(AND(Table2[[#This Row],[Profit_Margin %]]&gt;=10%,Table2[[#This Row],[Profit_Margin %]]&lt;=20%),"Good","Needs Improvement"))</f>
        <v>Needs Improvement</v>
      </c>
    </row>
    <row r="164" spans="1:4" x14ac:dyDescent="0.25">
      <c r="A164" s="99">
        <f>PRODUCT(Table1[[#This Row],[Quantity]],Table1[[#This Row],[Unit_Price]])</f>
        <v>1382.76</v>
      </c>
      <c r="B164" s="47">
        <v>477.59</v>
      </c>
      <c r="C164" s="38">
        <f>Table2[[#This Row],[Profit]]/Table2[[#This Row],[Total_Sales]]</f>
        <v>0.34538893228036677</v>
      </c>
      <c r="D164" s="30" t="str">
        <f>IF(AND(Table2[[#This Row],[Profit_Margin %]]&gt;20%,Table2[[#This Row],[Total_Sales]]&gt;2000),"Excellent",IF(AND(Table2[[#This Row],[Profit_Margin %]]&gt;=10%,Table2[[#This Row],[Profit_Margin %]]&lt;=20%),"Good","Needs Improvement"))</f>
        <v>Needs Improvement</v>
      </c>
    </row>
    <row r="165" spans="1:4" x14ac:dyDescent="0.25">
      <c r="A165" s="99">
        <f>PRODUCT(Table1[[#This Row],[Quantity]],Table1[[#This Row],[Unit_Price]])</f>
        <v>538</v>
      </c>
      <c r="B165" s="47">
        <v>123.77</v>
      </c>
      <c r="C165" s="38">
        <f>Table2[[#This Row],[Profit]]/Table2[[#This Row],[Total_Sales]]</f>
        <v>0.23005576208178438</v>
      </c>
      <c r="D165" s="30" t="str">
        <f>IF(AND(Table2[[#This Row],[Profit_Margin %]]&gt;20%,Table2[[#This Row],[Total_Sales]]&gt;2000),"Excellent",IF(AND(Table2[[#This Row],[Profit_Margin %]]&gt;=10%,Table2[[#This Row],[Profit_Margin %]]&lt;=20%),"Good","Needs Improvement"))</f>
        <v>Needs Improvement</v>
      </c>
    </row>
    <row r="166" spans="1:4" x14ac:dyDescent="0.25">
      <c r="A166" s="99">
        <f>PRODUCT(Table1[[#This Row],[Quantity]],Table1[[#This Row],[Unit_Price]])</f>
        <v>131.25</v>
      </c>
      <c r="B166" s="47">
        <v>37.9</v>
      </c>
      <c r="C166" s="38">
        <f>Table2[[#This Row],[Profit]]/Table2[[#This Row],[Total_Sales]]</f>
        <v>0.28876190476190478</v>
      </c>
      <c r="D166" s="30" t="str">
        <f>IF(AND(Table2[[#This Row],[Profit_Margin %]]&gt;20%,Table2[[#This Row],[Total_Sales]]&gt;2000),"Excellent",IF(AND(Table2[[#This Row],[Profit_Margin %]]&gt;=10%,Table2[[#This Row],[Profit_Margin %]]&lt;=20%),"Good","Needs Improvement"))</f>
        <v>Needs Improvement</v>
      </c>
    </row>
    <row r="167" spans="1:4" x14ac:dyDescent="0.25">
      <c r="A167" s="99">
        <f>PRODUCT(Table1[[#This Row],[Quantity]],Table1[[#This Row],[Unit_Price]])</f>
        <v>314.8</v>
      </c>
      <c r="B167" s="47">
        <v>54.57</v>
      </c>
      <c r="C167" s="38">
        <f>Table2[[#This Row],[Profit]]/Table2[[#This Row],[Total_Sales]]</f>
        <v>0.17334815756035576</v>
      </c>
      <c r="D167" s="30" t="str">
        <f>IF(AND(Table2[[#This Row],[Profit_Margin %]]&gt;20%,Table2[[#This Row],[Total_Sales]]&gt;2000),"Excellent",IF(AND(Table2[[#This Row],[Profit_Margin %]]&gt;=10%,Table2[[#This Row],[Profit_Margin %]]&lt;=20%),"Good","Needs Improvement"))</f>
        <v>Good</v>
      </c>
    </row>
    <row r="168" spans="1:4" x14ac:dyDescent="0.25">
      <c r="A168" s="99">
        <f>PRODUCT(Table1[[#This Row],[Quantity]],Table1[[#This Row],[Unit_Price]])</f>
        <v>649.11</v>
      </c>
      <c r="B168" s="47">
        <v>190.69</v>
      </c>
      <c r="C168" s="38">
        <f>Table2[[#This Row],[Profit]]/Table2[[#This Row],[Total_Sales]]</f>
        <v>0.29377147170741474</v>
      </c>
      <c r="D168" s="30" t="str">
        <f>IF(AND(Table2[[#This Row],[Profit_Margin %]]&gt;20%,Table2[[#This Row],[Total_Sales]]&gt;2000),"Excellent",IF(AND(Table2[[#This Row],[Profit_Margin %]]&gt;=10%,Table2[[#This Row],[Profit_Margin %]]&lt;=20%),"Good","Needs Improvement"))</f>
        <v>Needs Improvement</v>
      </c>
    </row>
    <row r="169" spans="1:4" x14ac:dyDescent="0.25">
      <c r="A169" s="99">
        <f>PRODUCT(Table1[[#This Row],[Quantity]],Table1[[#This Row],[Unit_Price]])</f>
        <v>535.63</v>
      </c>
      <c r="B169" s="47">
        <v>152.66999999999999</v>
      </c>
      <c r="C169" s="38">
        <f>Table2[[#This Row],[Profit]]/Table2[[#This Row],[Total_Sales]]</f>
        <v>0.28502884453820732</v>
      </c>
      <c r="D169" s="30" t="str">
        <f>IF(AND(Table2[[#This Row],[Profit_Margin %]]&gt;20%,Table2[[#This Row],[Total_Sales]]&gt;2000),"Excellent",IF(AND(Table2[[#This Row],[Profit_Margin %]]&gt;=10%,Table2[[#This Row],[Profit_Margin %]]&lt;=20%),"Good","Needs Improvement"))</f>
        <v>Needs Improvement</v>
      </c>
    </row>
    <row r="170" spans="1:4" x14ac:dyDescent="0.25">
      <c r="A170" s="99">
        <f>PRODUCT(Table1[[#This Row],[Quantity]],Table1[[#This Row],[Unit_Price]])</f>
        <v>1612.44</v>
      </c>
      <c r="B170" s="47">
        <v>283.83999999999997</v>
      </c>
      <c r="C170" s="38">
        <f>Table2[[#This Row],[Profit]]/Table2[[#This Row],[Total_Sales]]</f>
        <v>0.1760313562055022</v>
      </c>
      <c r="D170" s="30" t="str">
        <f>IF(AND(Table2[[#This Row],[Profit_Margin %]]&gt;20%,Table2[[#This Row],[Total_Sales]]&gt;2000),"Excellent",IF(AND(Table2[[#This Row],[Profit_Margin %]]&gt;=10%,Table2[[#This Row],[Profit_Margin %]]&lt;=20%),"Good","Needs Improvement"))</f>
        <v>Good</v>
      </c>
    </row>
    <row r="171" spans="1:4" x14ac:dyDescent="0.25">
      <c r="A171" s="99">
        <f>PRODUCT(Table1[[#This Row],[Quantity]],Table1[[#This Row],[Unit_Price]])</f>
        <v>56.58</v>
      </c>
      <c r="B171" s="47">
        <v>7.47</v>
      </c>
      <c r="C171" s="38">
        <f>Table2[[#This Row],[Profit]]/Table2[[#This Row],[Total_Sales]]</f>
        <v>0.1320254506892895</v>
      </c>
      <c r="D171" s="30" t="str">
        <f>IF(AND(Table2[[#This Row],[Profit_Margin %]]&gt;20%,Table2[[#This Row],[Total_Sales]]&gt;2000),"Excellent",IF(AND(Table2[[#This Row],[Profit_Margin %]]&gt;=10%,Table2[[#This Row],[Profit_Margin %]]&lt;=20%),"Good","Needs Improvement"))</f>
        <v>Good</v>
      </c>
    </row>
    <row r="172" spans="1:4" x14ac:dyDescent="0.25">
      <c r="A172" s="99">
        <f>PRODUCT(Table1[[#This Row],[Quantity]],Table1[[#This Row],[Unit_Price]])</f>
        <v>458.6</v>
      </c>
      <c r="B172" s="47">
        <v>164.2</v>
      </c>
      <c r="C172" s="38">
        <f>Table2[[#This Row],[Profit]]/Table2[[#This Row],[Total_Sales]]</f>
        <v>0.35804622764936761</v>
      </c>
      <c r="D172" s="30" t="str">
        <f>IF(AND(Table2[[#This Row],[Profit_Margin %]]&gt;20%,Table2[[#This Row],[Total_Sales]]&gt;2000),"Excellent",IF(AND(Table2[[#This Row],[Profit_Margin %]]&gt;=10%,Table2[[#This Row],[Profit_Margin %]]&lt;=20%),"Good","Needs Improvement"))</f>
        <v>Needs Improvement</v>
      </c>
    </row>
    <row r="173" spans="1:4" x14ac:dyDescent="0.25">
      <c r="A173" s="99">
        <f>PRODUCT(Table1[[#This Row],[Quantity]],Table1[[#This Row],[Unit_Price]])</f>
        <v>24.64</v>
      </c>
      <c r="B173" s="47">
        <v>5.99</v>
      </c>
      <c r="C173" s="38">
        <f>Table2[[#This Row],[Profit]]/Table2[[#This Row],[Total_Sales]]</f>
        <v>0.24310064935064934</v>
      </c>
      <c r="D173" s="30" t="str">
        <f>IF(AND(Table2[[#This Row],[Profit_Margin %]]&gt;20%,Table2[[#This Row],[Total_Sales]]&gt;2000),"Excellent",IF(AND(Table2[[#This Row],[Profit_Margin %]]&gt;=10%,Table2[[#This Row],[Profit_Margin %]]&lt;=20%),"Good","Needs Improvement"))</f>
        <v>Needs Improvement</v>
      </c>
    </row>
    <row r="174" spans="1:4" x14ac:dyDescent="0.25">
      <c r="A174" s="99">
        <f>PRODUCT(Table1[[#This Row],[Quantity]],Table1[[#This Row],[Unit_Price]])</f>
        <v>1117.2</v>
      </c>
      <c r="B174" s="47">
        <v>306.64</v>
      </c>
      <c r="C174" s="38">
        <f>Table2[[#This Row],[Profit]]/Table2[[#This Row],[Total_Sales]]</f>
        <v>0.27447189402076616</v>
      </c>
      <c r="D174" s="30" t="str">
        <f>IF(AND(Table2[[#This Row],[Profit_Margin %]]&gt;20%,Table2[[#This Row],[Total_Sales]]&gt;2000),"Excellent",IF(AND(Table2[[#This Row],[Profit_Margin %]]&gt;=10%,Table2[[#This Row],[Profit_Margin %]]&lt;=20%),"Good","Needs Improvement"))</f>
        <v>Needs Improvement</v>
      </c>
    </row>
    <row r="175" spans="1:4" x14ac:dyDescent="0.25">
      <c r="A175" s="99">
        <f>PRODUCT(Table1[[#This Row],[Quantity]],Table1[[#This Row],[Unit_Price]])</f>
        <v>1424</v>
      </c>
      <c r="B175" s="47">
        <v>260.08</v>
      </c>
      <c r="C175" s="38">
        <f>Table2[[#This Row],[Profit]]/Table2[[#This Row],[Total_Sales]]</f>
        <v>0.18264044943820223</v>
      </c>
      <c r="D175" s="30" t="str">
        <f>IF(AND(Table2[[#This Row],[Profit_Margin %]]&gt;20%,Table2[[#This Row],[Total_Sales]]&gt;2000),"Excellent",IF(AND(Table2[[#This Row],[Profit_Margin %]]&gt;=10%,Table2[[#This Row],[Profit_Margin %]]&lt;=20%),"Good","Needs Improvement"))</f>
        <v>Good</v>
      </c>
    </row>
    <row r="176" spans="1:4" x14ac:dyDescent="0.25">
      <c r="A176" s="99">
        <f>PRODUCT(Table1[[#This Row],[Quantity]],Table1[[#This Row],[Unit_Price]])</f>
        <v>2396.8200000000002</v>
      </c>
      <c r="B176" s="47">
        <v>827.97</v>
      </c>
      <c r="C176" s="38">
        <f>Table2[[#This Row],[Profit]]/Table2[[#This Row],[Total_Sales]]</f>
        <v>0.34544521490975544</v>
      </c>
      <c r="D176" s="30" t="str">
        <f>IF(AND(Table2[[#This Row],[Profit_Margin %]]&gt;20%,Table2[[#This Row],[Total_Sales]]&gt;2000),"Excellent",IF(AND(Table2[[#This Row],[Profit_Margin %]]&gt;=10%,Table2[[#This Row],[Profit_Margin %]]&lt;=20%),"Good","Needs Improvement"))</f>
        <v>Excellent</v>
      </c>
    </row>
    <row r="177" spans="1:4" x14ac:dyDescent="0.25">
      <c r="A177" s="99">
        <f>PRODUCT(Table1[[#This Row],[Quantity]],Table1[[#This Row],[Unit_Price]])</f>
        <v>489.82000000000005</v>
      </c>
      <c r="B177" s="47">
        <v>166.92</v>
      </c>
      <c r="C177" s="38">
        <f>Table2[[#This Row],[Profit]]/Table2[[#This Row],[Total_Sales]]</f>
        <v>0.34077824506961735</v>
      </c>
      <c r="D177" s="30" t="str">
        <f>IF(AND(Table2[[#This Row],[Profit_Margin %]]&gt;20%,Table2[[#This Row],[Total_Sales]]&gt;2000),"Excellent",IF(AND(Table2[[#This Row],[Profit_Margin %]]&gt;=10%,Table2[[#This Row],[Profit_Margin %]]&lt;=20%),"Good","Needs Improvement"))</f>
        <v>Needs Improvement</v>
      </c>
    </row>
    <row r="178" spans="1:4" x14ac:dyDescent="0.25">
      <c r="A178" s="99">
        <f>PRODUCT(Table1[[#This Row],[Quantity]],Table1[[#This Row],[Unit_Price]])</f>
        <v>1308.49</v>
      </c>
      <c r="B178" s="47">
        <v>499.15</v>
      </c>
      <c r="C178" s="38">
        <f>Table2[[#This Row],[Profit]]/Table2[[#This Row],[Total_Sales]]</f>
        <v>0.38147024432743082</v>
      </c>
      <c r="D178" s="30" t="str">
        <f>IF(AND(Table2[[#This Row],[Profit_Margin %]]&gt;20%,Table2[[#This Row],[Total_Sales]]&gt;2000),"Excellent",IF(AND(Table2[[#This Row],[Profit_Margin %]]&gt;=10%,Table2[[#This Row],[Profit_Margin %]]&lt;=20%),"Good","Needs Improvement"))</f>
        <v>Needs Improvement</v>
      </c>
    </row>
    <row r="179" spans="1:4" x14ac:dyDescent="0.25">
      <c r="A179" s="99">
        <f>PRODUCT(Table1[[#This Row],[Quantity]],Table1[[#This Row],[Unit_Price]])</f>
        <v>318.07</v>
      </c>
      <c r="B179" s="47">
        <v>32.54</v>
      </c>
      <c r="C179" s="38">
        <f>Table2[[#This Row],[Profit]]/Table2[[#This Row],[Total_Sales]]</f>
        <v>0.10230452416134814</v>
      </c>
      <c r="D179" s="30" t="str">
        <f>IF(AND(Table2[[#This Row],[Profit_Margin %]]&gt;20%,Table2[[#This Row],[Total_Sales]]&gt;2000),"Excellent",IF(AND(Table2[[#This Row],[Profit_Margin %]]&gt;=10%,Table2[[#This Row],[Profit_Margin %]]&lt;=20%),"Good","Needs Improvement"))</f>
        <v>Good</v>
      </c>
    </row>
    <row r="180" spans="1:4" x14ac:dyDescent="0.25">
      <c r="A180" s="99">
        <f>PRODUCT(Table1[[#This Row],[Quantity]],Table1[[#This Row],[Unit_Price]])</f>
        <v>1050.28</v>
      </c>
      <c r="B180" s="47">
        <v>334.77</v>
      </c>
      <c r="C180" s="38">
        <f>Table2[[#This Row],[Profit]]/Table2[[#This Row],[Total_Sales]]</f>
        <v>0.31874357314240009</v>
      </c>
      <c r="D180" s="30" t="str">
        <f>IF(AND(Table2[[#This Row],[Profit_Margin %]]&gt;20%,Table2[[#This Row],[Total_Sales]]&gt;2000),"Excellent",IF(AND(Table2[[#This Row],[Profit_Margin %]]&gt;=10%,Table2[[#This Row],[Profit_Margin %]]&lt;=20%),"Good","Needs Improvement"))</f>
        <v>Needs Improvement</v>
      </c>
    </row>
    <row r="181" spans="1:4" x14ac:dyDescent="0.25">
      <c r="A181" s="99">
        <f>PRODUCT(Table1[[#This Row],[Quantity]],Table1[[#This Row],[Unit_Price]])</f>
        <v>514.91999999999996</v>
      </c>
      <c r="B181" s="47">
        <v>115.74</v>
      </c>
      <c r="C181" s="38">
        <f>Table2[[#This Row],[Profit]]/Table2[[#This Row],[Total_Sales]]</f>
        <v>0.22477278023770683</v>
      </c>
      <c r="D181" s="30" t="str">
        <f>IF(AND(Table2[[#This Row],[Profit_Margin %]]&gt;20%,Table2[[#This Row],[Total_Sales]]&gt;2000),"Excellent",IF(AND(Table2[[#This Row],[Profit_Margin %]]&gt;=10%,Table2[[#This Row],[Profit_Margin %]]&lt;=20%),"Good","Needs Improvement"))</f>
        <v>Needs Improvement</v>
      </c>
    </row>
    <row r="182" spans="1:4" x14ac:dyDescent="0.25">
      <c r="A182" s="99">
        <f>PRODUCT(Table1[[#This Row],[Quantity]],Table1[[#This Row],[Unit_Price]])</f>
        <v>1060.29</v>
      </c>
      <c r="B182" s="47">
        <v>187.95</v>
      </c>
      <c r="C182" s="38">
        <f>Table2[[#This Row],[Profit]]/Table2[[#This Row],[Total_Sales]]</f>
        <v>0.17726282432164783</v>
      </c>
      <c r="D182" s="30" t="str">
        <f>IF(AND(Table2[[#This Row],[Profit_Margin %]]&gt;20%,Table2[[#This Row],[Total_Sales]]&gt;2000),"Excellent",IF(AND(Table2[[#This Row],[Profit_Margin %]]&gt;=10%,Table2[[#This Row],[Profit_Margin %]]&lt;=20%),"Good","Needs Improvement"))</f>
        <v>Good</v>
      </c>
    </row>
    <row r="183" spans="1:4" x14ac:dyDescent="0.25">
      <c r="A183" s="99">
        <f>PRODUCT(Table1[[#This Row],[Quantity]],Table1[[#This Row],[Unit_Price]])</f>
        <v>1770.3799999999999</v>
      </c>
      <c r="B183" s="47">
        <v>206.98</v>
      </c>
      <c r="C183" s="38">
        <f>Table2[[#This Row],[Profit]]/Table2[[#This Row],[Total_Sales]]</f>
        <v>0.11691275319422949</v>
      </c>
      <c r="D183" s="30" t="str">
        <f>IF(AND(Table2[[#This Row],[Profit_Margin %]]&gt;20%,Table2[[#This Row],[Total_Sales]]&gt;2000),"Excellent",IF(AND(Table2[[#This Row],[Profit_Margin %]]&gt;=10%,Table2[[#This Row],[Profit_Margin %]]&lt;=20%),"Good","Needs Improvement"))</f>
        <v>Good</v>
      </c>
    </row>
    <row r="184" spans="1:4" x14ac:dyDescent="0.25">
      <c r="A184" s="99">
        <f>PRODUCT(Table1[[#This Row],[Quantity]],Table1[[#This Row],[Unit_Price]])</f>
        <v>732.6</v>
      </c>
      <c r="B184" s="47">
        <v>206.17</v>
      </c>
      <c r="C184" s="38">
        <f>Table2[[#This Row],[Profit]]/Table2[[#This Row],[Total_Sales]]</f>
        <v>0.28142233142233142</v>
      </c>
      <c r="D184" s="30" t="str">
        <f>IF(AND(Table2[[#This Row],[Profit_Margin %]]&gt;20%,Table2[[#This Row],[Total_Sales]]&gt;2000),"Excellent",IF(AND(Table2[[#This Row],[Profit_Margin %]]&gt;=10%,Table2[[#This Row],[Profit_Margin %]]&lt;=20%),"Good","Needs Improvement"))</f>
        <v>Needs Improvement</v>
      </c>
    </row>
    <row r="185" spans="1:4" x14ac:dyDescent="0.25">
      <c r="A185" s="99">
        <f>PRODUCT(Table1[[#This Row],[Quantity]],Table1[[#This Row],[Unit_Price]])</f>
        <v>72.239999999999995</v>
      </c>
      <c r="B185" s="47">
        <v>16.579999999999998</v>
      </c>
      <c r="C185" s="38">
        <f>Table2[[#This Row],[Profit]]/Table2[[#This Row],[Total_Sales]]</f>
        <v>0.22951273532668881</v>
      </c>
      <c r="D185" s="30" t="str">
        <f>IF(AND(Table2[[#This Row],[Profit_Margin %]]&gt;20%,Table2[[#This Row],[Total_Sales]]&gt;2000),"Excellent",IF(AND(Table2[[#This Row],[Profit_Margin %]]&gt;=10%,Table2[[#This Row],[Profit_Margin %]]&lt;=20%),"Good","Needs Improvement"))</f>
        <v>Needs Improvement</v>
      </c>
    </row>
    <row r="186" spans="1:4" x14ac:dyDescent="0.25">
      <c r="A186" s="99">
        <f>PRODUCT(Table1[[#This Row],[Quantity]],Table1[[#This Row],[Unit_Price]])</f>
        <v>2223.6000000000004</v>
      </c>
      <c r="B186" s="47">
        <v>749.03</v>
      </c>
      <c r="C186" s="38">
        <f>Table2[[#This Row],[Profit]]/Table2[[#This Row],[Total_Sales]]</f>
        <v>0.33685465011692745</v>
      </c>
      <c r="D186" s="30" t="str">
        <f>IF(AND(Table2[[#This Row],[Profit_Margin %]]&gt;20%,Table2[[#This Row],[Total_Sales]]&gt;2000),"Excellent",IF(AND(Table2[[#This Row],[Profit_Margin %]]&gt;=10%,Table2[[#This Row],[Profit_Margin %]]&lt;=20%),"Good","Needs Improvement"))</f>
        <v>Excellent</v>
      </c>
    </row>
    <row r="187" spans="1:4" x14ac:dyDescent="0.25">
      <c r="A187" s="99">
        <f>PRODUCT(Table1[[#This Row],[Quantity]],Table1[[#This Row],[Unit_Price]])</f>
        <v>157.89999999999998</v>
      </c>
      <c r="B187" s="47">
        <v>29.17</v>
      </c>
      <c r="C187" s="38">
        <f>Table2[[#This Row],[Profit]]/Table2[[#This Row],[Total_Sales]]</f>
        <v>0.1847371754274858</v>
      </c>
      <c r="D187" s="30" t="str">
        <f>IF(AND(Table2[[#This Row],[Profit_Margin %]]&gt;20%,Table2[[#This Row],[Total_Sales]]&gt;2000),"Excellent",IF(AND(Table2[[#This Row],[Profit_Margin %]]&gt;=10%,Table2[[#This Row],[Profit_Margin %]]&lt;=20%),"Good","Needs Improvement"))</f>
        <v>Good</v>
      </c>
    </row>
    <row r="188" spans="1:4" x14ac:dyDescent="0.25">
      <c r="A188" s="99">
        <f>PRODUCT(Table1[[#This Row],[Quantity]],Table1[[#This Row],[Unit_Price]])</f>
        <v>1333.5</v>
      </c>
      <c r="B188" s="47">
        <v>353.35</v>
      </c>
      <c r="C188" s="38">
        <f>Table2[[#This Row],[Profit]]/Table2[[#This Row],[Total_Sales]]</f>
        <v>0.26497937757780277</v>
      </c>
      <c r="D188" s="30" t="str">
        <f>IF(AND(Table2[[#This Row],[Profit_Margin %]]&gt;20%,Table2[[#This Row],[Total_Sales]]&gt;2000),"Excellent",IF(AND(Table2[[#This Row],[Profit_Margin %]]&gt;=10%,Table2[[#This Row],[Profit_Margin %]]&lt;=20%),"Good","Needs Improvement"))</f>
        <v>Needs Improvement</v>
      </c>
    </row>
    <row r="189" spans="1:4" x14ac:dyDescent="0.25">
      <c r="A189" s="99">
        <f>PRODUCT(Table1[[#This Row],[Quantity]],Table1[[#This Row],[Unit_Price]])</f>
        <v>351.56</v>
      </c>
      <c r="B189" s="47">
        <v>69.59</v>
      </c>
      <c r="C189" s="38">
        <f>Table2[[#This Row],[Profit]]/Table2[[#This Row],[Total_Sales]]</f>
        <v>0.19794629650699738</v>
      </c>
      <c r="D189" s="30" t="str">
        <f>IF(AND(Table2[[#This Row],[Profit_Margin %]]&gt;20%,Table2[[#This Row],[Total_Sales]]&gt;2000),"Excellent",IF(AND(Table2[[#This Row],[Profit_Margin %]]&gt;=10%,Table2[[#This Row],[Profit_Margin %]]&lt;=20%),"Good","Needs Improvement"))</f>
        <v>Good</v>
      </c>
    </row>
    <row r="190" spans="1:4" x14ac:dyDescent="0.25">
      <c r="A190" s="99">
        <f>PRODUCT(Table1[[#This Row],[Quantity]],Table1[[#This Row],[Unit_Price]])</f>
        <v>1600.51</v>
      </c>
      <c r="B190" s="47">
        <v>482.45</v>
      </c>
      <c r="C190" s="38">
        <f>Table2[[#This Row],[Profit]]/Table2[[#This Row],[Total_Sales]]</f>
        <v>0.30143516754034649</v>
      </c>
      <c r="D190" s="30" t="str">
        <f>IF(AND(Table2[[#This Row],[Profit_Margin %]]&gt;20%,Table2[[#This Row],[Total_Sales]]&gt;2000),"Excellent",IF(AND(Table2[[#This Row],[Profit_Margin %]]&gt;=10%,Table2[[#This Row],[Profit_Margin %]]&lt;=20%),"Good","Needs Improvement"))</f>
        <v>Needs Improvement</v>
      </c>
    </row>
    <row r="191" spans="1:4" x14ac:dyDescent="0.25">
      <c r="A191" s="99">
        <f>PRODUCT(Table1[[#This Row],[Quantity]],Table1[[#This Row],[Unit_Price]])</f>
        <v>2095.08</v>
      </c>
      <c r="B191" s="47">
        <v>824.95</v>
      </c>
      <c r="C191" s="38">
        <f>Table2[[#This Row],[Profit]]/Table2[[#This Row],[Total_Sales]]</f>
        <v>0.39375584703209426</v>
      </c>
      <c r="D191" s="30" t="str">
        <f>IF(AND(Table2[[#This Row],[Profit_Margin %]]&gt;20%,Table2[[#This Row],[Total_Sales]]&gt;2000),"Excellent",IF(AND(Table2[[#This Row],[Profit_Margin %]]&gt;=10%,Table2[[#This Row],[Profit_Margin %]]&lt;=20%),"Good","Needs Improvement"))</f>
        <v>Excellent</v>
      </c>
    </row>
    <row r="192" spans="1:4" x14ac:dyDescent="0.25">
      <c r="A192" s="99">
        <f>PRODUCT(Table1[[#This Row],[Quantity]],Table1[[#This Row],[Unit_Price]])</f>
        <v>400.3</v>
      </c>
      <c r="B192" s="47">
        <v>149.5</v>
      </c>
      <c r="C192" s="38">
        <f>Table2[[#This Row],[Profit]]/Table2[[#This Row],[Total_Sales]]</f>
        <v>0.37346989757681737</v>
      </c>
      <c r="D192" s="30" t="str">
        <f>IF(AND(Table2[[#This Row],[Profit_Margin %]]&gt;20%,Table2[[#This Row],[Total_Sales]]&gt;2000),"Excellent",IF(AND(Table2[[#This Row],[Profit_Margin %]]&gt;=10%,Table2[[#This Row],[Profit_Margin %]]&lt;=20%),"Good","Needs Improvement"))</f>
        <v>Needs Improvement</v>
      </c>
    </row>
    <row r="193" spans="1:4" x14ac:dyDescent="0.25">
      <c r="A193" s="99">
        <f>PRODUCT(Table1[[#This Row],[Quantity]],Table1[[#This Row],[Unit_Price]])</f>
        <v>719.9</v>
      </c>
      <c r="B193" s="47">
        <v>212.02</v>
      </c>
      <c r="C193" s="38">
        <f>Table2[[#This Row],[Profit]]/Table2[[#This Row],[Total_Sales]]</f>
        <v>0.29451312682316994</v>
      </c>
      <c r="D193" s="30" t="str">
        <f>IF(AND(Table2[[#This Row],[Profit_Margin %]]&gt;20%,Table2[[#This Row],[Total_Sales]]&gt;2000),"Excellent",IF(AND(Table2[[#This Row],[Profit_Margin %]]&gt;=10%,Table2[[#This Row],[Profit_Margin %]]&lt;=20%),"Good","Needs Improvement"))</f>
        <v>Needs Improvement</v>
      </c>
    </row>
    <row r="194" spans="1:4" x14ac:dyDescent="0.25">
      <c r="A194" s="99">
        <f>PRODUCT(Table1[[#This Row],[Quantity]],Table1[[#This Row],[Unit_Price]])</f>
        <v>1864.43</v>
      </c>
      <c r="B194" s="47">
        <v>509.37</v>
      </c>
      <c r="C194" s="38">
        <f>Table2[[#This Row],[Profit]]/Table2[[#This Row],[Total_Sales]]</f>
        <v>0.27320414282113031</v>
      </c>
      <c r="D194" s="30" t="str">
        <f>IF(AND(Table2[[#This Row],[Profit_Margin %]]&gt;20%,Table2[[#This Row],[Total_Sales]]&gt;2000),"Excellent",IF(AND(Table2[[#This Row],[Profit_Margin %]]&gt;=10%,Table2[[#This Row],[Profit_Margin %]]&lt;=20%),"Good","Needs Improvement"))</f>
        <v>Needs Improvement</v>
      </c>
    </row>
    <row r="195" spans="1:4" x14ac:dyDescent="0.25">
      <c r="A195" s="99">
        <f>PRODUCT(Table1[[#This Row],[Quantity]],Table1[[#This Row],[Unit_Price]])</f>
        <v>644.8599999999999</v>
      </c>
      <c r="B195" s="47">
        <v>120.36</v>
      </c>
      <c r="C195" s="38">
        <f>Table2[[#This Row],[Profit]]/Table2[[#This Row],[Total_Sales]]</f>
        <v>0.18664516329125705</v>
      </c>
      <c r="D195" s="30" t="str">
        <f>IF(AND(Table2[[#This Row],[Profit_Margin %]]&gt;20%,Table2[[#This Row],[Total_Sales]]&gt;2000),"Excellent",IF(AND(Table2[[#This Row],[Profit_Margin %]]&gt;=10%,Table2[[#This Row],[Profit_Margin %]]&lt;=20%),"Good","Needs Improvement"))</f>
        <v>Good</v>
      </c>
    </row>
    <row r="196" spans="1:4" x14ac:dyDescent="0.25">
      <c r="A196" s="99">
        <f>PRODUCT(Table1[[#This Row],[Quantity]],Table1[[#This Row],[Unit_Price]])</f>
        <v>71.84</v>
      </c>
      <c r="B196" s="47">
        <v>29.5</v>
      </c>
      <c r="C196" s="38">
        <f>Table2[[#This Row],[Profit]]/Table2[[#This Row],[Total_Sales]]</f>
        <v>0.41063474387527837</v>
      </c>
      <c r="D196" s="30" t="str">
        <f>IF(AND(Table2[[#This Row],[Profit_Margin %]]&gt;20%,Table2[[#This Row],[Total_Sales]]&gt;2000),"Excellent",IF(AND(Table2[[#This Row],[Profit_Margin %]]&gt;=10%,Table2[[#This Row],[Profit_Margin %]]&lt;=20%),"Good","Needs Improvement"))</f>
        <v>Needs Improvement</v>
      </c>
    </row>
    <row r="197" spans="1:4" x14ac:dyDescent="0.25">
      <c r="A197" s="99">
        <f>PRODUCT(Table1[[#This Row],[Quantity]],Table1[[#This Row],[Unit_Price]])</f>
        <v>1529.76</v>
      </c>
      <c r="B197" s="47">
        <v>479.91</v>
      </c>
      <c r="C197" s="38">
        <f>Table2[[#This Row],[Profit]]/Table2[[#This Row],[Total_Sales]]</f>
        <v>0.31371587700031378</v>
      </c>
      <c r="D197" s="30" t="str">
        <f>IF(AND(Table2[[#This Row],[Profit_Margin %]]&gt;20%,Table2[[#This Row],[Total_Sales]]&gt;2000),"Excellent",IF(AND(Table2[[#This Row],[Profit_Margin %]]&gt;=10%,Table2[[#This Row],[Profit_Margin %]]&lt;=20%),"Good","Needs Improvement"))</f>
        <v>Needs Improvement</v>
      </c>
    </row>
    <row r="198" spans="1:4" x14ac:dyDescent="0.25">
      <c r="A198" s="99">
        <f>PRODUCT(Table1[[#This Row],[Quantity]],Table1[[#This Row],[Unit_Price]])</f>
        <v>3220</v>
      </c>
      <c r="B198" s="47">
        <v>1219.8900000000001</v>
      </c>
      <c r="C198" s="38">
        <f>Table2[[#This Row],[Profit]]/Table2[[#This Row],[Total_Sales]]</f>
        <v>0.37884782608695655</v>
      </c>
      <c r="D198" s="30" t="str">
        <f>IF(AND(Table2[[#This Row],[Profit_Margin %]]&gt;20%,Table2[[#This Row],[Total_Sales]]&gt;2000),"Excellent",IF(AND(Table2[[#This Row],[Profit_Margin %]]&gt;=10%,Table2[[#This Row],[Profit_Margin %]]&lt;=20%),"Good","Needs Improvement"))</f>
        <v>Excellent</v>
      </c>
    </row>
    <row r="199" spans="1:4" x14ac:dyDescent="0.25">
      <c r="A199" s="99">
        <f>PRODUCT(Table1[[#This Row],[Quantity]],Table1[[#This Row],[Unit_Price]])</f>
        <v>2596.5</v>
      </c>
      <c r="B199" s="47">
        <v>918.98</v>
      </c>
      <c r="C199" s="38">
        <f>Table2[[#This Row],[Profit]]/Table2[[#This Row],[Total_Sales]]</f>
        <v>0.35393029077604471</v>
      </c>
      <c r="D199" s="30" t="str">
        <f>IF(AND(Table2[[#This Row],[Profit_Margin %]]&gt;20%,Table2[[#This Row],[Total_Sales]]&gt;2000),"Excellent",IF(AND(Table2[[#This Row],[Profit_Margin %]]&gt;=10%,Table2[[#This Row],[Profit_Margin %]]&lt;=20%),"Good","Needs Improvement"))</f>
        <v>Excellent</v>
      </c>
    </row>
    <row r="200" spans="1:4" x14ac:dyDescent="0.25">
      <c r="A200" s="99">
        <f>PRODUCT(Table1[[#This Row],[Quantity]],Table1[[#This Row],[Unit_Price]])</f>
        <v>465.29</v>
      </c>
      <c r="B200" s="47">
        <v>154.75</v>
      </c>
      <c r="C200" s="38">
        <f>Table2[[#This Row],[Profit]]/Table2[[#This Row],[Total_Sales]]</f>
        <v>0.33258827827806314</v>
      </c>
      <c r="D200" s="30" t="str">
        <f>IF(AND(Table2[[#This Row],[Profit_Margin %]]&gt;20%,Table2[[#This Row],[Total_Sales]]&gt;2000),"Excellent",IF(AND(Table2[[#This Row],[Profit_Margin %]]&gt;=10%,Table2[[#This Row],[Profit_Margin %]]&lt;=20%),"Good","Needs Improvement"))</f>
        <v>Needs Improvement</v>
      </c>
    </row>
    <row r="201" spans="1:4" x14ac:dyDescent="0.25">
      <c r="A201" s="99">
        <f>PRODUCT(Table1[[#This Row],[Quantity]],Table1[[#This Row],[Unit_Price]])</f>
        <v>229.60000000000002</v>
      </c>
      <c r="B201" s="47">
        <v>31.34</v>
      </c>
      <c r="C201" s="38">
        <f>Table2[[#This Row],[Profit]]/Table2[[#This Row],[Total_Sales]]</f>
        <v>0.13649825783972125</v>
      </c>
      <c r="D201" s="30" t="str">
        <f>IF(AND(Table2[[#This Row],[Profit_Margin %]]&gt;20%,Table2[[#This Row],[Total_Sales]]&gt;2000),"Excellent",IF(AND(Table2[[#This Row],[Profit_Margin %]]&gt;=10%,Table2[[#This Row],[Profit_Margin %]]&lt;=20%),"Good","Needs Improvement"))</f>
        <v>Good</v>
      </c>
    </row>
    <row r="202" spans="1:4" x14ac:dyDescent="0.25">
      <c r="A202" s="99">
        <f>PRODUCT(Table1[[#This Row],[Quantity]],Table1[[#This Row],[Unit_Price]])</f>
        <v>2193.6000000000004</v>
      </c>
      <c r="B202" s="47">
        <v>704.34</v>
      </c>
      <c r="C202" s="38">
        <f>Table2[[#This Row],[Profit]]/Table2[[#This Row],[Total_Sales]]</f>
        <v>0.32108862144420125</v>
      </c>
      <c r="D202" s="30" t="str">
        <f>IF(AND(Table2[[#This Row],[Profit_Margin %]]&gt;20%,Table2[[#This Row],[Total_Sales]]&gt;2000),"Excellent",IF(AND(Table2[[#This Row],[Profit_Margin %]]&gt;=10%,Table2[[#This Row],[Profit_Margin %]]&lt;=20%),"Good","Needs Improvement"))</f>
        <v>Excellent</v>
      </c>
    </row>
    <row r="203" spans="1:4" x14ac:dyDescent="0.25">
      <c r="A203" s="99">
        <f>PRODUCT(Table1[[#This Row],[Quantity]],Table1[[#This Row],[Unit_Price]])</f>
        <v>255.01</v>
      </c>
      <c r="B203" s="47">
        <v>73.709999999999994</v>
      </c>
      <c r="C203" s="38">
        <f>Table2[[#This Row],[Profit]]/Table2[[#This Row],[Total_Sales]]</f>
        <v>0.28904748833379079</v>
      </c>
      <c r="D203" s="30" t="str">
        <f>IF(AND(Table2[[#This Row],[Profit_Margin %]]&gt;20%,Table2[[#This Row],[Total_Sales]]&gt;2000),"Excellent",IF(AND(Table2[[#This Row],[Profit_Margin %]]&gt;=10%,Table2[[#This Row],[Profit_Margin %]]&lt;=20%),"Good","Needs Improvement"))</f>
        <v>Needs Improvement</v>
      </c>
    </row>
    <row r="204" spans="1:4" x14ac:dyDescent="0.25">
      <c r="A204" s="99">
        <f>PRODUCT(Table1[[#This Row],[Quantity]],Table1[[#This Row],[Unit_Price]])</f>
        <v>759.72</v>
      </c>
      <c r="B204" s="47">
        <v>222.38</v>
      </c>
      <c r="C204" s="38">
        <f>Table2[[#This Row],[Profit]]/Table2[[#This Row],[Total_Sales]]</f>
        <v>0.29271310482809454</v>
      </c>
      <c r="D204" s="30" t="str">
        <f>IF(AND(Table2[[#This Row],[Profit_Margin %]]&gt;20%,Table2[[#This Row],[Total_Sales]]&gt;2000),"Excellent",IF(AND(Table2[[#This Row],[Profit_Margin %]]&gt;=10%,Table2[[#This Row],[Profit_Margin %]]&lt;=20%),"Good","Needs Improvement"))</f>
        <v>Needs Improvement</v>
      </c>
    </row>
    <row r="205" spans="1:4" x14ac:dyDescent="0.25">
      <c r="A205" s="99">
        <f>PRODUCT(Table1[[#This Row],[Quantity]],Table1[[#This Row],[Unit_Price]])</f>
        <v>1359.05</v>
      </c>
      <c r="B205" s="47">
        <v>477.63</v>
      </c>
      <c r="C205" s="38">
        <f>Table2[[#This Row],[Profit]]/Table2[[#This Row],[Total_Sales]]</f>
        <v>0.35144402339869762</v>
      </c>
      <c r="D205" s="30" t="str">
        <f>IF(AND(Table2[[#This Row],[Profit_Margin %]]&gt;20%,Table2[[#This Row],[Total_Sales]]&gt;2000),"Excellent",IF(AND(Table2[[#This Row],[Profit_Margin %]]&gt;=10%,Table2[[#This Row],[Profit_Margin %]]&lt;=20%),"Good","Needs Improvement"))</f>
        <v>Needs Improvement</v>
      </c>
    </row>
    <row r="206" spans="1:4" x14ac:dyDescent="0.25">
      <c r="A206" s="99">
        <f>PRODUCT(Table1[[#This Row],[Quantity]],Table1[[#This Row],[Unit_Price]])</f>
        <v>1277.6399999999999</v>
      </c>
      <c r="B206" s="47">
        <v>461.83</v>
      </c>
      <c r="C206" s="38">
        <f>Table2[[#This Row],[Profit]]/Table2[[#This Row],[Total_Sales]]</f>
        <v>0.36147114993268842</v>
      </c>
      <c r="D206" s="30" t="str">
        <f>IF(AND(Table2[[#This Row],[Profit_Margin %]]&gt;20%,Table2[[#This Row],[Total_Sales]]&gt;2000),"Excellent",IF(AND(Table2[[#This Row],[Profit_Margin %]]&gt;=10%,Table2[[#This Row],[Profit_Margin %]]&lt;=20%),"Good","Needs Improvement"))</f>
        <v>Needs Improvement</v>
      </c>
    </row>
    <row r="207" spans="1:4" x14ac:dyDescent="0.25">
      <c r="A207" s="99">
        <f>PRODUCT(Table1[[#This Row],[Quantity]],Table1[[#This Row],[Unit_Price]])</f>
        <v>318.95999999999998</v>
      </c>
      <c r="B207" s="47">
        <v>47.01</v>
      </c>
      <c r="C207" s="38">
        <f>Table2[[#This Row],[Profit]]/Table2[[#This Row],[Total_Sales]]</f>
        <v>0.14738525206922498</v>
      </c>
      <c r="D207" s="30" t="str">
        <f>IF(AND(Table2[[#This Row],[Profit_Margin %]]&gt;20%,Table2[[#This Row],[Total_Sales]]&gt;2000),"Excellent",IF(AND(Table2[[#This Row],[Profit_Margin %]]&gt;=10%,Table2[[#This Row],[Profit_Margin %]]&lt;=20%),"Good","Needs Improvement"))</f>
        <v>Good</v>
      </c>
    </row>
    <row r="208" spans="1:4" x14ac:dyDescent="0.25">
      <c r="A208" s="99">
        <f>PRODUCT(Table1[[#This Row],[Quantity]],Table1[[#This Row],[Unit_Price]])</f>
        <v>631</v>
      </c>
      <c r="B208" s="47">
        <v>204.07</v>
      </c>
      <c r="C208" s="38">
        <f>Table2[[#This Row],[Profit]]/Table2[[#This Row],[Total_Sales]]</f>
        <v>0.32340729001584784</v>
      </c>
      <c r="D208" s="30" t="str">
        <f>IF(AND(Table2[[#This Row],[Profit_Margin %]]&gt;20%,Table2[[#This Row],[Total_Sales]]&gt;2000),"Excellent",IF(AND(Table2[[#This Row],[Profit_Margin %]]&gt;=10%,Table2[[#This Row],[Profit_Margin %]]&lt;=20%),"Good","Needs Improvement"))</f>
        <v>Needs Improvement</v>
      </c>
    </row>
    <row r="209" spans="1:4" x14ac:dyDescent="0.25">
      <c r="A209" s="99">
        <f>PRODUCT(Table1[[#This Row],[Quantity]],Table1[[#This Row],[Unit_Price]])</f>
        <v>165.3</v>
      </c>
      <c r="B209" s="47">
        <v>60.13</v>
      </c>
      <c r="C209" s="38">
        <f>Table2[[#This Row],[Profit]]/Table2[[#This Row],[Total_Sales]]</f>
        <v>0.36376285541439807</v>
      </c>
      <c r="D209" s="30" t="str">
        <f>IF(AND(Table2[[#This Row],[Profit_Margin %]]&gt;20%,Table2[[#This Row],[Total_Sales]]&gt;2000),"Excellent",IF(AND(Table2[[#This Row],[Profit_Margin %]]&gt;=10%,Table2[[#This Row],[Profit_Margin %]]&lt;=20%),"Good","Needs Improvement"))</f>
        <v>Needs Improvement</v>
      </c>
    </row>
    <row r="210" spans="1:4" x14ac:dyDescent="0.25">
      <c r="A210" s="99">
        <f>PRODUCT(Table1[[#This Row],[Quantity]],Table1[[#This Row],[Unit_Price]])</f>
        <v>515.05999999999995</v>
      </c>
      <c r="B210" s="47">
        <v>101.76</v>
      </c>
      <c r="C210" s="38">
        <f>Table2[[#This Row],[Profit]]/Table2[[#This Row],[Total_Sales]]</f>
        <v>0.19756921523705978</v>
      </c>
      <c r="D210" s="30" t="str">
        <f>IF(AND(Table2[[#This Row],[Profit_Margin %]]&gt;20%,Table2[[#This Row],[Total_Sales]]&gt;2000),"Excellent",IF(AND(Table2[[#This Row],[Profit_Margin %]]&gt;=10%,Table2[[#This Row],[Profit_Margin %]]&lt;=20%),"Good","Needs Improvement"))</f>
        <v>Good</v>
      </c>
    </row>
    <row r="211" spans="1:4" x14ac:dyDescent="0.25">
      <c r="A211" s="99">
        <f>PRODUCT(Table1[[#This Row],[Quantity]],Table1[[#This Row],[Unit_Price]])</f>
        <v>906.78000000000009</v>
      </c>
      <c r="B211" s="47">
        <v>196.18</v>
      </c>
      <c r="C211" s="38">
        <f>Table2[[#This Row],[Profit]]/Table2[[#This Row],[Total_Sales]]</f>
        <v>0.21634795650543681</v>
      </c>
      <c r="D211" s="30" t="str">
        <f>IF(AND(Table2[[#This Row],[Profit_Margin %]]&gt;20%,Table2[[#This Row],[Total_Sales]]&gt;2000),"Excellent",IF(AND(Table2[[#This Row],[Profit_Margin %]]&gt;=10%,Table2[[#This Row],[Profit_Margin %]]&lt;=20%),"Good","Needs Improvement"))</f>
        <v>Needs Improvement</v>
      </c>
    </row>
    <row r="212" spans="1:4" x14ac:dyDescent="0.25">
      <c r="A212" s="99">
        <f>PRODUCT(Table1[[#This Row],[Quantity]],Table1[[#This Row],[Unit_Price]])</f>
        <v>479.91</v>
      </c>
      <c r="B212" s="47">
        <v>108.03</v>
      </c>
      <c r="C212" s="38">
        <f>Table2[[#This Row],[Profit]]/Table2[[#This Row],[Total_Sales]]</f>
        <v>0.22510470713258734</v>
      </c>
      <c r="D212" s="30" t="str">
        <f>IF(AND(Table2[[#This Row],[Profit_Margin %]]&gt;20%,Table2[[#This Row],[Total_Sales]]&gt;2000),"Excellent",IF(AND(Table2[[#This Row],[Profit_Margin %]]&gt;=10%,Table2[[#This Row],[Profit_Margin %]]&lt;=20%),"Good","Needs Improvement"))</f>
        <v>Needs Improvement</v>
      </c>
    </row>
    <row r="213" spans="1:4" x14ac:dyDescent="0.25">
      <c r="A213" s="99">
        <f>PRODUCT(Table1[[#This Row],[Quantity]],Table1[[#This Row],[Unit_Price]])</f>
        <v>1060.92</v>
      </c>
      <c r="B213" s="47">
        <v>227.87</v>
      </c>
      <c r="C213" s="38">
        <f>Table2[[#This Row],[Profit]]/Table2[[#This Row],[Total_Sales]]</f>
        <v>0.21478528069976999</v>
      </c>
      <c r="D213" s="30" t="str">
        <f>IF(AND(Table2[[#This Row],[Profit_Margin %]]&gt;20%,Table2[[#This Row],[Total_Sales]]&gt;2000),"Excellent",IF(AND(Table2[[#This Row],[Profit_Margin %]]&gt;=10%,Table2[[#This Row],[Profit_Margin %]]&lt;=20%),"Good","Needs Improvement"))</f>
        <v>Needs Improvement</v>
      </c>
    </row>
    <row r="214" spans="1:4" x14ac:dyDescent="0.25">
      <c r="A214" s="99">
        <f>PRODUCT(Table1[[#This Row],[Quantity]],Table1[[#This Row],[Unit_Price]])</f>
        <v>54.54</v>
      </c>
      <c r="B214" s="47">
        <v>17.09</v>
      </c>
      <c r="C214" s="38">
        <f>Table2[[#This Row],[Profit]]/Table2[[#This Row],[Total_Sales]]</f>
        <v>0.31334800146681335</v>
      </c>
      <c r="D214" s="30" t="str">
        <f>IF(AND(Table2[[#This Row],[Profit_Margin %]]&gt;20%,Table2[[#This Row],[Total_Sales]]&gt;2000),"Excellent",IF(AND(Table2[[#This Row],[Profit_Margin %]]&gt;=10%,Table2[[#This Row],[Profit_Margin %]]&lt;=20%),"Good","Needs Improvement"))</f>
        <v>Needs Improvement</v>
      </c>
    </row>
    <row r="215" spans="1:4" x14ac:dyDescent="0.25">
      <c r="A215" s="99">
        <f>PRODUCT(Table1[[#This Row],[Quantity]],Table1[[#This Row],[Unit_Price]])</f>
        <v>2157.6000000000004</v>
      </c>
      <c r="B215" s="47">
        <v>665.19</v>
      </c>
      <c r="C215" s="38">
        <f>Table2[[#This Row],[Profit]]/Table2[[#This Row],[Total_Sales]]</f>
        <v>0.30830088987764181</v>
      </c>
      <c r="D215" s="30" t="str">
        <f>IF(AND(Table2[[#This Row],[Profit_Margin %]]&gt;20%,Table2[[#This Row],[Total_Sales]]&gt;2000),"Excellent",IF(AND(Table2[[#This Row],[Profit_Margin %]]&gt;=10%,Table2[[#This Row],[Profit_Margin %]]&lt;=20%),"Good","Needs Improvement"))</f>
        <v>Excellent</v>
      </c>
    </row>
    <row r="216" spans="1:4" x14ac:dyDescent="0.25">
      <c r="A216" s="99">
        <f>PRODUCT(Table1[[#This Row],[Quantity]],Table1[[#This Row],[Unit_Price]])</f>
        <v>657.80000000000007</v>
      </c>
      <c r="B216" s="47">
        <v>184.44</v>
      </c>
      <c r="C216" s="38">
        <f>Table2[[#This Row],[Profit]]/Table2[[#This Row],[Total_Sales]]</f>
        <v>0.28038917604134994</v>
      </c>
      <c r="D216" s="30" t="str">
        <f>IF(AND(Table2[[#This Row],[Profit_Margin %]]&gt;20%,Table2[[#This Row],[Total_Sales]]&gt;2000),"Excellent",IF(AND(Table2[[#This Row],[Profit_Margin %]]&gt;=10%,Table2[[#This Row],[Profit_Margin %]]&lt;=20%),"Good","Needs Improvement"))</f>
        <v>Needs Improvement</v>
      </c>
    </row>
    <row r="217" spans="1:4" x14ac:dyDescent="0.25">
      <c r="A217" s="99">
        <f>PRODUCT(Table1[[#This Row],[Quantity]],Table1[[#This Row],[Unit_Price]])</f>
        <v>469.8</v>
      </c>
      <c r="B217" s="47">
        <v>171.28</v>
      </c>
      <c r="C217" s="38">
        <f>Table2[[#This Row],[Profit]]/Table2[[#This Row],[Total_Sales]]</f>
        <v>0.36458067262664962</v>
      </c>
      <c r="D217" s="30" t="str">
        <f>IF(AND(Table2[[#This Row],[Profit_Margin %]]&gt;20%,Table2[[#This Row],[Total_Sales]]&gt;2000),"Excellent",IF(AND(Table2[[#This Row],[Profit_Margin %]]&gt;=10%,Table2[[#This Row],[Profit_Margin %]]&lt;=20%),"Good","Needs Improvement"))</f>
        <v>Needs Improvement</v>
      </c>
    </row>
    <row r="218" spans="1:4" x14ac:dyDescent="0.25">
      <c r="A218" s="99">
        <f>PRODUCT(Table1[[#This Row],[Quantity]],Table1[[#This Row],[Unit_Price]])</f>
        <v>786.45</v>
      </c>
      <c r="B218" s="47">
        <v>136.05000000000001</v>
      </c>
      <c r="C218" s="38">
        <f>Table2[[#This Row],[Profit]]/Table2[[#This Row],[Total_Sales]]</f>
        <v>0.17299256151058554</v>
      </c>
      <c r="D218" s="30" t="str">
        <f>IF(AND(Table2[[#This Row],[Profit_Margin %]]&gt;20%,Table2[[#This Row],[Total_Sales]]&gt;2000),"Excellent",IF(AND(Table2[[#This Row],[Profit_Margin %]]&gt;=10%,Table2[[#This Row],[Profit_Margin %]]&lt;=20%),"Good","Needs Improvement"))</f>
        <v>Good</v>
      </c>
    </row>
    <row r="219" spans="1:4" x14ac:dyDescent="0.25">
      <c r="A219" s="99">
        <f>PRODUCT(Table1[[#This Row],[Quantity]],Table1[[#This Row],[Unit_Price]])</f>
        <v>713.5</v>
      </c>
      <c r="B219" s="47">
        <v>163.12</v>
      </c>
      <c r="C219" s="38">
        <f>Table2[[#This Row],[Profit]]/Table2[[#This Row],[Total_Sales]]</f>
        <v>0.22861948142957253</v>
      </c>
      <c r="D219" s="30" t="str">
        <f>IF(AND(Table2[[#This Row],[Profit_Margin %]]&gt;20%,Table2[[#This Row],[Total_Sales]]&gt;2000),"Excellent",IF(AND(Table2[[#This Row],[Profit_Margin %]]&gt;=10%,Table2[[#This Row],[Profit_Margin %]]&lt;=20%),"Good","Needs Improvement"))</f>
        <v>Needs Improvement</v>
      </c>
    </row>
    <row r="220" spans="1:4" x14ac:dyDescent="0.25">
      <c r="A220" s="99">
        <f>PRODUCT(Table1[[#This Row],[Quantity]],Table1[[#This Row],[Unit_Price]])</f>
        <v>418.77</v>
      </c>
      <c r="B220" s="47">
        <v>114.75</v>
      </c>
      <c r="C220" s="38">
        <f>Table2[[#This Row],[Profit]]/Table2[[#This Row],[Total_Sales]]</f>
        <v>0.27401676337846553</v>
      </c>
      <c r="D220" s="30" t="str">
        <f>IF(AND(Table2[[#This Row],[Profit_Margin %]]&gt;20%,Table2[[#This Row],[Total_Sales]]&gt;2000),"Excellent",IF(AND(Table2[[#This Row],[Profit_Margin %]]&gt;=10%,Table2[[#This Row],[Profit_Margin %]]&lt;=20%),"Good","Needs Improvement"))</f>
        <v>Needs Improvement</v>
      </c>
    </row>
    <row r="221" spans="1:4" x14ac:dyDescent="0.25">
      <c r="A221" s="99">
        <f>PRODUCT(Table1[[#This Row],[Quantity]],Table1[[#This Row],[Unit_Price]])</f>
        <v>347.76</v>
      </c>
      <c r="B221" s="47">
        <v>47.42</v>
      </c>
      <c r="C221" s="38">
        <f>Table2[[#This Row],[Profit]]/Table2[[#This Row],[Total_Sales]]</f>
        <v>0.13635840809753855</v>
      </c>
      <c r="D221" s="30" t="str">
        <f>IF(AND(Table2[[#This Row],[Profit_Margin %]]&gt;20%,Table2[[#This Row],[Total_Sales]]&gt;2000),"Excellent",IF(AND(Table2[[#This Row],[Profit_Margin %]]&gt;=10%,Table2[[#This Row],[Profit_Margin %]]&lt;=20%),"Good","Needs Improvement"))</f>
        <v>Good</v>
      </c>
    </row>
    <row r="222" spans="1:4" x14ac:dyDescent="0.25">
      <c r="A222" s="99">
        <f>PRODUCT(Table1[[#This Row],[Quantity]],Table1[[#This Row],[Unit_Price]])</f>
        <v>2100.84</v>
      </c>
      <c r="B222" s="47">
        <v>835.19</v>
      </c>
      <c r="C222" s="38">
        <f>Table2[[#This Row],[Profit]]/Table2[[#This Row],[Total_Sales]]</f>
        <v>0.39755050360808059</v>
      </c>
      <c r="D222" s="30" t="str">
        <f>IF(AND(Table2[[#This Row],[Profit_Margin %]]&gt;20%,Table2[[#This Row],[Total_Sales]]&gt;2000),"Excellent",IF(AND(Table2[[#This Row],[Profit_Margin %]]&gt;=10%,Table2[[#This Row],[Profit_Margin %]]&lt;=20%),"Good","Needs Improvement"))</f>
        <v>Excellent</v>
      </c>
    </row>
    <row r="223" spans="1:4" x14ac:dyDescent="0.25">
      <c r="A223" s="99">
        <f>PRODUCT(Table1[[#This Row],[Quantity]],Table1[[#This Row],[Unit_Price]])</f>
        <v>642.07000000000005</v>
      </c>
      <c r="B223" s="47">
        <v>239.75</v>
      </c>
      <c r="C223" s="38">
        <f>Table2[[#This Row],[Profit]]/Table2[[#This Row],[Total_Sales]]</f>
        <v>0.37340165402526199</v>
      </c>
      <c r="D223" s="30" t="str">
        <f>IF(AND(Table2[[#This Row],[Profit_Margin %]]&gt;20%,Table2[[#This Row],[Total_Sales]]&gt;2000),"Excellent",IF(AND(Table2[[#This Row],[Profit_Margin %]]&gt;=10%,Table2[[#This Row],[Profit_Margin %]]&lt;=20%),"Good","Needs Improvement"))</f>
        <v>Needs Improvement</v>
      </c>
    </row>
    <row r="224" spans="1:4" x14ac:dyDescent="0.25">
      <c r="A224" s="99">
        <f>PRODUCT(Table1[[#This Row],[Quantity]],Table1[[#This Row],[Unit_Price]])</f>
        <v>342.9</v>
      </c>
      <c r="B224" s="47">
        <v>45.74</v>
      </c>
      <c r="C224" s="38">
        <f>Table2[[#This Row],[Profit]]/Table2[[#This Row],[Total_Sales]]</f>
        <v>0.13339165937591135</v>
      </c>
      <c r="D224" s="30" t="str">
        <f>IF(AND(Table2[[#This Row],[Profit_Margin %]]&gt;20%,Table2[[#This Row],[Total_Sales]]&gt;2000),"Excellent",IF(AND(Table2[[#This Row],[Profit_Margin %]]&gt;=10%,Table2[[#This Row],[Profit_Margin %]]&lt;=20%),"Good","Needs Improvement"))</f>
        <v>Good</v>
      </c>
    </row>
    <row r="225" spans="1:4" x14ac:dyDescent="0.25">
      <c r="A225" s="99">
        <f>PRODUCT(Table1[[#This Row],[Quantity]],Table1[[#This Row],[Unit_Price]])</f>
        <v>1378.99</v>
      </c>
      <c r="B225" s="47">
        <v>361.07</v>
      </c>
      <c r="C225" s="38">
        <f>Table2[[#This Row],[Profit]]/Table2[[#This Row],[Total_Sales]]</f>
        <v>0.26183656154141799</v>
      </c>
      <c r="D225" s="30" t="str">
        <f>IF(AND(Table2[[#This Row],[Profit_Margin %]]&gt;20%,Table2[[#This Row],[Total_Sales]]&gt;2000),"Excellent",IF(AND(Table2[[#This Row],[Profit_Margin %]]&gt;=10%,Table2[[#This Row],[Profit_Margin %]]&lt;=20%),"Good","Needs Improvement"))</f>
        <v>Needs Improvement</v>
      </c>
    </row>
    <row r="226" spans="1:4" x14ac:dyDescent="0.25">
      <c r="A226" s="99">
        <f>PRODUCT(Table1[[#This Row],[Quantity]],Table1[[#This Row],[Unit_Price]])</f>
        <v>2648.45</v>
      </c>
      <c r="B226" s="47">
        <v>866.65</v>
      </c>
      <c r="C226" s="38">
        <f>Table2[[#This Row],[Profit]]/Table2[[#This Row],[Total_Sales]]</f>
        <v>0.32722913402178633</v>
      </c>
      <c r="D226" s="30" t="str">
        <f>IF(AND(Table2[[#This Row],[Profit_Margin %]]&gt;20%,Table2[[#This Row],[Total_Sales]]&gt;2000),"Excellent",IF(AND(Table2[[#This Row],[Profit_Margin %]]&gt;=10%,Table2[[#This Row],[Profit_Margin %]]&lt;=20%),"Good","Needs Improvement"))</f>
        <v>Excellent</v>
      </c>
    </row>
    <row r="227" spans="1:4" x14ac:dyDescent="0.25">
      <c r="A227" s="99">
        <f>PRODUCT(Table1[[#This Row],[Quantity]],Table1[[#This Row],[Unit_Price]])</f>
        <v>661.9799999999999</v>
      </c>
      <c r="B227" s="47">
        <v>191.21</v>
      </c>
      <c r="C227" s="38">
        <f>Table2[[#This Row],[Profit]]/Table2[[#This Row],[Total_Sales]]</f>
        <v>0.28884558445874503</v>
      </c>
      <c r="D227" s="30" t="str">
        <f>IF(AND(Table2[[#This Row],[Profit_Margin %]]&gt;20%,Table2[[#This Row],[Total_Sales]]&gt;2000),"Excellent",IF(AND(Table2[[#This Row],[Profit_Margin %]]&gt;=10%,Table2[[#This Row],[Profit_Margin %]]&lt;=20%),"Good","Needs Improvement"))</f>
        <v>Needs Improvement</v>
      </c>
    </row>
    <row r="228" spans="1:4" x14ac:dyDescent="0.25">
      <c r="A228" s="99">
        <f>PRODUCT(Table1[[#This Row],[Quantity]],Table1[[#This Row],[Unit_Price]])</f>
        <v>1748.32</v>
      </c>
      <c r="B228" s="47">
        <v>251.85</v>
      </c>
      <c r="C228" s="38">
        <f>Table2[[#This Row],[Profit]]/Table2[[#This Row],[Total_Sales]]</f>
        <v>0.14405257618742565</v>
      </c>
      <c r="D228" s="30" t="str">
        <f>IF(AND(Table2[[#This Row],[Profit_Margin %]]&gt;20%,Table2[[#This Row],[Total_Sales]]&gt;2000),"Excellent",IF(AND(Table2[[#This Row],[Profit_Margin %]]&gt;=10%,Table2[[#This Row],[Profit_Margin %]]&lt;=20%),"Good","Needs Improvement"))</f>
        <v>Good</v>
      </c>
    </row>
    <row r="229" spans="1:4" x14ac:dyDescent="0.25">
      <c r="A229" s="99">
        <f>PRODUCT(Table1[[#This Row],[Quantity]],Table1[[#This Row],[Unit_Price]])</f>
        <v>710.47</v>
      </c>
      <c r="B229" s="47">
        <v>116.73</v>
      </c>
      <c r="C229" s="38">
        <f>Table2[[#This Row],[Profit]]/Table2[[#This Row],[Total_Sales]]</f>
        <v>0.16429968893830843</v>
      </c>
      <c r="D229" s="30" t="str">
        <f>IF(AND(Table2[[#This Row],[Profit_Margin %]]&gt;20%,Table2[[#This Row],[Total_Sales]]&gt;2000),"Excellent",IF(AND(Table2[[#This Row],[Profit_Margin %]]&gt;=10%,Table2[[#This Row],[Profit_Margin %]]&lt;=20%),"Good","Needs Improvement"))</f>
        <v>Good</v>
      </c>
    </row>
    <row r="230" spans="1:4" x14ac:dyDescent="0.25">
      <c r="A230" s="99">
        <f>PRODUCT(Table1[[#This Row],[Quantity]],Table1[[#This Row],[Unit_Price]])</f>
        <v>834.4</v>
      </c>
      <c r="B230" s="47">
        <v>325.29000000000002</v>
      </c>
      <c r="C230" s="38">
        <f>Table2[[#This Row],[Profit]]/Table2[[#This Row],[Total_Sales]]</f>
        <v>0.38984899328859063</v>
      </c>
      <c r="D230" s="30" t="str">
        <f>IF(AND(Table2[[#This Row],[Profit_Margin %]]&gt;20%,Table2[[#This Row],[Total_Sales]]&gt;2000),"Excellent",IF(AND(Table2[[#This Row],[Profit_Margin %]]&gt;=10%,Table2[[#This Row],[Profit_Margin %]]&lt;=20%),"Good","Needs Improvement"))</f>
        <v>Needs Improvement</v>
      </c>
    </row>
    <row r="231" spans="1:4" x14ac:dyDescent="0.25">
      <c r="A231" s="99">
        <f>PRODUCT(Table1[[#This Row],[Quantity]],Table1[[#This Row],[Unit_Price]])</f>
        <v>85.08</v>
      </c>
      <c r="B231" s="47">
        <v>13.12</v>
      </c>
      <c r="C231" s="38">
        <f>Table2[[#This Row],[Profit]]/Table2[[#This Row],[Total_Sales]]</f>
        <v>0.15420780441936999</v>
      </c>
      <c r="D231" s="30" t="str">
        <f>IF(AND(Table2[[#This Row],[Profit_Margin %]]&gt;20%,Table2[[#This Row],[Total_Sales]]&gt;2000),"Excellent",IF(AND(Table2[[#This Row],[Profit_Margin %]]&gt;=10%,Table2[[#This Row],[Profit_Margin %]]&lt;=20%),"Good","Needs Improvement"))</f>
        <v>Good</v>
      </c>
    </row>
    <row r="232" spans="1:4" x14ac:dyDescent="0.25">
      <c r="A232" s="99">
        <f>PRODUCT(Table1[[#This Row],[Quantity]],Table1[[#This Row],[Unit_Price]])</f>
        <v>619.64</v>
      </c>
      <c r="B232" s="47">
        <v>245.44</v>
      </c>
      <c r="C232" s="38">
        <f>Table2[[#This Row],[Profit]]/Table2[[#This Row],[Total_Sales]]</f>
        <v>0.39610096184881544</v>
      </c>
      <c r="D232" s="30" t="str">
        <f>IF(AND(Table2[[#This Row],[Profit_Margin %]]&gt;20%,Table2[[#This Row],[Total_Sales]]&gt;2000),"Excellent",IF(AND(Table2[[#This Row],[Profit_Margin %]]&gt;=10%,Table2[[#This Row],[Profit_Margin %]]&lt;=20%),"Good","Needs Improvement"))</f>
        <v>Needs Improvement</v>
      </c>
    </row>
    <row r="233" spans="1:4" x14ac:dyDescent="0.25">
      <c r="A233" s="99">
        <f>PRODUCT(Table1[[#This Row],[Quantity]],Table1[[#This Row],[Unit_Price]])</f>
        <v>773.36</v>
      </c>
      <c r="B233" s="47">
        <v>239.48</v>
      </c>
      <c r="C233" s="38">
        <f>Table2[[#This Row],[Profit]]/Table2[[#This Row],[Total_Sales]]</f>
        <v>0.30966173580221368</v>
      </c>
      <c r="D233" s="30" t="str">
        <f>IF(AND(Table2[[#This Row],[Profit_Margin %]]&gt;20%,Table2[[#This Row],[Total_Sales]]&gt;2000),"Excellent",IF(AND(Table2[[#This Row],[Profit_Margin %]]&gt;=10%,Table2[[#This Row],[Profit_Margin %]]&lt;=20%),"Good","Needs Improvement"))</f>
        <v>Needs Improvement</v>
      </c>
    </row>
    <row r="234" spans="1:4" x14ac:dyDescent="0.25">
      <c r="A234" s="99">
        <f>PRODUCT(Table1[[#This Row],[Quantity]],Table1[[#This Row],[Unit_Price]])</f>
        <v>1369.1999999999998</v>
      </c>
      <c r="B234" s="47">
        <v>291.17</v>
      </c>
      <c r="C234" s="38">
        <f>Table2[[#This Row],[Profit]]/Table2[[#This Row],[Total_Sales]]</f>
        <v>0.21265702600058431</v>
      </c>
      <c r="D234" s="30" t="str">
        <f>IF(AND(Table2[[#This Row],[Profit_Margin %]]&gt;20%,Table2[[#This Row],[Total_Sales]]&gt;2000),"Excellent",IF(AND(Table2[[#This Row],[Profit_Margin %]]&gt;=10%,Table2[[#This Row],[Profit_Margin %]]&lt;=20%),"Good","Needs Improvement"))</f>
        <v>Needs Improvement</v>
      </c>
    </row>
    <row r="235" spans="1:4" x14ac:dyDescent="0.25">
      <c r="A235" s="99">
        <f>PRODUCT(Table1[[#This Row],[Quantity]],Table1[[#This Row],[Unit_Price]])</f>
        <v>469.8</v>
      </c>
      <c r="B235" s="47">
        <v>78.3</v>
      </c>
      <c r="C235" s="38">
        <f>Table2[[#This Row],[Profit]]/Table2[[#This Row],[Total_Sales]]</f>
        <v>0.16666666666666666</v>
      </c>
      <c r="D235" s="30" t="str">
        <f>IF(AND(Table2[[#This Row],[Profit_Margin %]]&gt;20%,Table2[[#This Row],[Total_Sales]]&gt;2000),"Excellent",IF(AND(Table2[[#This Row],[Profit_Margin %]]&gt;=10%,Table2[[#This Row],[Profit_Margin %]]&lt;=20%),"Good","Needs Improvement"))</f>
        <v>Good</v>
      </c>
    </row>
    <row r="236" spans="1:4" x14ac:dyDescent="0.25">
      <c r="A236" s="99">
        <f>PRODUCT(Table1[[#This Row],[Quantity]],Table1[[#This Row],[Unit_Price]])</f>
        <v>1349.74</v>
      </c>
      <c r="B236" s="47">
        <v>474.88</v>
      </c>
      <c r="C236" s="38">
        <f>Table2[[#This Row],[Profit]]/Table2[[#This Row],[Total_Sales]]</f>
        <v>0.35183072295405038</v>
      </c>
      <c r="D236" s="30" t="str">
        <f>IF(AND(Table2[[#This Row],[Profit_Margin %]]&gt;20%,Table2[[#This Row],[Total_Sales]]&gt;2000),"Excellent",IF(AND(Table2[[#This Row],[Profit_Margin %]]&gt;=10%,Table2[[#This Row],[Profit_Margin %]]&lt;=20%),"Good","Needs Improvement"))</f>
        <v>Needs Improvement</v>
      </c>
    </row>
    <row r="237" spans="1:4" x14ac:dyDescent="0.25">
      <c r="A237" s="99">
        <f>PRODUCT(Table1[[#This Row],[Quantity]],Table1[[#This Row],[Unit_Price]])</f>
        <v>577.53</v>
      </c>
      <c r="B237" s="47">
        <v>60.38</v>
      </c>
      <c r="C237" s="38">
        <f>Table2[[#This Row],[Profit]]/Table2[[#This Row],[Total_Sales]]</f>
        <v>0.1045486814537773</v>
      </c>
      <c r="D237" s="30" t="str">
        <f>IF(AND(Table2[[#This Row],[Profit_Margin %]]&gt;20%,Table2[[#This Row],[Total_Sales]]&gt;2000),"Excellent",IF(AND(Table2[[#This Row],[Profit_Margin %]]&gt;=10%,Table2[[#This Row],[Profit_Margin %]]&lt;=20%),"Good","Needs Improvement"))</f>
        <v>Good</v>
      </c>
    </row>
    <row r="238" spans="1:4" x14ac:dyDescent="0.25">
      <c r="A238" s="99">
        <f>PRODUCT(Table1[[#This Row],[Quantity]],Table1[[#This Row],[Unit_Price]])</f>
        <v>1036.6400000000001</v>
      </c>
      <c r="B238" s="47">
        <v>237.87</v>
      </c>
      <c r="C238" s="38">
        <f>Table2[[#This Row],[Profit]]/Table2[[#This Row],[Total_Sales]]</f>
        <v>0.22946249421206974</v>
      </c>
      <c r="D238" s="30" t="str">
        <f>IF(AND(Table2[[#This Row],[Profit_Margin %]]&gt;20%,Table2[[#This Row],[Total_Sales]]&gt;2000),"Excellent",IF(AND(Table2[[#This Row],[Profit_Margin %]]&gt;=10%,Table2[[#This Row],[Profit_Margin %]]&lt;=20%),"Good","Needs Improvement"))</f>
        <v>Needs Improvement</v>
      </c>
    </row>
    <row r="239" spans="1:4" x14ac:dyDescent="0.25">
      <c r="A239" s="99">
        <f>PRODUCT(Table1[[#This Row],[Quantity]],Table1[[#This Row],[Unit_Price]])</f>
        <v>1548.5</v>
      </c>
      <c r="B239" s="47">
        <v>566.41</v>
      </c>
      <c r="C239" s="38">
        <f>Table2[[#This Row],[Profit]]/Table2[[#This Row],[Total_Sales]]</f>
        <v>0.36577978689053919</v>
      </c>
      <c r="D239" s="30" t="str">
        <f>IF(AND(Table2[[#This Row],[Profit_Margin %]]&gt;20%,Table2[[#This Row],[Total_Sales]]&gt;2000),"Excellent",IF(AND(Table2[[#This Row],[Profit_Margin %]]&gt;=10%,Table2[[#This Row],[Profit_Margin %]]&lt;=20%),"Good","Needs Improvement"))</f>
        <v>Needs Improvement</v>
      </c>
    </row>
    <row r="240" spans="1:4" x14ac:dyDescent="0.25">
      <c r="A240" s="99">
        <f>PRODUCT(Table1[[#This Row],[Quantity]],Table1[[#This Row],[Unit_Price]])</f>
        <v>1035.47</v>
      </c>
      <c r="B240" s="47">
        <v>301.38</v>
      </c>
      <c r="C240" s="38">
        <f>Table2[[#This Row],[Profit]]/Table2[[#This Row],[Total_Sales]]</f>
        <v>0.29105623533274744</v>
      </c>
      <c r="D240" s="30" t="str">
        <f>IF(AND(Table2[[#This Row],[Profit_Margin %]]&gt;20%,Table2[[#This Row],[Total_Sales]]&gt;2000),"Excellent",IF(AND(Table2[[#This Row],[Profit_Margin %]]&gt;=10%,Table2[[#This Row],[Profit_Margin %]]&lt;=20%),"Good","Needs Improvement"))</f>
        <v>Needs Improvement</v>
      </c>
    </row>
    <row r="241" spans="1:4" x14ac:dyDescent="0.25">
      <c r="A241" s="99">
        <f>PRODUCT(Table1[[#This Row],[Quantity]],Table1[[#This Row],[Unit_Price]])</f>
        <v>778.75</v>
      </c>
      <c r="B241" s="47">
        <v>231.3</v>
      </c>
      <c r="C241" s="38">
        <f>Table2[[#This Row],[Profit]]/Table2[[#This Row],[Total_Sales]]</f>
        <v>0.29701444622792939</v>
      </c>
      <c r="D241" s="30" t="str">
        <f>IF(AND(Table2[[#This Row],[Profit_Margin %]]&gt;20%,Table2[[#This Row],[Total_Sales]]&gt;2000),"Excellent",IF(AND(Table2[[#This Row],[Profit_Margin %]]&gt;=10%,Table2[[#This Row],[Profit_Margin %]]&lt;=20%),"Good","Needs Improvement"))</f>
        <v>Needs Improvement</v>
      </c>
    </row>
    <row r="242" spans="1:4" x14ac:dyDescent="0.25">
      <c r="A242" s="99">
        <f>PRODUCT(Table1[[#This Row],[Quantity]],Table1[[#This Row],[Unit_Price]])</f>
        <v>933.6</v>
      </c>
      <c r="B242" s="47">
        <v>342.72</v>
      </c>
      <c r="C242" s="38">
        <f>Table2[[#This Row],[Profit]]/Table2[[#This Row],[Total_Sales]]</f>
        <v>0.36709511568123393</v>
      </c>
      <c r="D242" s="30" t="str">
        <f>IF(AND(Table2[[#This Row],[Profit_Margin %]]&gt;20%,Table2[[#This Row],[Total_Sales]]&gt;2000),"Excellent",IF(AND(Table2[[#This Row],[Profit_Margin %]]&gt;=10%,Table2[[#This Row],[Profit_Margin %]]&lt;=20%),"Good","Needs Improvement"))</f>
        <v>Needs Improvement</v>
      </c>
    </row>
    <row r="243" spans="1:4" x14ac:dyDescent="0.25">
      <c r="A243" s="99">
        <f>PRODUCT(Table1[[#This Row],[Quantity]],Table1[[#This Row],[Unit_Price]])</f>
        <v>333.88</v>
      </c>
      <c r="B243" s="47">
        <v>48.15</v>
      </c>
      <c r="C243" s="38">
        <f>Table2[[#This Row],[Profit]]/Table2[[#This Row],[Total_Sales]]</f>
        <v>0.14421348987660237</v>
      </c>
      <c r="D243" s="30" t="str">
        <f>IF(AND(Table2[[#This Row],[Profit_Margin %]]&gt;20%,Table2[[#This Row],[Total_Sales]]&gt;2000),"Excellent",IF(AND(Table2[[#This Row],[Profit_Margin %]]&gt;=10%,Table2[[#This Row],[Profit_Margin %]]&lt;=20%),"Good","Needs Improvement"))</f>
        <v>Good</v>
      </c>
    </row>
    <row r="244" spans="1:4" x14ac:dyDescent="0.25">
      <c r="A244" s="99">
        <f>PRODUCT(Table1[[#This Row],[Quantity]],Table1[[#This Row],[Unit_Price]])</f>
        <v>2121.9500000000003</v>
      </c>
      <c r="B244" s="47">
        <v>790.56</v>
      </c>
      <c r="C244" s="38">
        <f>Table2[[#This Row],[Profit]]/Table2[[#This Row],[Total_Sales]]</f>
        <v>0.37256297273734057</v>
      </c>
      <c r="D244" s="30" t="str">
        <f>IF(AND(Table2[[#This Row],[Profit_Margin %]]&gt;20%,Table2[[#This Row],[Total_Sales]]&gt;2000),"Excellent",IF(AND(Table2[[#This Row],[Profit_Margin %]]&gt;=10%,Table2[[#This Row],[Profit_Margin %]]&lt;=20%),"Good","Needs Improvement"))</f>
        <v>Excellent</v>
      </c>
    </row>
    <row r="245" spans="1:4" x14ac:dyDescent="0.25">
      <c r="A245" s="99">
        <f>PRODUCT(Table1[[#This Row],[Quantity]],Table1[[#This Row],[Unit_Price]])</f>
        <v>1917</v>
      </c>
      <c r="B245" s="47">
        <v>237.73</v>
      </c>
      <c r="C245" s="38">
        <f>Table2[[#This Row],[Profit]]/Table2[[#This Row],[Total_Sales]]</f>
        <v>0.12401147626499738</v>
      </c>
      <c r="D245" s="30" t="str">
        <f>IF(AND(Table2[[#This Row],[Profit_Margin %]]&gt;20%,Table2[[#This Row],[Total_Sales]]&gt;2000),"Excellent",IF(AND(Table2[[#This Row],[Profit_Margin %]]&gt;=10%,Table2[[#This Row],[Profit_Margin %]]&lt;=20%),"Good","Needs Improvement"))</f>
        <v>Good</v>
      </c>
    </row>
    <row r="246" spans="1:4" x14ac:dyDescent="0.25">
      <c r="A246" s="99">
        <f>PRODUCT(Table1[[#This Row],[Quantity]],Table1[[#This Row],[Unit_Price]])</f>
        <v>795.5</v>
      </c>
      <c r="B246" s="47">
        <v>258.17</v>
      </c>
      <c r="C246" s="38">
        <f>Table2[[#This Row],[Profit]]/Table2[[#This Row],[Total_Sales]]</f>
        <v>0.32453802639849155</v>
      </c>
      <c r="D246" s="30" t="str">
        <f>IF(AND(Table2[[#This Row],[Profit_Margin %]]&gt;20%,Table2[[#This Row],[Total_Sales]]&gt;2000),"Excellent",IF(AND(Table2[[#This Row],[Profit_Margin %]]&gt;=10%,Table2[[#This Row],[Profit_Margin %]]&lt;=20%),"Good","Needs Improvement"))</f>
        <v>Needs Improvement</v>
      </c>
    </row>
    <row r="247" spans="1:4" x14ac:dyDescent="0.25">
      <c r="A247" s="99">
        <f>PRODUCT(Table1[[#This Row],[Quantity]],Table1[[#This Row],[Unit_Price]])</f>
        <v>616.59</v>
      </c>
      <c r="B247" s="47">
        <v>168.83</v>
      </c>
      <c r="C247" s="38">
        <f>Table2[[#This Row],[Profit]]/Table2[[#This Row],[Total_Sales]]</f>
        <v>0.27381241992247685</v>
      </c>
      <c r="D247" s="30" t="str">
        <f>IF(AND(Table2[[#This Row],[Profit_Margin %]]&gt;20%,Table2[[#This Row],[Total_Sales]]&gt;2000),"Excellent",IF(AND(Table2[[#This Row],[Profit_Margin %]]&gt;=10%,Table2[[#This Row],[Profit_Margin %]]&lt;=20%),"Good","Needs Improvement"))</f>
        <v>Needs Improvement</v>
      </c>
    </row>
    <row r="248" spans="1:4" x14ac:dyDescent="0.25">
      <c r="A248" s="99">
        <f>PRODUCT(Table1[[#This Row],[Quantity]],Table1[[#This Row],[Unit_Price]])</f>
        <v>108.04</v>
      </c>
      <c r="B248" s="47">
        <v>31.31</v>
      </c>
      <c r="C248" s="38">
        <f>Table2[[#This Row],[Profit]]/Table2[[#This Row],[Total_Sales]]</f>
        <v>0.28980007404664937</v>
      </c>
      <c r="D248" s="30" t="str">
        <f>IF(AND(Table2[[#This Row],[Profit_Margin %]]&gt;20%,Table2[[#This Row],[Total_Sales]]&gt;2000),"Excellent",IF(AND(Table2[[#This Row],[Profit_Margin %]]&gt;=10%,Table2[[#This Row],[Profit_Margin %]]&lt;=20%),"Good","Needs Improvement"))</f>
        <v>Needs Improvement</v>
      </c>
    </row>
    <row r="249" spans="1:4" x14ac:dyDescent="0.25">
      <c r="A249" s="99">
        <f>PRODUCT(Table1[[#This Row],[Quantity]],Table1[[#This Row],[Unit_Price]])</f>
        <v>1267.2</v>
      </c>
      <c r="B249" s="47">
        <v>461.88</v>
      </c>
      <c r="C249" s="38">
        <f>Table2[[#This Row],[Profit]]/Table2[[#This Row],[Total_Sales]]</f>
        <v>0.36448863636363632</v>
      </c>
      <c r="D249" s="30" t="str">
        <f>IF(AND(Table2[[#This Row],[Profit_Margin %]]&gt;20%,Table2[[#This Row],[Total_Sales]]&gt;2000),"Excellent",IF(AND(Table2[[#This Row],[Profit_Margin %]]&gt;=10%,Table2[[#This Row],[Profit_Margin %]]&lt;=20%),"Good","Needs Improvement"))</f>
        <v>Needs Improvement</v>
      </c>
    </row>
    <row r="250" spans="1:4" x14ac:dyDescent="0.25">
      <c r="A250" s="99">
        <f>PRODUCT(Table1[[#This Row],[Quantity]],Table1[[#This Row],[Unit_Price]])</f>
        <v>1040.1600000000001</v>
      </c>
      <c r="B250" s="47">
        <v>398.98</v>
      </c>
      <c r="C250" s="38">
        <f>Table2[[#This Row],[Profit]]/Table2[[#This Row],[Total_Sales]]</f>
        <v>0.38357560375326871</v>
      </c>
      <c r="D250" s="30" t="str">
        <f>IF(AND(Table2[[#This Row],[Profit_Margin %]]&gt;20%,Table2[[#This Row],[Total_Sales]]&gt;2000),"Excellent",IF(AND(Table2[[#This Row],[Profit_Margin %]]&gt;=10%,Table2[[#This Row],[Profit_Margin %]]&lt;=20%),"Good","Needs Improvement"))</f>
        <v>Needs Improvement</v>
      </c>
    </row>
    <row r="251" spans="1:4" x14ac:dyDescent="0.25">
      <c r="A251" s="99">
        <f>PRODUCT(Table1[[#This Row],[Quantity]],Table1[[#This Row],[Unit_Price]])</f>
        <v>2656.6</v>
      </c>
      <c r="B251" s="47">
        <v>1116.3</v>
      </c>
      <c r="C251" s="38">
        <f>Table2[[#This Row],[Profit]]/Table2[[#This Row],[Total_Sales]]</f>
        <v>0.42019875028231574</v>
      </c>
      <c r="D251" s="30" t="str">
        <f>IF(AND(Table2[[#This Row],[Profit_Margin %]]&gt;20%,Table2[[#This Row],[Total_Sales]]&gt;2000),"Excellent",IF(AND(Table2[[#This Row],[Profit_Margin %]]&gt;=10%,Table2[[#This Row],[Profit_Margin %]]&lt;=20%),"Good","Needs Improvement"))</f>
        <v>Excellent</v>
      </c>
    </row>
    <row r="252" spans="1:4" x14ac:dyDescent="0.25">
      <c r="A252" s="99">
        <f>PRODUCT(Table1[[#This Row],[Quantity]],Table1[[#This Row],[Unit_Price]])</f>
        <v>698.64</v>
      </c>
      <c r="B252" s="47">
        <v>164.65</v>
      </c>
      <c r="C252" s="38">
        <f>Table2[[#This Row],[Profit]]/Table2[[#This Row],[Total_Sales]]</f>
        <v>0.23567216305965877</v>
      </c>
      <c r="D252" s="30" t="str">
        <f>IF(AND(Table2[[#This Row],[Profit_Margin %]]&gt;20%,Table2[[#This Row],[Total_Sales]]&gt;2000),"Excellent",IF(AND(Table2[[#This Row],[Profit_Margin %]]&gt;=10%,Table2[[#This Row],[Profit_Margin %]]&lt;=20%),"Good","Needs Improvement"))</f>
        <v>Needs Improvement</v>
      </c>
    </row>
    <row r="253" spans="1:4" x14ac:dyDescent="0.25">
      <c r="A253" s="99">
        <f>PRODUCT(Table1[[#This Row],[Quantity]],Table1[[#This Row],[Unit_Price]])</f>
        <v>167.46</v>
      </c>
      <c r="B253" s="47">
        <v>22.45</v>
      </c>
      <c r="C253" s="38">
        <f>Table2[[#This Row],[Profit]]/Table2[[#This Row],[Total_Sales]]</f>
        <v>0.1340618655201242</v>
      </c>
      <c r="D253" s="30" t="str">
        <f>IF(AND(Table2[[#This Row],[Profit_Margin %]]&gt;20%,Table2[[#This Row],[Total_Sales]]&gt;2000),"Excellent",IF(AND(Table2[[#This Row],[Profit_Margin %]]&gt;=10%,Table2[[#This Row],[Profit_Margin %]]&lt;=20%),"Good","Needs Improvement"))</f>
        <v>Good</v>
      </c>
    </row>
    <row r="254" spans="1:4" x14ac:dyDescent="0.25">
      <c r="A254" s="99">
        <f>PRODUCT(Table1[[#This Row],[Quantity]],Table1[[#This Row],[Unit_Price]])</f>
        <v>764.12</v>
      </c>
      <c r="B254" s="47">
        <v>108.34</v>
      </c>
      <c r="C254" s="38">
        <f>Table2[[#This Row],[Profit]]/Table2[[#This Row],[Total_Sales]]</f>
        <v>0.1417840129822541</v>
      </c>
      <c r="D254" s="30" t="str">
        <f>IF(AND(Table2[[#This Row],[Profit_Margin %]]&gt;20%,Table2[[#This Row],[Total_Sales]]&gt;2000),"Excellent",IF(AND(Table2[[#This Row],[Profit_Margin %]]&gt;=10%,Table2[[#This Row],[Profit_Margin %]]&lt;=20%),"Good","Needs Improvement"))</f>
        <v>Good</v>
      </c>
    </row>
    <row r="255" spans="1:4" x14ac:dyDescent="0.25">
      <c r="A255" s="99">
        <f>PRODUCT(Table1[[#This Row],[Quantity]],Table1[[#This Row],[Unit_Price]])</f>
        <v>1686.3600000000001</v>
      </c>
      <c r="B255" s="47">
        <v>558.55999999999995</v>
      </c>
      <c r="C255" s="38">
        <f>Table2[[#This Row],[Profit]]/Table2[[#This Row],[Total_Sales]]</f>
        <v>0.33122227756825345</v>
      </c>
      <c r="D255" s="30" t="str">
        <f>IF(AND(Table2[[#This Row],[Profit_Margin %]]&gt;20%,Table2[[#This Row],[Total_Sales]]&gt;2000),"Excellent",IF(AND(Table2[[#This Row],[Profit_Margin %]]&gt;=10%,Table2[[#This Row],[Profit_Margin %]]&lt;=20%),"Good","Needs Improvement"))</f>
        <v>Needs Improvement</v>
      </c>
    </row>
    <row r="256" spans="1:4" x14ac:dyDescent="0.25">
      <c r="A256" s="99">
        <f>PRODUCT(Table1[[#This Row],[Quantity]],Table1[[#This Row],[Unit_Price]])</f>
        <v>521.92999999999995</v>
      </c>
      <c r="B256" s="47">
        <v>196.14</v>
      </c>
      <c r="C256" s="38">
        <f>Table2[[#This Row],[Profit]]/Table2[[#This Row],[Total_Sales]]</f>
        <v>0.37579752074032918</v>
      </c>
      <c r="D256" s="30" t="str">
        <f>IF(AND(Table2[[#This Row],[Profit_Margin %]]&gt;20%,Table2[[#This Row],[Total_Sales]]&gt;2000),"Excellent",IF(AND(Table2[[#This Row],[Profit_Margin %]]&gt;=10%,Table2[[#This Row],[Profit_Margin %]]&lt;=20%),"Good","Needs Improvement"))</f>
        <v>Needs Improvement</v>
      </c>
    </row>
    <row r="257" spans="1:4" x14ac:dyDescent="0.25">
      <c r="A257" s="99">
        <f>PRODUCT(Table1[[#This Row],[Quantity]],Table1[[#This Row],[Unit_Price]])</f>
        <v>380.38</v>
      </c>
      <c r="B257" s="47">
        <v>110.91</v>
      </c>
      <c r="C257" s="38">
        <f>Table2[[#This Row],[Profit]]/Table2[[#This Row],[Total_Sales]]</f>
        <v>0.29157684420842317</v>
      </c>
      <c r="D257" s="30" t="str">
        <f>IF(AND(Table2[[#This Row],[Profit_Margin %]]&gt;20%,Table2[[#This Row],[Total_Sales]]&gt;2000),"Excellent",IF(AND(Table2[[#This Row],[Profit_Margin %]]&gt;=10%,Table2[[#This Row],[Profit_Margin %]]&lt;=20%),"Good","Needs Improvement"))</f>
        <v>Needs Improvement</v>
      </c>
    </row>
    <row r="258" spans="1:4" x14ac:dyDescent="0.25">
      <c r="A258" s="99">
        <f>PRODUCT(Table1[[#This Row],[Quantity]],Table1[[#This Row],[Unit_Price]])</f>
        <v>104.68</v>
      </c>
      <c r="B258" s="47">
        <v>26.35</v>
      </c>
      <c r="C258" s="38">
        <f>Table2[[#This Row],[Profit]]/Table2[[#This Row],[Total_Sales]]</f>
        <v>0.25171952617500953</v>
      </c>
      <c r="D258" s="30" t="str">
        <f>IF(AND(Table2[[#This Row],[Profit_Margin %]]&gt;20%,Table2[[#This Row],[Total_Sales]]&gt;2000),"Excellent",IF(AND(Table2[[#This Row],[Profit_Margin %]]&gt;=10%,Table2[[#This Row],[Profit_Margin %]]&lt;=20%),"Good","Needs Improvement"))</f>
        <v>Needs Improvement</v>
      </c>
    </row>
    <row r="259" spans="1:4" x14ac:dyDescent="0.25">
      <c r="A259" s="99">
        <f>PRODUCT(Table1[[#This Row],[Quantity]],Table1[[#This Row],[Unit_Price]])</f>
        <v>1604.76</v>
      </c>
      <c r="B259" s="47">
        <v>576.25</v>
      </c>
      <c r="C259" s="38">
        <f>Table2[[#This Row],[Profit]]/Table2[[#This Row],[Total_Sales]]</f>
        <v>0.35908796330915527</v>
      </c>
      <c r="D259" s="30" t="str">
        <f>IF(AND(Table2[[#This Row],[Profit_Margin %]]&gt;20%,Table2[[#This Row],[Total_Sales]]&gt;2000),"Excellent",IF(AND(Table2[[#This Row],[Profit_Margin %]]&gt;=10%,Table2[[#This Row],[Profit_Margin %]]&lt;=20%),"Good","Needs Improvement"))</f>
        <v>Needs Improvement</v>
      </c>
    </row>
    <row r="260" spans="1:4" x14ac:dyDescent="0.25">
      <c r="A260" s="99">
        <f>PRODUCT(Table1[[#This Row],[Quantity]],Table1[[#This Row],[Unit_Price]])</f>
        <v>622.35</v>
      </c>
      <c r="B260" s="47">
        <v>115.91</v>
      </c>
      <c r="C260" s="38">
        <f>Table2[[#This Row],[Profit]]/Table2[[#This Row],[Total_Sales]]</f>
        <v>0.18624568169036715</v>
      </c>
      <c r="D260" s="30" t="str">
        <f>IF(AND(Table2[[#This Row],[Profit_Margin %]]&gt;20%,Table2[[#This Row],[Total_Sales]]&gt;2000),"Excellent",IF(AND(Table2[[#This Row],[Profit_Margin %]]&gt;=10%,Table2[[#This Row],[Profit_Margin %]]&lt;=20%),"Good","Needs Improvement"))</f>
        <v>Good</v>
      </c>
    </row>
    <row r="261" spans="1:4" x14ac:dyDescent="0.25">
      <c r="A261" s="99">
        <f>PRODUCT(Table1[[#This Row],[Quantity]],Table1[[#This Row],[Unit_Price]])</f>
        <v>722.76</v>
      </c>
      <c r="B261" s="47">
        <v>223.63</v>
      </c>
      <c r="C261" s="38">
        <f>Table2[[#This Row],[Profit]]/Table2[[#This Row],[Total_Sales]]</f>
        <v>0.30941114616193482</v>
      </c>
      <c r="D261" s="30" t="str">
        <f>IF(AND(Table2[[#This Row],[Profit_Margin %]]&gt;20%,Table2[[#This Row],[Total_Sales]]&gt;2000),"Excellent",IF(AND(Table2[[#This Row],[Profit_Margin %]]&gt;=10%,Table2[[#This Row],[Profit_Margin %]]&lt;=20%),"Good","Needs Improvement"))</f>
        <v>Needs Improvement</v>
      </c>
    </row>
    <row r="262" spans="1:4" x14ac:dyDescent="0.25">
      <c r="A262" s="99">
        <f>PRODUCT(Table1[[#This Row],[Quantity]],Table1[[#This Row],[Unit_Price]])</f>
        <v>709.4</v>
      </c>
      <c r="B262" s="47">
        <v>290.76</v>
      </c>
      <c r="C262" s="38">
        <f>Table2[[#This Row],[Profit]]/Table2[[#This Row],[Total_Sales]]</f>
        <v>0.40986749365661124</v>
      </c>
      <c r="D262" s="30" t="str">
        <f>IF(AND(Table2[[#This Row],[Profit_Margin %]]&gt;20%,Table2[[#This Row],[Total_Sales]]&gt;2000),"Excellent",IF(AND(Table2[[#This Row],[Profit_Margin %]]&gt;=10%,Table2[[#This Row],[Profit_Margin %]]&lt;=20%),"Good","Needs Improvement"))</f>
        <v>Needs Improvement</v>
      </c>
    </row>
    <row r="263" spans="1:4" x14ac:dyDescent="0.25">
      <c r="A263" s="99">
        <f>PRODUCT(Table1[[#This Row],[Quantity]],Table1[[#This Row],[Unit_Price]])</f>
        <v>650.76</v>
      </c>
      <c r="B263" s="47">
        <v>187.33</v>
      </c>
      <c r="C263" s="38">
        <f>Table2[[#This Row],[Profit]]/Table2[[#This Row],[Total_Sales]]</f>
        <v>0.28786342123056119</v>
      </c>
      <c r="D263" s="30" t="str">
        <f>IF(AND(Table2[[#This Row],[Profit_Margin %]]&gt;20%,Table2[[#This Row],[Total_Sales]]&gt;2000),"Excellent",IF(AND(Table2[[#This Row],[Profit_Margin %]]&gt;=10%,Table2[[#This Row],[Profit_Margin %]]&lt;=20%),"Good","Needs Improvement"))</f>
        <v>Needs Improvement</v>
      </c>
    </row>
    <row r="264" spans="1:4" x14ac:dyDescent="0.25">
      <c r="A264" s="99">
        <f>PRODUCT(Table1[[#This Row],[Quantity]],Table1[[#This Row],[Unit_Price]])</f>
        <v>388</v>
      </c>
      <c r="B264" s="47">
        <v>51.61</v>
      </c>
      <c r="C264" s="38">
        <f>Table2[[#This Row],[Profit]]/Table2[[#This Row],[Total_Sales]]</f>
        <v>0.13301546391752578</v>
      </c>
      <c r="D264" s="30" t="str">
        <f>IF(AND(Table2[[#This Row],[Profit_Margin %]]&gt;20%,Table2[[#This Row],[Total_Sales]]&gt;2000),"Excellent",IF(AND(Table2[[#This Row],[Profit_Margin %]]&gt;=10%,Table2[[#This Row],[Profit_Margin %]]&lt;=20%),"Good","Needs Improvement"))</f>
        <v>Good</v>
      </c>
    </row>
    <row r="265" spans="1:4" x14ac:dyDescent="0.25">
      <c r="A265" s="99">
        <f>PRODUCT(Table1[[#This Row],[Quantity]],Table1[[#This Row],[Unit_Price]])</f>
        <v>101.52000000000001</v>
      </c>
      <c r="B265" s="47">
        <v>24.2</v>
      </c>
      <c r="C265" s="38">
        <f>Table2[[#This Row],[Profit]]/Table2[[#This Row],[Total_Sales]]</f>
        <v>0.23837667454688727</v>
      </c>
      <c r="D265" s="30" t="str">
        <f>IF(AND(Table2[[#This Row],[Profit_Margin %]]&gt;20%,Table2[[#This Row],[Total_Sales]]&gt;2000),"Excellent",IF(AND(Table2[[#This Row],[Profit_Margin %]]&gt;=10%,Table2[[#This Row],[Profit_Margin %]]&lt;=20%),"Good","Needs Improvement"))</f>
        <v>Needs Improvement</v>
      </c>
    </row>
    <row r="266" spans="1:4" x14ac:dyDescent="0.25">
      <c r="A266" s="99">
        <f>PRODUCT(Table1[[#This Row],[Quantity]],Table1[[#This Row],[Unit_Price]])</f>
        <v>422.40000000000003</v>
      </c>
      <c r="B266" s="47">
        <v>90.32</v>
      </c>
      <c r="C266" s="38">
        <f>Table2[[#This Row],[Profit]]/Table2[[#This Row],[Total_Sales]]</f>
        <v>0.21382575757575753</v>
      </c>
      <c r="D266" s="30" t="str">
        <f>IF(AND(Table2[[#This Row],[Profit_Margin %]]&gt;20%,Table2[[#This Row],[Total_Sales]]&gt;2000),"Excellent",IF(AND(Table2[[#This Row],[Profit_Margin %]]&gt;=10%,Table2[[#This Row],[Profit_Margin %]]&lt;=20%),"Good","Needs Improvement"))</f>
        <v>Needs Improvement</v>
      </c>
    </row>
    <row r="267" spans="1:4" x14ac:dyDescent="0.25">
      <c r="A267" s="99">
        <f>PRODUCT(Table1[[#This Row],[Quantity]],Table1[[#This Row],[Unit_Price]])</f>
        <v>58.15</v>
      </c>
      <c r="B267" s="47">
        <v>18.95</v>
      </c>
      <c r="C267" s="38">
        <f>Table2[[#This Row],[Profit]]/Table2[[#This Row],[Total_Sales]]</f>
        <v>0.32588134135855545</v>
      </c>
      <c r="D267" s="30" t="str">
        <f>IF(AND(Table2[[#This Row],[Profit_Margin %]]&gt;20%,Table2[[#This Row],[Total_Sales]]&gt;2000),"Excellent",IF(AND(Table2[[#This Row],[Profit_Margin %]]&gt;=10%,Table2[[#This Row],[Profit_Margin %]]&lt;=20%),"Good","Needs Improvement"))</f>
        <v>Needs Improvement</v>
      </c>
    </row>
    <row r="268" spans="1:4" x14ac:dyDescent="0.25">
      <c r="A268" s="99">
        <f>PRODUCT(Table1[[#This Row],[Quantity]],Table1[[#This Row],[Unit_Price]])</f>
        <v>1470.72</v>
      </c>
      <c r="B268" s="47">
        <v>363.95</v>
      </c>
      <c r="C268" s="38">
        <f>Table2[[#This Row],[Profit]]/Table2[[#This Row],[Total_Sales]]</f>
        <v>0.24746382724107918</v>
      </c>
      <c r="D268" s="30" t="str">
        <f>IF(AND(Table2[[#This Row],[Profit_Margin %]]&gt;20%,Table2[[#This Row],[Total_Sales]]&gt;2000),"Excellent",IF(AND(Table2[[#This Row],[Profit_Margin %]]&gt;=10%,Table2[[#This Row],[Profit_Margin %]]&lt;=20%),"Good","Needs Improvement"))</f>
        <v>Needs Improvement</v>
      </c>
    </row>
    <row r="269" spans="1:4" x14ac:dyDescent="0.25">
      <c r="A269" s="99">
        <f>PRODUCT(Table1[[#This Row],[Quantity]],Table1[[#This Row],[Unit_Price]])</f>
        <v>622.34</v>
      </c>
      <c r="B269" s="47">
        <v>117.69</v>
      </c>
      <c r="C269" s="38">
        <f>Table2[[#This Row],[Profit]]/Table2[[#This Row],[Total_Sales]]</f>
        <v>0.18910884725391264</v>
      </c>
      <c r="D269" s="30" t="str">
        <f>IF(AND(Table2[[#This Row],[Profit_Margin %]]&gt;20%,Table2[[#This Row],[Total_Sales]]&gt;2000),"Excellent",IF(AND(Table2[[#This Row],[Profit_Margin %]]&gt;=10%,Table2[[#This Row],[Profit_Margin %]]&lt;=20%),"Good","Needs Improvement"))</f>
        <v>Good</v>
      </c>
    </row>
    <row r="270" spans="1:4" x14ac:dyDescent="0.25">
      <c r="A270" s="99">
        <f>PRODUCT(Table1[[#This Row],[Quantity]],Table1[[#This Row],[Unit_Price]])</f>
        <v>983.16</v>
      </c>
      <c r="B270" s="47">
        <v>384.55</v>
      </c>
      <c r="C270" s="38">
        <f>Table2[[#This Row],[Profit]]/Table2[[#This Row],[Total_Sales]]</f>
        <v>0.39113674274787424</v>
      </c>
      <c r="D270" s="30" t="str">
        <f>IF(AND(Table2[[#This Row],[Profit_Margin %]]&gt;20%,Table2[[#This Row],[Total_Sales]]&gt;2000),"Excellent",IF(AND(Table2[[#This Row],[Profit_Margin %]]&gt;=10%,Table2[[#This Row],[Profit_Margin %]]&lt;=20%),"Good","Needs Improvement"))</f>
        <v>Needs Improvement</v>
      </c>
    </row>
    <row r="271" spans="1:4" x14ac:dyDescent="0.25">
      <c r="A271" s="99">
        <f>PRODUCT(Table1[[#This Row],[Quantity]],Table1[[#This Row],[Unit_Price]])</f>
        <v>684.9</v>
      </c>
      <c r="B271" s="47">
        <v>270.08999999999997</v>
      </c>
      <c r="C271" s="38">
        <f>Table2[[#This Row],[Profit]]/Table2[[#This Row],[Total_Sales]]</f>
        <v>0.3943495400788436</v>
      </c>
      <c r="D271" s="30" t="str">
        <f>IF(AND(Table2[[#This Row],[Profit_Margin %]]&gt;20%,Table2[[#This Row],[Total_Sales]]&gt;2000),"Excellent",IF(AND(Table2[[#This Row],[Profit_Margin %]]&gt;=10%,Table2[[#This Row],[Profit_Margin %]]&lt;=20%),"Good","Needs Improvement"))</f>
        <v>Needs Improvement</v>
      </c>
    </row>
    <row r="272" spans="1:4" x14ac:dyDescent="0.25">
      <c r="A272" s="99">
        <f>PRODUCT(Table1[[#This Row],[Quantity]],Table1[[#This Row],[Unit_Price]])</f>
        <v>1833.7800000000002</v>
      </c>
      <c r="B272" s="47">
        <v>535.77</v>
      </c>
      <c r="C272" s="38">
        <f>Table2[[#This Row],[Profit]]/Table2[[#This Row],[Total_Sales]]</f>
        <v>0.29216699931289464</v>
      </c>
      <c r="D272" s="30" t="str">
        <f>IF(AND(Table2[[#This Row],[Profit_Margin %]]&gt;20%,Table2[[#This Row],[Total_Sales]]&gt;2000),"Excellent",IF(AND(Table2[[#This Row],[Profit_Margin %]]&gt;=10%,Table2[[#This Row],[Profit_Margin %]]&lt;=20%),"Good","Needs Improvement"))</f>
        <v>Needs Improvement</v>
      </c>
    </row>
    <row r="273" spans="1:4" x14ac:dyDescent="0.25">
      <c r="A273" s="99">
        <f>PRODUCT(Table1[[#This Row],[Quantity]],Table1[[#This Row],[Unit_Price]])</f>
        <v>953.04</v>
      </c>
      <c r="B273" s="47">
        <v>265.74</v>
      </c>
      <c r="C273" s="38">
        <f>Table2[[#This Row],[Profit]]/Table2[[#This Row],[Total_Sales]]</f>
        <v>0.27883404683958701</v>
      </c>
      <c r="D273" s="30" t="str">
        <f>IF(AND(Table2[[#This Row],[Profit_Margin %]]&gt;20%,Table2[[#This Row],[Total_Sales]]&gt;2000),"Excellent",IF(AND(Table2[[#This Row],[Profit_Margin %]]&gt;=10%,Table2[[#This Row],[Profit_Margin %]]&lt;=20%),"Good","Needs Improvement"))</f>
        <v>Needs Improvement</v>
      </c>
    </row>
    <row r="274" spans="1:4" x14ac:dyDescent="0.25">
      <c r="A274" s="99">
        <f>PRODUCT(Table1[[#This Row],[Quantity]],Table1[[#This Row],[Unit_Price]])</f>
        <v>190.14000000000001</v>
      </c>
      <c r="B274" s="47">
        <v>42.62</v>
      </c>
      <c r="C274" s="38">
        <f>Table2[[#This Row],[Profit]]/Table2[[#This Row],[Total_Sales]]</f>
        <v>0.22415062585463338</v>
      </c>
      <c r="D274" s="30" t="str">
        <f>IF(AND(Table2[[#This Row],[Profit_Margin %]]&gt;20%,Table2[[#This Row],[Total_Sales]]&gt;2000),"Excellent",IF(AND(Table2[[#This Row],[Profit_Margin %]]&gt;=10%,Table2[[#This Row],[Profit_Margin %]]&lt;=20%),"Good","Needs Improvement"))</f>
        <v>Needs Improvement</v>
      </c>
    </row>
    <row r="275" spans="1:4" x14ac:dyDescent="0.25">
      <c r="A275" s="99">
        <f>PRODUCT(Table1[[#This Row],[Quantity]],Table1[[#This Row],[Unit_Price]])</f>
        <v>1012.32</v>
      </c>
      <c r="B275" s="47">
        <v>320.08</v>
      </c>
      <c r="C275" s="38">
        <f>Table2[[#This Row],[Profit]]/Table2[[#This Row],[Total_Sales]]</f>
        <v>0.31618460565828982</v>
      </c>
      <c r="D275" s="30" t="str">
        <f>IF(AND(Table2[[#This Row],[Profit_Margin %]]&gt;20%,Table2[[#This Row],[Total_Sales]]&gt;2000),"Excellent",IF(AND(Table2[[#This Row],[Profit_Margin %]]&gt;=10%,Table2[[#This Row],[Profit_Margin %]]&lt;=20%),"Good","Needs Improvement"))</f>
        <v>Needs Improvement</v>
      </c>
    </row>
    <row r="276" spans="1:4" x14ac:dyDescent="0.25">
      <c r="A276" s="99">
        <f>PRODUCT(Table1[[#This Row],[Quantity]],Table1[[#This Row],[Unit_Price]])</f>
        <v>2233.91</v>
      </c>
      <c r="B276" s="47">
        <v>460</v>
      </c>
      <c r="C276" s="38">
        <f>Table2[[#This Row],[Profit]]/Table2[[#This Row],[Total_Sales]]</f>
        <v>0.20591697964555422</v>
      </c>
      <c r="D276" s="30" t="str">
        <f>IF(AND(Table2[[#This Row],[Profit_Margin %]]&gt;20%,Table2[[#This Row],[Total_Sales]]&gt;2000),"Excellent",IF(AND(Table2[[#This Row],[Profit_Margin %]]&gt;=10%,Table2[[#This Row],[Profit_Margin %]]&lt;=20%),"Good","Needs Improvement"))</f>
        <v>Excellent</v>
      </c>
    </row>
    <row r="277" spans="1:4" x14ac:dyDescent="0.25">
      <c r="A277" s="99">
        <f>PRODUCT(Table1[[#This Row],[Quantity]],Table1[[#This Row],[Unit_Price]])</f>
        <v>288.24</v>
      </c>
      <c r="B277" s="47">
        <v>38.44</v>
      </c>
      <c r="C277" s="38">
        <f>Table2[[#This Row],[Profit]]/Table2[[#This Row],[Total_Sales]]</f>
        <v>0.133361087982237</v>
      </c>
      <c r="D277" s="30" t="str">
        <f>IF(AND(Table2[[#This Row],[Profit_Margin %]]&gt;20%,Table2[[#This Row],[Total_Sales]]&gt;2000),"Excellent",IF(AND(Table2[[#This Row],[Profit_Margin %]]&gt;=10%,Table2[[#This Row],[Profit_Margin %]]&lt;=20%),"Good","Needs Improvement"))</f>
        <v>Good</v>
      </c>
    </row>
    <row r="278" spans="1:4" x14ac:dyDescent="0.25">
      <c r="A278" s="99">
        <f>PRODUCT(Table1[[#This Row],[Quantity]],Table1[[#This Row],[Unit_Price]])</f>
        <v>500.48</v>
      </c>
      <c r="B278" s="47">
        <v>67.790000000000006</v>
      </c>
      <c r="C278" s="38">
        <f>Table2[[#This Row],[Profit]]/Table2[[#This Row],[Total_Sales]]</f>
        <v>0.13544996803069054</v>
      </c>
      <c r="D278" s="30" t="str">
        <f>IF(AND(Table2[[#This Row],[Profit_Margin %]]&gt;20%,Table2[[#This Row],[Total_Sales]]&gt;2000),"Excellent",IF(AND(Table2[[#This Row],[Profit_Margin %]]&gt;=10%,Table2[[#This Row],[Profit_Margin %]]&lt;=20%),"Good","Needs Improvement"))</f>
        <v>Good</v>
      </c>
    </row>
    <row r="279" spans="1:4" x14ac:dyDescent="0.25">
      <c r="A279" s="99">
        <f>PRODUCT(Table1[[#This Row],[Quantity]],Table1[[#This Row],[Unit_Price]])</f>
        <v>935.88</v>
      </c>
      <c r="B279" s="47">
        <v>186.51</v>
      </c>
      <c r="C279" s="38">
        <f>Table2[[#This Row],[Profit]]/Table2[[#This Row],[Total_Sales]]</f>
        <v>0.1992883703038851</v>
      </c>
      <c r="D279" s="30" t="str">
        <f>IF(AND(Table2[[#This Row],[Profit_Margin %]]&gt;20%,Table2[[#This Row],[Total_Sales]]&gt;2000),"Excellent",IF(AND(Table2[[#This Row],[Profit_Margin %]]&gt;=10%,Table2[[#This Row],[Profit_Margin %]]&lt;=20%),"Good","Needs Improvement"))</f>
        <v>Good</v>
      </c>
    </row>
    <row r="280" spans="1:4" x14ac:dyDescent="0.25">
      <c r="A280" s="99">
        <f>PRODUCT(Table1[[#This Row],[Quantity]],Table1[[#This Row],[Unit_Price]])</f>
        <v>1611.35</v>
      </c>
      <c r="B280" s="47">
        <v>618.57000000000005</v>
      </c>
      <c r="C280" s="38">
        <f>Table2[[#This Row],[Profit]]/Table2[[#This Row],[Total_Sales]]</f>
        <v>0.38388307940546751</v>
      </c>
      <c r="D280" s="30" t="str">
        <f>IF(AND(Table2[[#This Row],[Profit_Margin %]]&gt;20%,Table2[[#This Row],[Total_Sales]]&gt;2000),"Excellent",IF(AND(Table2[[#This Row],[Profit_Margin %]]&gt;=10%,Table2[[#This Row],[Profit_Margin %]]&lt;=20%),"Good","Needs Improvement"))</f>
        <v>Needs Improvement</v>
      </c>
    </row>
    <row r="281" spans="1:4" x14ac:dyDescent="0.25">
      <c r="A281" s="99">
        <f>PRODUCT(Table1[[#This Row],[Quantity]],Table1[[#This Row],[Unit_Price]])</f>
        <v>850.92000000000007</v>
      </c>
      <c r="B281" s="47">
        <v>177.49</v>
      </c>
      <c r="C281" s="38">
        <f>Table2[[#This Row],[Profit]]/Table2[[#This Row],[Total_Sales]]</f>
        <v>0.20858600103417477</v>
      </c>
      <c r="D281" s="30" t="str">
        <f>IF(AND(Table2[[#This Row],[Profit_Margin %]]&gt;20%,Table2[[#This Row],[Total_Sales]]&gt;2000),"Excellent",IF(AND(Table2[[#This Row],[Profit_Margin %]]&gt;=10%,Table2[[#This Row],[Profit_Margin %]]&lt;=20%),"Good","Needs Improvement"))</f>
        <v>Needs Improvement</v>
      </c>
    </row>
    <row r="282" spans="1:4" x14ac:dyDescent="0.25">
      <c r="A282" s="99">
        <f>PRODUCT(Table1[[#This Row],[Quantity]],Table1[[#This Row],[Unit_Price]])</f>
        <v>1035.4399999999998</v>
      </c>
      <c r="B282" s="47">
        <v>226.37</v>
      </c>
      <c r="C282" s="38">
        <f>Table2[[#This Row],[Profit]]/Table2[[#This Row],[Total_Sales]]</f>
        <v>0.21862203507687558</v>
      </c>
      <c r="D282" s="30" t="str">
        <f>IF(AND(Table2[[#This Row],[Profit_Margin %]]&gt;20%,Table2[[#This Row],[Total_Sales]]&gt;2000),"Excellent",IF(AND(Table2[[#This Row],[Profit_Margin %]]&gt;=10%,Table2[[#This Row],[Profit_Margin %]]&lt;=20%),"Good","Needs Improvement"))</f>
        <v>Needs Improvement</v>
      </c>
    </row>
    <row r="283" spans="1:4" x14ac:dyDescent="0.25">
      <c r="A283" s="99">
        <f>PRODUCT(Table1[[#This Row],[Quantity]],Table1[[#This Row],[Unit_Price]])</f>
        <v>966.1400000000001</v>
      </c>
      <c r="B283" s="47">
        <v>373.47</v>
      </c>
      <c r="C283" s="38">
        <f>Table2[[#This Row],[Profit]]/Table2[[#This Row],[Total_Sales]]</f>
        <v>0.38655888380565961</v>
      </c>
      <c r="D283" s="30" t="str">
        <f>IF(AND(Table2[[#This Row],[Profit_Margin %]]&gt;20%,Table2[[#This Row],[Total_Sales]]&gt;2000),"Excellent",IF(AND(Table2[[#This Row],[Profit_Margin %]]&gt;=10%,Table2[[#This Row],[Profit_Margin %]]&lt;=20%),"Good","Needs Improvement"))</f>
        <v>Needs Improvement</v>
      </c>
    </row>
    <row r="284" spans="1:4" x14ac:dyDescent="0.25">
      <c r="A284" s="99">
        <f>PRODUCT(Table1[[#This Row],[Quantity]],Table1[[#This Row],[Unit_Price]])</f>
        <v>820.41</v>
      </c>
      <c r="B284" s="47">
        <v>177.26</v>
      </c>
      <c r="C284" s="38">
        <f>Table2[[#This Row],[Profit]]/Table2[[#This Row],[Total_Sales]]</f>
        <v>0.21606270035713851</v>
      </c>
      <c r="D284" s="30" t="str">
        <f>IF(AND(Table2[[#This Row],[Profit_Margin %]]&gt;20%,Table2[[#This Row],[Total_Sales]]&gt;2000),"Excellent",IF(AND(Table2[[#This Row],[Profit_Margin %]]&gt;=10%,Table2[[#This Row],[Profit_Margin %]]&lt;=20%),"Good","Needs Improvement"))</f>
        <v>Needs Improvement</v>
      </c>
    </row>
    <row r="285" spans="1:4" x14ac:dyDescent="0.25">
      <c r="A285" s="99">
        <f>PRODUCT(Table1[[#This Row],[Quantity]],Table1[[#This Row],[Unit_Price]])</f>
        <v>768.79000000000008</v>
      </c>
      <c r="B285" s="47">
        <v>303.63</v>
      </c>
      <c r="C285" s="38">
        <f>Table2[[#This Row],[Profit]]/Table2[[#This Row],[Total_Sales]]</f>
        <v>0.39494530365899655</v>
      </c>
      <c r="D285" s="30" t="str">
        <f>IF(AND(Table2[[#This Row],[Profit_Margin %]]&gt;20%,Table2[[#This Row],[Total_Sales]]&gt;2000),"Excellent",IF(AND(Table2[[#This Row],[Profit_Margin %]]&gt;=10%,Table2[[#This Row],[Profit_Margin %]]&lt;=20%),"Good","Needs Improvement"))</f>
        <v>Needs Improvement</v>
      </c>
    </row>
    <row r="286" spans="1:4" x14ac:dyDescent="0.25">
      <c r="A286" s="99">
        <f>PRODUCT(Table1[[#This Row],[Quantity]],Table1[[#This Row],[Unit_Price]])</f>
        <v>638.77</v>
      </c>
      <c r="B286" s="47">
        <v>209.88</v>
      </c>
      <c r="C286" s="38">
        <f>Table2[[#This Row],[Profit]]/Table2[[#This Row],[Total_Sales]]</f>
        <v>0.32856896848630962</v>
      </c>
      <c r="D286" s="30" t="str">
        <f>IF(AND(Table2[[#This Row],[Profit_Margin %]]&gt;20%,Table2[[#This Row],[Total_Sales]]&gt;2000),"Excellent",IF(AND(Table2[[#This Row],[Profit_Margin %]]&gt;=10%,Table2[[#This Row],[Profit_Margin %]]&lt;=20%),"Good","Needs Improvement"))</f>
        <v>Needs Improvement</v>
      </c>
    </row>
    <row r="287" spans="1:4" x14ac:dyDescent="0.25">
      <c r="A287" s="99">
        <f>PRODUCT(Table1[[#This Row],[Quantity]],Table1[[#This Row],[Unit_Price]])</f>
        <v>146.28</v>
      </c>
      <c r="B287" s="47">
        <v>39.83</v>
      </c>
      <c r="C287" s="38">
        <f>Table2[[#This Row],[Profit]]/Table2[[#This Row],[Total_Sales]]</f>
        <v>0.2722860267979218</v>
      </c>
      <c r="D287" s="30" t="str">
        <f>IF(AND(Table2[[#This Row],[Profit_Margin %]]&gt;20%,Table2[[#This Row],[Total_Sales]]&gt;2000),"Excellent",IF(AND(Table2[[#This Row],[Profit_Margin %]]&gt;=10%,Table2[[#This Row],[Profit_Margin %]]&lt;=20%),"Good","Needs Improvement"))</f>
        <v>Needs Improvement</v>
      </c>
    </row>
    <row r="288" spans="1:4" x14ac:dyDescent="0.25">
      <c r="A288" s="99">
        <f>PRODUCT(Table1[[#This Row],[Quantity]],Table1[[#This Row],[Unit_Price]])</f>
        <v>1492.54</v>
      </c>
      <c r="B288" s="47">
        <v>460.72</v>
      </c>
      <c r="C288" s="38">
        <f>Table2[[#This Row],[Profit]]/Table2[[#This Row],[Total_Sales]]</f>
        <v>0.30868184437268015</v>
      </c>
      <c r="D288" s="30" t="str">
        <f>IF(AND(Table2[[#This Row],[Profit_Margin %]]&gt;20%,Table2[[#This Row],[Total_Sales]]&gt;2000),"Excellent",IF(AND(Table2[[#This Row],[Profit_Margin %]]&gt;=10%,Table2[[#This Row],[Profit_Margin %]]&lt;=20%),"Good","Needs Improvement"))</f>
        <v>Needs Improvement</v>
      </c>
    </row>
    <row r="289" spans="1:4" x14ac:dyDescent="0.25">
      <c r="A289" s="99">
        <f>PRODUCT(Table1[[#This Row],[Quantity]],Table1[[#This Row],[Unit_Price]])</f>
        <v>880.25</v>
      </c>
      <c r="B289" s="47">
        <v>140.44999999999999</v>
      </c>
      <c r="C289" s="38">
        <f>Table2[[#This Row],[Profit]]/Table2[[#This Row],[Total_Sales]]</f>
        <v>0.1595569440499858</v>
      </c>
      <c r="D289" s="30" t="str">
        <f>IF(AND(Table2[[#This Row],[Profit_Margin %]]&gt;20%,Table2[[#This Row],[Total_Sales]]&gt;2000),"Excellent",IF(AND(Table2[[#This Row],[Profit_Margin %]]&gt;=10%,Table2[[#This Row],[Profit_Margin %]]&lt;=20%),"Good","Needs Improvement"))</f>
        <v>Good</v>
      </c>
    </row>
    <row r="290" spans="1:4" x14ac:dyDescent="0.25">
      <c r="A290" s="99">
        <f>PRODUCT(Table1[[#This Row],[Quantity]],Table1[[#This Row],[Unit_Price]])</f>
        <v>1658.34</v>
      </c>
      <c r="B290" s="47">
        <v>556.59</v>
      </c>
      <c r="C290" s="38">
        <f>Table2[[#This Row],[Profit]]/Table2[[#This Row],[Total_Sales]]</f>
        <v>0.33563081153442603</v>
      </c>
      <c r="D290" s="30" t="str">
        <f>IF(AND(Table2[[#This Row],[Profit_Margin %]]&gt;20%,Table2[[#This Row],[Total_Sales]]&gt;2000),"Excellent",IF(AND(Table2[[#This Row],[Profit_Margin %]]&gt;=10%,Table2[[#This Row],[Profit_Margin %]]&lt;=20%),"Good","Needs Improvement"))</f>
        <v>Needs Improvement</v>
      </c>
    </row>
    <row r="291" spans="1:4" x14ac:dyDescent="0.25">
      <c r="A291" s="99">
        <f>PRODUCT(Table1[[#This Row],[Quantity]],Table1[[#This Row],[Unit_Price]])</f>
        <v>206.25</v>
      </c>
      <c r="B291" s="47">
        <v>24.08</v>
      </c>
      <c r="C291" s="38">
        <f>Table2[[#This Row],[Profit]]/Table2[[#This Row],[Total_Sales]]</f>
        <v>0.11675151515151515</v>
      </c>
      <c r="D291" s="30" t="str">
        <f>IF(AND(Table2[[#This Row],[Profit_Margin %]]&gt;20%,Table2[[#This Row],[Total_Sales]]&gt;2000),"Excellent",IF(AND(Table2[[#This Row],[Profit_Margin %]]&gt;=10%,Table2[[#This Row],[Profit_Margin %]]&lt;=20%),"Good","Needs Improvement"))</f>
        <v>Good</v>
      </c>
    </row>
    <row r="292" spans="1:4" x14ac:dyDescent="0.25">
      <c r="A292" s="99">
        <f>PRODUCT(Table1[[#This Row],[Quantity]],Table1[[#This Row],[Unit_Price]])</f>
        <v>1171.42</v>
      </c>
      <c r="B292" s="47">
        <v>372.47</v>
      </c>
      <c r="C292" s="38">
        <f>Table2[[#This Row],[Profit]]/Table2[[#This Row],[Total_Sales]]</f>
        <v>0.31796452169162215</v>
      </c>
      <c r="D292" s="30" t="str">
        <f>IF(AND(Table2[[#This Row],[Profit_Margin %]]&gt;20%,Table2[[#This Row],[Total_Sales]]&gt;2000),"Excellent",IF(AND(Table2[[#This Row],[Profit_Margin %]]&gt;=10%,Table2[[#This Row],[Profit_Margin %]]&lt;=20%),"Good","Needs Improvement"))</f>
        <v>Needs Improvement</v>
      </c>
    </row>
    <row r="293" spans="1:4" x14ac:dyDescent="0.25">
      <c r="A293" s="99">
        <f>PRODUCT(Table1[[#This Row],[Quantity]],Table1[[#This Row],[Unit_Price]])</f>
        <v>556.58000000000004</v>
      </c>
      <c r="B293" s="47">
        <v>201.9</v>
      </c>
      <c r="C293" s="38">
        <f>Table2[[#This Row],[Profit]]/Table2[[#This Row],[Total_Sales]]</f>
        <v>0.36275108699558012</v>
      </c>
      <c r="D293" s="30" t="str">
        <f>IF(AND(Table2[[#This Row],[Profit_Margin %]]&gt;20%,Table2[[#This Row],[Total_Sales]]&gt;2000),"Excellent",IF(AND(Table2[[#This Row],[Profit_Margin %]]&gt;=10%,Table2[[#This Row],[Profit_Margin %]]&lt;=20%),"Good","Needs Improvement"))</f>
        <v>Needs Improvement</v>
      </c>
    </row>
    <row r="294" spans="1:4" x14ac:dyDescent="0.25">
      <c r="A294" s="99">
        <f>PRODUCT(Table1[[#This Row],[Quantity]],Table1[[#This Row],[Unit_Price]])</f>
        <v>326.48</v>
      </c>
      <c r="B294" s="47">
        <v>105.29</v>
      </c>
      <c r="C294" s="38">
        <f>Table2[[#This Row],[Profit]]/Table2[[#This Row],[Total_Sales]]</f>
        <v>0.32250061259495222</v>
      </c>
      <c r="D294" s="30" t="str">
        <f>IF(AND(Table2[[#This Row],[Profit_Margin %]]&gt;20%,Table2[[#This Row],[Total_Sales]]&gt;2000),"Excellent",IF(AND(Table2[[#This Row],[Profit_Margin %]]&gt;=10%,Table2[[#This Row],[Profit_Margin %]]&lt;=20%),"Good","Needs Improvement"))</f>
        <v>Needs Improvement</v>
      </c>
    </row>
    <row r="295" spans="1:4" x14ac:dyDescent="0.25">
      <c r="A295" s="99">
        <f>PRODUCT(Table1[[#This Row],[Quantity]],Table1[[#This Row],[Unit_Price]])</f>
        <v>396.32</v>
      </c>
      <c r="B295" s="47">
        <v>92.72</v>
      </c>
      <c r="C295" s="38">
        <f>Table2[[#This Row],[Profit]]/Table2[[#This Row],[Total_Sales]]</f>
        <v>0.23395236172789666</v>
      </c>
      <c r="D295" s="30" t="str">
        <f>IF(AND(Table2[[#This Row],[Profit_Margin %]]&gt;20%,Table2[[#This Row],[Total_Sales]]&gt;2000),"Excellent",IF(AND(Table2[[#This Row],[Profit_Margin %]]&gt;=10%,Table2[[#This Row],[Profit_Margin %]]&lt;=20%),"Good","Needs Improvement"))</f>
        <v>Needs Improvement</v>
      </c>
    </row>
    <row r="296" spans="1:4" x14ac:dyDescent="0.25">
      <c r="A296" s="99">
        <f>PRODUCT(Table1[[#This Row],[Quantity]],Table1[[#This Row],[Unit_Price]])</f>
        <v>2203.5</v>
      </c>
      <c r="B296" s="47">
        <v>501.92</v>
      </c>
      <c r="C296" s="38">
        <f>Table2[[#This Row],[Profit]]/Table2[[#This Row],[Total_Sales]]</f>
        <v>0.2277830723848423</v>
      </c>
      <c r="D296" s="30" t="str">
        <f>IF(AND(Table2[[#This Row],[Profit_Margin %]]&gt;20%,Table2[[#This Row],[Total_Sales]]&gt;2000),"Excellent",IF(AND(Table2[[#This Row],[Profit_Margin %]]&gt;=10%,Table2[[#This Row],[Profit_Margin %]]&lt;=20%),"Good","Needs Improvement"))</f>
        <v>Excellent</v>
      </c>
    </row>
    <row r="297" spans="1:4" x14ac:dyDescent="0.25">
      <c r="A297" s="99">
        <f>PRODUCT(Table1[[#This Row],[Quantity]],Table1[[#This Row],[Unit_Price]])</f>
        <v>24.01</v>
      </c>
      <c r="B297" s="47">
        <v>6.93</v>
      </c>
      <c r="C297" s="38">
        <f>Table2[[#This Row],[Profit]]/Table2[[#This Row],[Total_Sales]]</f>
        <v>0.28862973760932942</v>
      </c>
      <c r="D297" s="30" t="str">
        <f>IF(AND(Table2[[#This Row],[Profit_Margin %]]&gt;20%,Table2[[#This Row],[Total_Sales]]&gt;2000),"Excellent",IF(AND(Table2[[#This Row],[Profit_Margin %]]&gt;=10%,Table2[[#This Row],[Profit_Margin %]]&lt;=20%),"Good","Needs Improvement"))</f>
        <v>Needs Improvement</v>
      </c>
    </row>
    <row r="298" spans="1:4" x14ac:dyDescent="0.25">
      <c r="A298" s="99">
        <f>PRODUCT(Table1[[#This Row],[Quantity]],Table1[[#This Row],[Unit_Price]])</f>
        <v>1619.5500000000002</v>
      </c>
      <c r="B298" s="47">
        <v>444.6</v>
      </c>
      <c r="C298" s="38">
        <f>Table2[[#This Row],[Profit]]/Table2[[#This Row],[Total_Sales]]</f>
        <v>0.27452070019449848</v>
      </c>
      <c r="D298" s="30" t="str">
        <f>IF(AND(Table2[[#This Row],[Profit_Margin %]]&gt;20%,Table2[[#This Row],[Total_Sales]]&gt;2000),"Excellent",IF(AND(Table2[[#This Row],[Profit_Margin %]]&gt;=10%,Table2[[#This Row],[Profit_Margin %]]&lt;=20%),"Good","Needs Improvement"))</f>
        <v>Needs Improvement</v>
      </c>
    </row>
    <row r="299" spans="1:4" x14ac:dyDescent="0.25">
      <c r="A299" s="99">
        <f>PRODUCT(Table1[[#This Row],[Quantity]],Table1[[#This Row],[Unit_Price]])</f>
        <v>127.25</v>
      </c>
      <c r="B299" s="47">
        <v>20.03</v>
      </c>
      <c r="C299" s="38">
        <f>Table2[[#This Row],[Profit]]/Table2[[#This Row],[Total_Sales]]</f>
        <v>0.15740667976424363</v>
      </c>
      <c r="D299" s="30" t="str">
        <f>IF(AND(Table2[[#This Row],[Profit_Margin %]]&gt;20%,Table2[[#This Row],[Total_Sales]]&gt;2000),"Excellent",IF(AND(Table2[[#This Row],[Profit_Margin %]]&gt;=10%,Table2[[#This Row],[Profit_Margin %]]&lt;=20%),"Good","Needs Improvement"))</f>
        <v>Good</v>
      </c>
    </row>
    <row r="300" spans="1:4" x14ac:dyDescent="0.25">
      <c r="A300" s="99">
        <f>PRODUCT(Table1[[#This Row],[Quantity]],Table1[[#This Row],[Unit_Price]])</f>
        <v>468.72</v>
      </c>
      <c r="B300" s="47">
        <v>82.6</v>
      </c>
      <c r="C300" s="38">
        <f>Table2[[#This Row],[Profit]]/Table2[[#This Row],[Total_Sales]]</f>
        <v>0.17622461170848266</v>
      </c>
      <c r="D300" s="30" t="str">
        <f>IF(AND(Table2[[#This Row],[Profit_Margin %]]&gt;20%,Table2[[#This Row],[Total_Sales]]&gt;2000),"Excellent",IF(AND(Table2[[#This Row],[Profit_Margin %]]&gt;=10%,Table2[[#This Row],[Profit_Margin %]]&lt;=20%),"Good","Needs Improvement"))</f>
        <v>Good</v>
      </c>
    </row>
    <row r="301" spans="1:4" x14ac:dyDescent="0.25">
      <c r="A301" s="99">
        <f>PRODUCT(Table1[[#This Row],[Quantity]],Table1[[#This Row],[Unit_Price]])</f>
        <v>625.24</v>
      </c>
      <c r="B301" s="47">
        <v>224</v>
      </c>
      <c r="C301" s="38">
        <f>Table2[[#This Row],[Profit]]/Table2[[#This Row],[Total_Sales]]</f>
        <v>0.35826242722794449</v>
      </c>
      <c r="D301" s="30" t="str">
        <f>IF(AND(Table2[[#This Row],[Profit_Margin %]]&gt;20%,Table2[[#This Row],[Total_Sales]]&gt;2000),"Excellent",IF(AND(Table2[[#This Row],[Profit_Margin %]]&gt;=10%,Table2[[#This Row],[Profit_Margin %]]&lt;=20%),"Good","Needs Improvement"))</f>
        <v>Needs Improvement</v>
      </c>
    </row>
    <row r="302" spans="1:4" x14ac:dyDescent="0.25">
      <c r="A302" s="99">
        <f>PRODUCT(Table1[[#This Row],[Quantity]],Table1[[#This Row],[Unit_Price]])</f>
        <v>1926.19</v>
      </c>
      <c r="B302" s="47">
        <v>288.49</v>
      </c>
      <c r="C302" s="38">
        <f>Table2[[#This Row],[Profit]]/Table2[[#This Row],[Total_Sales]]</f>
        <v>0.14977234852221225</v>
      </c>
      <c r="D302" s="30" t="str">
        <f>IF(AND(Table2[[#This Row],[Profit_Margin %]]&gt;20%,Table2[[#This Row],[Total_Sales]]&gt;2000),"Excellent",IF(AND(Table2[[#This Row],[Profit_Margin %]]&gt;=10%,Table2[[#This Row],[Profit_Margin %]]&lt;=20%),"Good","Needs Improvement"))</f>
        <v>Good</v>
      </c>
    </row>
    <row r="303" spans="1:4" x14ac:dyDescent="0.25">
      <c r="A303" s="99">
        <f>PRODUCT(Table1[[#This Row],[Quantity]],Table1[[#This Row],[Unit_Price]])</f>
        <v>137.69999999999999</v>
      </c>
      <c r="B303" s="47">
        <v>39.07</v>
      </c>
      <c r="C303" s="38">
        <f>Table2[[#This Row],[Profit]]/Table2[[#This Row],[Total_Sales]]</f>
        <v>0.28373275236020334</v>
      </c>
      <c r="D303" s="30" t="str">
        <f>IF(AND(Table2[[#This Row],[Profit_Margin %]]&gt;20%,Table2[[#This Row],[Total_Sales]]&gt;2000),"Excellent",IF(AND(Table2[[#This Row],[Profit_Margin %]]&gt;=10%,Table2[[#This Row],[Profit_Margin %]]&lt;=20%),"Good","Needs Improvement"))</f>
        <v>Needs Improvement</v>
      </c>
    </row>
    <row r="304" spans="1:4" x14ac:dyDescent="0.25">
      <c r="A304" s="99">
        <f>PRODUCT(Table1[[#This Row],[Quantity]],Table1[[#This Row],[Unit_Price]])</f>
        <v>970.19999999999993</v>
      </c>
      <c r="B304" s="47">
        <v>208.46</v>
      </c>
      <c r="C304" s="38">
        <f>Table2[[#This Row],[Profit]]/Table2[[#This Row],[Total_Sales]]</f>
        <v>0.21486291486291489</v>
      </c>
      <c r="D304" s="30" t="str">
        <f>IF(AND(Table2[[#This Row],[Profit_Margin %]]&gt;20%,Table2[[#This Row],[Total_Sales]]&gt;2000),"Excellent",IF(AND(Table2[[#This Row],[Profit_Margin %]]&gt;=10%,Table2[[#This Row],[Profit_Margin %]]&lt;=20%),"Good","Needs Improvement"))</f>
        <v>Needs Improvement</v>
      </c>
    </row>
    <row r="305" spans="1:4" x14ac:dyDescent="0.25">
      <c r="A305" s="99">
        <f>PRODUCT(Table1[[#This Row],[Quantity]],Table1[[#This Row],[Unit_Price]])</f>
        <v>2201.5</v>
      </c>
      <c r="B305" s="47">
        <v>773.45</v>
      </c>
      <c r="C305" s="38">
        <f>Table2[[#This Row],[Profit]]/Table2[[#This Row],[Total_Sales]]</f>
        <v>0.35132863956393368</v>
      </c>
      <c r="D305" s="30" t="str">
        <f>IF(AND(Table2[[#This Row],[Profit_Margin %]]&gt;20%,Table2[[#This Row],[Total_Sales]]&gt;2000),"Excellent",IF(AND(Table2[[#This Row],[Profit_Margin %]]&gt;=10%,Table2[[#This Row],[Profit_Margin %]]&lt;=20%),"Good","Needs Improvement"))</f>
        <v>Excellent</v>
      </c>
    </row>
    <row r="306" spans="1:4" x14ac:dyDescent="0.25">
      <c r="A306" s="99">
        <f>PRODUCT(Table1[[#This Row],[Quantity]],Table1[[#This Row],[Unit_Price]])</f>
        <v>1274.98</v>
      </c>
      <c r="B306" s="47">
        <v>233.14</v>
      </c>
      <c r="C306" s="38">
        <f>Table2[[#This Row],[Profit]]/Table2[[#This Row],[Total_Sales]]</f>
        <v>0.18285777031796577</v>
      </c>
      <c r="D306" s="30" t="str">
        <f>IF(AND(Table2[[#This Row],[Profit_Margin %]]&gt;20%,Table2[[#This Row],[Total_Sales]]&gt;2000),"Excellent",IF(AND(Table2[[#This Row],[Profit_Margin %]]&gt;=10%,Table2[[#This Row],[Profit_Margin %]]&lt;=20%),"Good","Needs Improvement"))</f>
        <v>Good</v>
      </c>
    </row>
    <row r="307" spans="1:4" x14ac:dyDescent="0.25">
      <c r="A307" s="99">
        <f>PRODUCT(Table1[[#This Row],[Quantity]],Table1[[#This Row],[Unit_Price]])</f>
        <v>32.979999999999997</v>
      </c>
      <c r="B307" s="47">
        <v>6.09</v>
      </c>
      <c r="C307" s="38">
        <f>Table2[[#This Row],[Profit]]/Table2[[#This Row],[Total_Sales]]</f>
        <v>0.18465736810187994</v>
      </c>
      <c r="D307" s="30" t="str">
        <f>IF(AND(Table2[[#This Row],[Profit_Margin %]]&gt;20%,Table2[[#This Row],[Total_Sales]]&gt;2000),"Excellent",IF(AND(Table2[[#This Row],[Profit_Margin %]]&gt;=10%,Table2[[#This Row],[Profit_Margin %]]&lt;=20%),"Good","Needs Improvement"))</f>
        <v>Good</v>
      </c>
    </row>
    <row r="308" spans="1:4" x14ac:dyDescent="0.25">
      <c r="A308" s="99">
        <f>PRODUCT(Table1[[#This Row],[Quantity]],Table1[[#This Row],[Unit_Price]])</f>
        <v>361.62</v>
      </c>
      <c r="B308" s="47">
        <v>123.74</v>
      </c>
      <c r="C308" s="38">
        <f>Table2[[#This Row],[Profit]]/Table2[[#This Row],[Total_Sales]]</f>
        <v>0.34218240141585088</v>
      </c>
      <c r="D308" s="30" t="str">
        <f>IF(AND(Table2[[#This Row],[Profit_Margin %]]&gt;20%,Table2[[#This Row],[Total_Sales]]&gt;2000),"Excellent",IF(AND(Table2[[#This Row],[Profit_Margin %]]&gt;=10%,Table2[[#This Row],[Profit_Margin %]]&lt;=20%),"Good","Needs Improvement"))</f>
        <v>Needs Improvement</v>
      </c>
    </row>
    <row r="309" spans="1:4" x14ac:dyDescent="0.25">
      <c r="A309" s="99">
        <f>PRODUCT(Table1[[#This Row],[Quantity]],Table1[[#This Row],[Unit_Price]])</f>
        <v>1934.0100000000002</v>
      </c>
      <c r="B309" s="47">
        <v>506.22</v>
      </c>
      <c r="C309" s="38">
        <f>Table2[[#This Row],[Profit]]/Table2[[#This Row],[Total_Sales]]</f>
        <v>0.26174631982254487</v>
      </c>
      <c r="D309" s="30" t="str">
        <f>IF(AND(Table2[[#This Row],[Profit_Margin %]]&gt;20%,Table2[[#This Row],[Total_Sales]]&gt;2000),"Excellent",IF(AND(Table2[[#This Row],[Profit_Margin %]]&gt;=10%,Table2[[#This Row],[Profit_Margin %]]&lt;=20%),"Good","Needs Improvement"))</f>
        <v>Needs Improvement</v>
      </c>
    </row>
    <row r="310" spans="1:4" x14ac:dyDescent="0.25">
      <c r="A310" s="99">
        <f>PRODUCT(Table1[[#This Row],[Quantity]],Table1[[#This Row],[Unit_Price]])</f>
        <v>251.94</v>
      </c>
      <c r="B310" s="47">
        <v>49.18</v>
      </c>
      <c r="C310" s="38">
        <f>Table2[[#This Row],[Profit]]/Table2[[#This Row],[Total_Sales]]</f>
        <v>0.19520520758910853</v>
      </c>
      <c r="D310" s="30" t="str">
        <f>IF(AND(Table2[[#This Row],[Profit_Margin %]]&gt;20%,Table2[[#This Row],[Total_Sales]]&gt;2000),"Excellent",IF(AND(Table2[[#This Row],[Profit_Margin %]]&gt;=10%,Table2[[#This Row],[Profit_Margin %]]&lt;=20%),"Good","Needs Improvement"))</f>
        <v>Good</v>
      </c>
    </row>
    <row r="311" spans="1:4" x14ac:dyDescent="0.25">
      <c r="A311" s="99">
        <f>PRODUCT(Table1[[#This Row],[Quantity]],Table1[[#This Row],[Unit_Price]])</f>
        <v>568.79999999999995</v>
      </c>
      <c r="B311" s="47">
        <v>125.49</v>
      </c>
      <c r="C311" s="38">
        <f>Table2[[#This Row],[Profit]]/Table2[[#This Row],[Total_Sales]]</f>
        <v>0.22062236286919831</v>
      </c>
      <c r="D311" s="30" t="str">
        <f>IF(AND(Table2[[#This Row],[Profit_Margin %]]&gt;20%,Table2[[#This Row],[Total_Sales]]&gt;2000),"Excellent",IF(AND(Table2[[#This Row],[Profit_Margin %]]&gt;=10%,Table2[[#This Row],[Profit_Margin %]]&lt;=20%),"Good","Needs Improvement"))</f>
        <v>Needs Improvement</v>
      </c>
    </row>
    <row r="312" spans="1:4" x14ac:dyDescent="0.25">
      <c r="A312" s="99">
        <f>PRODUCT(Table1[[#This Row],[Quantity]],Table1[[#This Row],[Unit_Price]])</f>
        <v>1714</v>
      </c>
      <c r="B312" s="47">
        <v>654.16</v>
      </c>
      <c r="C312" s="38">
        <f>Table2[[#This Row],[Profit]]/Table2[[#This Row],[Total_Sales]]</f>
        <v>0.38165694282380397</v>
      </c>
      <c r="D312" s="30" t="str">
        <f>IF(AND(Table2[[#This Row],[Profit_Margin %]]&gt;20%,Table2[[#This Row],[Total_Sales]]&gt;2000),"Excellent",IF(AND(Table2[[#This Row],[Profit_Margin %]]&gt;=10%,Table2[[#This Row],[Profit_Margin %]]&lt;=20%),"Good","Needs Improvement"))</f>
        <v>Needs Improvement</v>
      </c>
    </row>
    <row r="313" spans="1:4" x14ac:dyDescent="0.25">
      <c r="A313" s="99">
        <f>PRODUCT(Table1[[#This Row],[Quantity]],Table1[[#This Row],[Unit_Price]])</f>
        <v>1469.5</v>
      </c>
      <c r="B313" s="47">
        <v>467.99</v>
      </c>
      <c r="C313" s="38">
        <f>Table2[[#This Row],[Profit]]/Table2[[#This Row],[Total_Sales]]</f>
        <v>0.31846886696155158</v>
      </c>
      <c r="D313" s="30" t="str">
        <f>IF(AND(Table2[[#This Row],[Profit_Margin %]]&gt;20%,Table2[[#This Row],[Total_Sales]]&gt;2000),"Excellent",IF(AND(Table2[[#This Row],[Profit_Margin %]]&gt;=10%,Table2[[#This Row],[Profit_Margin %]]&lt;=20%),"Good","Needs Improvement"))</f>
        <v>Needs Improvement</v>
      </c>
    </row>
    <row r="314" spans="1:4" x14ac:dyDescent="0.25">
      <c r="A314" s="99">
        <f>PRODUCT(Table1[[#This Row],[Quantity]],Table1[[#This Row],[Unit_Price]])</f>
        <v>1395.64</v>
      </c>
      <c r="B314" s="47">
        <v>463.44</v>
      </c>
      <c r="C314" s="38">
        <f>Table2[[#This Row],[Profit]]/Table2[[#This Row],[Total_Sales]]</f>
        <v>0.33206270958126732</v>
      </c>
      <c r="D314" s="30" t="str">
        <f>IF(AND(Table2[[#This Row],[Profit_Margin %]]&gt;20%,Table2[[#This Row],[Total_Sales]]&gt;2000),"Excellent",IF(AND(Table2[[#This Row],[Profit_Margin %]]&gt;=10%,Table2[[#This Row],[Profit_Margin %]]&lt;=20%),"Good","Needs Improvement"))</f>
        <v>Needs Improvement</v>
      </c>
    </row>
    <row r="315" spans="1:4" x14ac:dyDescent="0.25">
      <c r="A315" s="99">
        <f>PRODUCT(Table1[[#This Row],[Quantity]],Table1[[#This Row],[Unit_Price]])</f>
        <v>940.49999999999989</v>
      </c>
      <c r="B315" s="47">
        <v>262.75</v>
      </c>
      <c r="C315" s="38">
        <f>Table2[[#This Row],[Profit]]/Table2[[#This Row],[Total_Sales]]</f>
        <v>0.27937267410951627</v>
      </c>
      <c r="D315" s="30" t="str">
        <f>IF(AND(Table2[[#This Row],[Profit_Margin %]]&gt;20%,Table2[[#This Row],[Total_Sales]]&gt;2000),"Excellent",IF(AND(Table2[[#This Row],[Profit_Margin %]]&gt;=10%,Table2[[#This Row],[Profit_Margin %]]&lt;=20%),"Good","Needs Improvement"))</f>
        <v>Needs Improvement</v>
      </c>
    </row>
    <row r="316" spans="1:4" x14ac:dyDescent="0.25">
      <c r="A316" s="99">
        <f>PRODUCT(Table1[[#This Row],[Quantity]],Table1[[#This Row],[Unit_Price]])</f>
        <v>59.28</v>
      </c>
      <c r="B316" s="47">
        <v>9.69</v>
      </c>
      <c r="C316" s="38">
        <f>Table2[[#This Row],[Profit]]/Table2[[#This Row],[Total_Sales]]</f>
        <v>0.16346153846153846</v>
      </c>
      <c r="D316" s="30" t="str">
        <f>IF(AND(Table2[[#This Row],[Profit_Margin %]]&gt;20%,Table2[[#This Row],[Total_Sales]]&gt;2000),"Excellent",IF(AND(Table2[[#This Row],[Profit_Margin %]]&gt;=10%,Table2[[#This Row],[Profit_Margin %]]&lt;=20%),"Good","Needs Improvement"))</f>
        <v>Good</v>
      </c>
    </row>
    <row r="317" spans="1:4" x14ac:dyDescent="0.25">
      <c r="A317" s="99">
        <f>PRODUCT(Table1[[#This Row],[Quantity]],Table1[[#This Row],[Unit_Price]])</f>
        <v>1339.1999999999998</v>
      </c>
      <c r="B317" s="47">
        <v>192.89</v>
      </c>
      <c r="C317" s="38">
        <f>Table2[[#This Row],[Profit]]/Table2[[#This Row],[Total_Sales]]</f>
        <v>0.14403375149342892</v>
      </c>
      <c r="D317" s="30" t="str">
        <f>IF(AND(Table2[[#This Row],[Profit_Margin %]]&gt;20%,Table2[[#This Row],[Total_Sales]]&gt;2000),"Excellent",IF(AND(Table2[[#This Row],[Profit_Margin %]]&gt;=10%,Table2[[#This Row],[Profit_Margin %]]&lt;=20%),"Good","Needs Improvement"))</f>
        <v>Good</v>
      </c>
    </row>
    <row r="318" spans="1:4" x14ac:dyDescent="0.25">
      <c r="A318" s="99">
        <f>PRODUCT(Table1[[#This Row],[Quantity]],Table1[[#This Row],[Unit_Price]])</f>
        <v>1078.5600000000002</v>
      </c>
      <c r="B318" s="47">
        <v>314.05</v>
      </c>
      <c r="C318" s="38">
        <f>Table2[[#This Row],[Profit]]/Table2[[#This Row],[Total_Sales]]</f>
        <v>0.29117527073134547</v>
      </c>
      <c r="D318" s="30" t="str">
        <f>IF(AND(Table2[[#This Row],[Profit_Margin %]]&gt;20%,Table2[[#This Row],[Total_Sales]]&gt;2000),"Excellent",IF(AND(Table2[[#This Row],[Profit_Margin %]]&gt;=10%,Table2[[#This Row],[Profit_Margin %]]&lt;=20%),"Good","Needs Improvement"))</f>
        <v>Needs Improvement</v>
      </c>
    </row>
    <row r="319" spans="1:4" x14ac:dyDescent="0.25">
      <c r="A319" s="99">
        <f>PRODUCT(Table1[[#This Row],[Quantity]],Table1[[#This Row],[Unit_Price]])</f>
        <v>341.88</v>
      </c>
      <c r="B319" s="47">
        <v>77.2</v>
      </c>
      <c r="C319" s="38">
        <f>Table2[[#This Row],[Profit]]/Table2[[#This Row],[Total_Sales]]</f>
        <v>0.22581022581022583</v>
      </c>
      <c r="D319" s="30" t="str">
        <f>IF(AND(Table2[[#This Row],[Profit_Margin %]]&gt;20%,Table2[[#This Row],[Total_Sales]]&gt;2000),"Excellent",IF(AND(Table2[[#This Row],[Profit_Margin %]]&gt;=10%,Table2[[#This Row],[Profit_Margin %]]&lt;=20%),"Good","Needs Improvement"))</f>
        <v>Needs Improvement</v>
      </c>
    </row>
    <row r="320" spans="1:4" x14ac:dyDescent="0.25">
      <c r="A320" s="99">
        <f>PRODUCT(Table1[[#This Row],[Quantity]],Table1[[#This Row],[Unit_Price]])</f>
        <v>1089.8999999999999</v>
      </c>
      <c r="B320" s="47">
        <v>222.4</v>
      </c>
      <c r="C320" s="38">
        <f>Table2[[#This Row],[Profit]]/Table2[[#This Row],[Total_Sales]]</f>
        <v>0.20405541792825033</v>
      </c>
      <c r="D320" s="30" t="str">
        <f>IF(AND(Table2[[#This Row],[Profit_Margin %]]&gt;20%,Table2[[#This Row],[Total_Sales]]&gt;2000),"Excellent",IF(AND(Table2[[#This Row],[Profit_Margin %]]&gt;=10%,Table2[[#This Row],[Profit_Margin %]]&lt;=20%),"Good","Needs Improvement"))</f>
        <v>Needs Improvement</v>
      </c>
    </row>
    <row r="321" spans="1:4" x14ac:dyDescent="0.25">
      <c r="A321" s="99">
        <f>PRODUCT(Table1[[#This Row],[Quantity]],Table1[[#This Row],[Unit_Price]])</f>
        <v>904.8</v>
      </c>
      <c r="B321" s="47">
        <v>84.67</v>
      </c>
      <c r="C321" s="38">
        <f>Table2[[#This Row],[Profit]]/Table2[[#This Row],[Total_Sales]]</f>
        <v>9.3578691423519017E-2</v>
      </c>
      <c r="D321" s="30" t="str">
        <f>IF(AND(Table2[[#This Row],[Profit_Margin %]]&gt;20%,Table2[[#This Row],[Total_Sales]]&gt;2000),"Excellent",IF(AND(Table2[[#This Row],[Profit_Margin %]]&gt;=10%,Table2[[#This Row],[Profit_Margin %]]&lt;=20%),"Good","Needs Improvement"))</f>
        <v>Needs Improvement</v>
      </c>
    </row>
    <row r="322" spans="1:4" x14ac:dyDescent="0.25">
      <c r="A322" s="99">
        <f>PRODUCT(Table1[[#This Row],[Quantity]],Table1[[#This Row],[Unit_Price]])</f>
        <v>1201.2</v>
      </c>
      <c r="B322" s="47">
        <v>329.23</v>
      </c>
      <c r="C322" s="38">
        <f>Table2[[#This Row],[Profit]]/Table2[[#This Row],[Total_Sales]]</f>
        <v>0.27408424908424911</v>
      </c>
      <c r="D322" s="30" t="str">
        <f>IF(AND(Table2[[#This Row],[Profit_Margin %]]&gt;20%,Table2[[#This Row],[Total_Sales]]&gt;2000),"Excellent",IF(AND(Table2[[#This Row],[Profit_Margin %]]&gt;=10%,Table2[[#This Row],[Profit_Margin %]]&lt;=20%),"Good","Needs Improvement"))</f>
        <v>Needs Improvement</v>
      </c>
    </row>
    <row r="323" spans="1:4" x14ac:dyDescent="0.25">
      <c r="A323" s="99">
        <f>PRODUCT(Table1[[#This Row],[Quantity]],Table1[[#This Row],[Unit_Price]])</f>
        <v>406.8</v>
      </c>
      <c r="B323" s="47">
        <v>82.52</v>
      </c>
      <c r="C323" s="38">
        <f>Table2[[#This Row],[Profit]]/Table2[[#This Row],[Total_Sales]]</f>
        <v>0.20285152409046212</v>
      </c>
      <c r="D323" s="30" t="str">
        <f>IF(AND(Table2[[#This Row],[Profit_Margin %]]&gt;20%,Table2[[#This Row],[Total_Sales]]&gt;2000),"Excellent",IF(AND(Table2[[#This Row],[Profit_Margin %]]&gt;=10%,Table2[[#This Row],[Profit_Margin %]]&lt;=20%),"Good","Needs Improvement"))</f>
        <v>Needs Improvement</v>
      </c>
    </row>
    <row r="324" spans="1:4" x14ac:dyDescent="0.25">
      <c r="A324" s="99">
        <f>PRODUCT(Table1[[#This Row],[Quantity]],Table1[[#This Row],[Unit_Price]])</f>
        <v>642.25</v>
      </c>
      <c r="B324" s="47">
        <v>166.65</v>
      </c>
      <c r="C324" s="38">
        <f>Table2[[#This Row],[Profit]]/Table2[[#This Row],[Total_Sales]]</f>
        <v>0.2594783962631374</v>
      </c>
      <c r="D324" s="30" t="str">
        <f>IF(AND(Table2[[#This Row],[Profit_Margin %]]&gt;20%,Table2[[#This Row],[Total_Sales]]&gt;2000),"Excellent",IF(AND(Table2[[#This Row],[Profit_Margin %]]&gt;=10%,Table2[[#This Row],[Profit_Margin %]]&lt;=20%),"Good","Needs Improvement"))</f>
        <v>Needs Improvement</v>
      </c>
    </row>
    <row r="325" spans="1:4" x14ac:dyDescent="0.25">
      <c r="A325" s="99">
        <f>PRODUCT(Table1[[#This Row],[Quantity]],Table1[[#This Row],[Unit_Price]])</f>
        <v>1104.3900000000001</v>
      </c>
      <c r="B325" s="47">
        <v>312.33</v>
      </c>
      <c r="C325" s="38">
        <f>Table2[[#This Row],[Profit]]/Table2[[#This Row],[Total_Sales]]</f>
        <v>0.28280770380028791</v>
      </c>
      <c r="D325" s="30" t="str">
        <f>IF(AND(Table2[[#This Row],[Profit_Margin %]]&gt;20%,Table2[[#This Row],[Total_Sales]]&gt;2000),"Excellent",IF(AND(Table2[[#This Row],[Profit_Margin %]]&gt;=10%,Table2[[#This Row],[Profit_Margin %]]&lt;=20%),"Good","Needs Improvement"))</f>
        <v>Needs Improvement</v>
      </c>
    </row>
    <row r="326" spans="1:4" x14ac:dyDescent="0.25">
      <c r="A326" s="99">
        <f>PRODUCT(Table1[[#This Row],[Quantity]],Table1[[#This Row],[Unit_Price]])</f>
        <v>442</v>
      </c>
      <c r="B326" s="47">
        <v>143.55000000000001</v>
      </c>
      <c r="C326" s="38">
        <f>Table2[[#This Row],[Profit]]/Table2[[#This Row],[Total_Sales]]</f>
        <v>0.32477375565610861</v>
      </c>
      <c r="D326" s="30" t="str">
        <f>IF(AND(Table2[[#This Row],[Profit_Margin %]]&gt;20%,Table2[[#This Row],[Total_Sales]]&gt;2000),"Excellent",IF(AND(Table2[[#This Row],[Profit_Margin %]]&gt;=10%,Table2[[#This Row],[Profit_Margin %]]&lt;=20%),"Good","Needs Improvement"))</f>
        <v>Needs Improvement</v>
      </c>
    </row>
    <row r="327" spans="1:4" x14ac:dyDescent="0.25">
      <c r="A327" s="99">
        <f>PRODUCT(Table1[[#This Row],[Quantity]],Table1[[#This Row],[Unit_Price]])</f>
        <v>669.9</v>
      </c>
      <c r="B327" s="47">
        <v>258.62</v>
      </c>
      <c r="C327" s="38">
        <f>Table2[[#This Row],[Profit]]/Table2[[#This Row],[Total_Sales]]</f>
        <v>0.38605762054037918</v>
      </c>
      <c r="D327" s="30" t="str">
        <f>IF(AND(Table2[[#This Row],[Profit_Margin %]]&gt;20%,Table2[[#This Row],[Total_Sales]]&gt;2000),"Excellent",IF(AND(Table2[[#This Row],[Profit_Margin %]]&gt;=10%,Table2[[#This Row],[Profit_Margin %]]&lt;=20%),"Good","Needs Improvement"))</f>
        <v>Needs Improvement</v>
      </c>
    </row>
    <row r="328" spans="1:4" x14ac:dyDescent="0.25">
      <c r="A328" s="99">
        <f>PRODUCT(Table1[[#This Row],[Quantity]],Table1[[#This Row],[Unit_Price]])</f>
        <v>580.32000000000005</v>
      </c>
      <c r="B328" s="47">
        <v>203.74</v>
      </c>
      <c r="C328" s="38">
        <f>Table2[[#This Row],[Profit]]/Table2[[#This Row],[Total_Sales]]</f>
        <v>0.3510821615660325</v>
      </c>
      <c r="D328" s="30" t="str">
        <f>IF(AND(Table2[[#This Row],[Profit_Margin %]]&gt;20%,Table2[[#This Row],[Total_Sales]]&gt;2000),"Excellent",IF(AND(Table2[[#This Row],[Profit_Margin %]]&gt;=10%,Table2[[#This Row],[Profit_Margin %]]&lt;=20%),"Good","Needs Improvement"))</f>
        <v>Needs Improvement</v>
      </c>
    </row>
    <row r="329" spans="1:4" x14ac:dyDescent="0.25">
      <c r="A329" s="99">
        <f>PRODUCT(Table1[[#This Row],[Quantity]],Table1[[#This Row],[Unit_Price]])</f>
        <v>1926.94</v>
      </c>
      <c r="B329" s="47">
        <v>541.54999999999995</v>
      </c>
      <c r="C329" s="38">
        <f>Table2[[#This Row],[Profit]]/Table2[[#This Row],[Total_Sales]]</f>
        <v>0.28104144394739844</v>
      </c>
      <c r="D329" s="30" t="str">
        <f>IF(AND(Table2[[#This Row],[Profit_Margin %]]&gt;20%,Table2[[#This Row],[Total_Sales]]&gt;2000),"Excellent",IF(AND(Table2[[#This Row],[Profit_Margin %]]&gt;=10%,Table2[[#This Row],[Profit_Margin %]]&lt;=20%),"Good","Needs Improvement"))</f>
        <v>Needs Improvement</v>
      </c>
    </row>
    <row r="330" spans="1:4" x14ac:dyDescent="0.25">
      <c r="A330" s="99">
        <f>PRODUCT(Table1[[#This Row],[Quantity]],Table1[[#This Row],[Unit_Price]])</f>
        <v>913.31999999999994</v>
      </c>
      <c r="B330" s="47">
        <v>314.75</v>
      </c>
      <c r="C330" s="38">
        <f>Table2[[#This Row],[Profit]]/Table2[[#This Row],[Total_Sales]]</f>
        <v>0.3446218192966321</v>
      </c>
      <c r="D330" s="30" t="str">
        <f>IF(AND(Table2[[#This Row],[Profit_Margin %]]&gt;20%,Table2[[#This Row],[Total_Sales]]&gt;2000),"Excellent",IF(AND(Table2[[#This Row],[Profit_Margin %]]&gt;=10%,Table2[[#This Row],[Profit_Margin %]]&lt;=20%),"Good","Needs Improvement"))</f>
        <v>Needs Improvement</v>
      </c>
    </row>
    <row r="331" spans="1:4" x14ac:dyDescent="0.25">
      <c r="A331" s="99">
        <f>PRODUCT(Table1[[#This Row],[Quantity]],Table1[[#This Row],[Unit_Price]])</f>
        <v>943.60000000000014</v>
      </c>
      <c r="B331" s="47">
        <v>293.43</v>
      </c>
      <c r="C331" s="38">
        <f>Table2[[#This Row],[Profit]]/Table2[[#This Row],[Total_Sales]]</f>
        <v>0.31096863077575237</v>
      </c>
      <c r="D331" s="30" t="str">
        <f>IF(AND(Table2[[#This Row],[Profit_Margin %]]&gt;20%,Table2[[#This Row],[Total_Sales]]&gt;2000),"Excellent",IF(AND(Table2[[#This Row],[Profit_Margin %]]&gt;=10%,Table2[[#This Row],[Profit_Margin %]]&lt;=20%),"Good","Needs Improvement"))</f>
        <v>Needs Improvement</v>
      </c>
    </row>
    <row r="332" spans="1:4" x14ac:dyDescent="0.25">
      <c r="A332" s="99">
        <f>PRODUCT(Table1[[#This Row],[Quantity]],Table1[[#This Row],[Unit_Price]])</f>
        <v>1752.3400000000001</v>
      </c>
      <c r="B332" s="47">
        <v>225.25</v>
      </c>
      <c r="C332" s="38">
        <f>Table2[[#This Row],[Profit]]/Table2[[#This Row],[Total_Sales]]</f>
        <v>0.12854240615405685</v>
      </c>
      <c r="D332" s="30" t="str">
        <f>IF(AND(Table2[[#This Row],[Profit_Margin %]]&gt;20%,Table2[[#This Row],[Total_Sales]]&gt;2000),"Excellent",IF(AND(Table2[[#This Row],[Profit_Margin %]]&gt;=10%,Table2[[#This Row],[Profit_Margin %]]&lt;=20%),"Good","Needs Improvement"))</f>
        <v>Good</v>
      </c>
    </row>
    <row r="333" spans="1:4" x14ac:dyDescent="0.25">
      <c r="A333" s="99">
        <f>PRODUCT(Table1[[#This Row],[Quantity]],Table1[[#This Row],[Unit_Price]])</f>
        <v>724.31999999999994</v>
      </c>
      <c r="B333" s="47">
        <v>199.35</v>
      </c>
      <c r="C333" s="38">
        <f>Table2[[#This Row],[Profit]]/Table2[[#This Row],[Total_Sales]]</f>
        <v>0.27522365805168986</v>
      </c>
      <c r="D333" s="30" t="str">
        <f>IF(AND(Table2[[#This Row],[Profit_Margin %]]&gt;20%,Table2[[#This Row],[Total_Sales]]&gt;2000),"Excellent",IF(AND(Table2[[#This Row],[Profit_Margin %]]&gt;=10%,Table2[[#This Row],[Profit_Margin %]]&lt;=20%),"Good","Needs Improvement"))</f>
        <v>Needs Improvement</v>
      </c>
    </row>
    <row r="334" spans="1:4" x14ac:dyDescent="0.25">
      <c r="A334" s="99">
        <f>PRODUCT(Table1[[#This Row],[Quantity]],Table1[[#This Row],[Unit_Price]])</f>
        <v>880.88</v>
      </c>
      <c r="B334" s="47">
        <v>138.61000000000001</v>
      </c>
      <c r="C334" s="38">
        <f>Table2[[#This Row],[Profit]]/Table2[[#This Row],[Total_Sales]]</f>
        <v>0.15735400962673693</v>
      </c>
      <c r="D334" s="30" t="str">
        <f>IF(AND(Table2[[#This Row],[Profit_Margin %]]&gt;20%,Table2[[#This Row],[Total_Sales]]&gt;2000),"Excellent",IF(AND(Table2[[#This Row],[Profit_Margin %]]&gt;=10%,Table2[[#This Row],[Profit_Margin %]]&lt;=20%),"Good","Needs Improvement"))</f>
        <v>Good</v>
      </c>
    </row>
    <row r="335" spans="1:4" x14ac:dyDescent="0.25">
      <c r="A335" s="99">
        <f>PRODUCT(Table1[[#This Row],[Quantity]],Table1[[#This Row],[Unit_Price]])</f>
        <v>329.4</v>
      </c>
      <c r="B335" s="47">
        <v>76.180000000000007</v>
      </c>
      <c r="C335" s="38">
        <f>Table2[[#This Row],[Profit]]/Table2[[#This Row],[Total_Sales]]</f>
        <v>0.23126897389192475</v>
      </c>
      <c r="D335" s="30" t="str">
        <f>IF(AND(Table2[[#This Row],[Profit_Margin %]]&gt;20%,Table2[[#This Row],[Total_Sales]]&gt;2000),"Excellent",IF(AND(Table2[[#This Row],[Profit_Margin %]]&gt;=10%,Table2[[#This Row],[Profit_Margin %]]&lt;=20%),"Good","Needs Improvement"))</f>
        <v>Needs Improvement</v>
      </c>
    </row>
    <row r="336" spans="1:4" x14ac:dyDescent="0.25">
      <c r="A336" s="99">
        <f>PRODUCT(Table1[[#This Row],[Quantity]],Table1[[#This Row],[Unit_Price]])</f>
        <v>794.82</v>
      </c>
      <c r="B336" s="47">
        <v>255.37</v>
      </c>
      <c r="C336" s="38">
        <f>Table2[[#This Row],[Profit]]/Table2[[#This Row],[Total_Sales]]</f>
        <v>0.32129287134193907</v>
      </c>
      <c r="D336" s="30" t="str">
        <f>IF(AND(Table2[[#This Row],[Profit_Margin %]]&gt;20%,Table2[[#This Row],[Total_Sales]]&gt;2000),"Excellent",IF(AND(Table2[[#This Row],[Profit_Margin %]]&gt;=10%,Table2[[#This Row],[Profit_Margin %]]&lt;=20%),"Good","Needs Improvement"))</f>
        <v>Needs Improvement</v>
      </c>
    </row>
    <row r="337" spans="1:4" x14ac:dyDescent="0.25">
      <c r="A337" s="99">
        <f>PRODUCT(Table1[[#This Row],[Quantity]],Table1[[#This Row],[Unit_Price]])</f>
        <v>1480.7399999999998</v>
      </c>
      <c r="B337" s="47">
        <v>219.61</v>
      </c>
      <c r="C337" s="38">
        <f>Table2[[#This Row],[Profit]]/Table2[[#This Row],[Total_Sales]]</f>
        <v>0.14831097964531251</v>
      </c>
      <c r="D337" s="30" t="str">
        <f>IF(AND(Table2[[#This Row],[Profit_Margin %]]&gt;20%,Table2[[#This Row],[Total_Sales]]&gt;2000),"Excellent",IF(AND(Table2[[#This Row],[Profit_Margin %]]&gt;=10%,Table2[[#This Row],[Profit_Margin %]]&lt;=20%),"Good","Needs Improvement"))</f>
        <v>Good</v>
      </c>
    </row>
    <row r="338" spans="1:4" x14ac:dyDescent="0.25">
      <c r="A338" s="99">
        <f>PRODUCT(Table1[[#This Row],[Quantity]],Table1[[#This Row],[Unit_Price]])</f>
        <v>635.79999999999995</v>
      </c>
      <c r="B338" s="47">
        <v>237.37</v>
      </c>
      <c r="C338" s="38">
        <f>Table2[[#This Row],[Profit]]/Table2[[#This Row],[Total_Sales]]</f>
        <v>0.37334067316766284</v>
      </c>
      <c r="D338" s="30" t="str">
        <f>IF(AND(Table2[[#This Row],[Profit_Margin %]]&gt;20%,Table2[[#This Row],[Total_Sales]]&gt;2000),"Excellent",IF(AND(Table2[[#This Row],[Profit_Margin %]]&gt;=10%,Table2[[#This Row],[Profit_Margin %]]&lt;=20%),"Good","Needs Improvement"))</f>
        <v>Needs Improvement</v>
      </c>
    </row>
    <row r="339" spans="1:4" x14ac:dyDescent="0.25">
      <c r="A339" s="99">
        <f>PRODUCT(Table1[[#This Row],[Quantity]],Table1[[#This Row],[Unit_Price]])</f>
        <v>231.52</v>
      </c>
      <c r="B339" s="47">
        <v>80.52</v>
      </c>
      <c r="C339" s="38">
        <f>Table2[[#This Row],[Profit]]/Table2[[#This Row],[Total_Sales]]</f>
        <v>0.34778852798894261</v>
      </c>
      <c r="D339" s="30" t="str">
        <f>IF(AND(Table2[[#This Row],[Profit_Margin %]]&gt;20%,Table2[[#This Row],[Total_Sales]]&gt;2000),"Excellent",IF(AND(Table2[[#This Row],[Profit_Margin %]]&gt;=10%,Table2[[#This Row],[Profit_Margin %]]&lt;=20%),"Good","Needs Improvement"))</f>
        <v>Needs Improvement</v>
      </c>
    </row>
    <row r="340" spans="1:4" x14ac:dyDescent="0.25">
      <c r="A340" s="99">
        <f>PRODUCT(Table1[[#This Row],[Quantity]],Table1[[#This Row],[Unit_Price]])</f>
        <v>1226.4000000000001</v>
      </c>
      <c r="B340" s="47">
        <v>421.16</v>
      </c>
      <c r="C340" s="38">
        <f>Table2[[#This Row],[Profit]]/Table2[[#This Row],[Total_Sales]]</f>
        <v>0.34341161121983038</v>
      </c>
      <c r="D340" s="30" t="str">
        <f>IF(AND(Table2[[#This Row],[Profit_Margin %]]&gt;20%,Table2[[#This Row],[Total_Sales]]&gt;2000),"Excellent",IF(AND(Table2[[#This Row],[Profit_Margin %]]&gt;=10%,Table2[[#This Row],[Profit_Margin %]]&lt;=20%),"Good","Needs Improvement"))</f>
        <v>Needs Improvement</v>
      </c>
    </row>
    <row r="341" spans="1:4" x14ac:dyDescent="0.25">
      <c r="A341" s="99">
        <f>PRODUCT(Table1[[#This Row],[Quantity]],Table1[[#This Row],[Unit_Price]])</f>
        <v>2379.96</v>
      </c>
      <c r="B341" s="47">
        <v>865.57</v>
      </c>
      <c r="C341" s="38">
        <f>Table2[[#This Row],[Profit]]/Table2[[#This Row],[Total_Sales]]</f>
        <v>0.36369098640313285</v>
      </c>
      <c r="D341" s="30" t="str">
        <f>IF(AND(Table2[[#This Row],[Profit_Margin %]]&gt;20%,Table2[[#This Row],[Total_Sales]]&gt;2000),"Excellent",IF(AND(Table2[[#This Row],[Profit_Margin %]]&gt;=10%,Table2[[#This Row],[Profit_Margin %]]&lt;=20%),"Good","Needs Improvement"))</f>
        <v>Excellent</v>
      </c>
    </row>
    <row r="342" spans="1:4" x14ac:dyDescent="0.25">
      <c r="A342" s="99">
        <f>PRODUCT(Table1[[#This Row],[Quantity]],Table1[[#This Row],[Unit_Price]])</f>
        <v>2204.48</v>
      </c>
      <c r="B342" s="47">
        <v>772.43</v>
      </c>
      <c r="C342" s="38">
        <f>Table2[[#This Row],[Profit]]/Table2[[#This Row],[Total_Sales]]</f>
        <v>0.35039102191900129</v>
      </c>
      <c r="D342" s="30" t="str">
        <f>IF(AND(Table2[[#This Row],[Profit_Margin %]]&gt;20%,Table2[[#This Row],[Total_Sales]]&gt;2000),"Excellent",IF(AND(Table2[[#This Row],[Profit_Margin %]]&gt;=10%,Table2[[#This Row],[Profit_Margin %]]&lt;=20%),"Good","Needs Improvement"))</f>
        <v>Excellent</v>
      </c>
    </row>
    <row r="343" spans="1:4" x14ac:dyDescent="0.25">
      <c r="A343" s="99">
        <f>PRODUCT(Table1[[#This Row],[Quantity]],Table1[[#This Row],[Unit_Price]])</f>
        <v>1907.4</v>
      </c>
      <c r="B343" s="47">
        <v>268.35000000000002</v>
      </c>
      <c r="C343" s="38">
        <f>Table2[[#This Row],[Profit]]/Table2[[#This Row],[Total_Sales]]</f>
        <v>0.1406888958792073</v>
      </c>
      <c r="D343" s="30" t="str">
        <f>IF(AND(Table2[[#This Row],[Profit_Margin %]]&gt;20%,Table2[[#This Row],[Total_Sales]]&gt;2000),"Excellent",IF(AND(Table2[[#This Row],[Profit_Margin %]]&gt;=10%,Table2[[#This Row],[Profit_Margin %]]&lt;=20%),"Good","Needs Improvement"))</f>
        <v>Good</v>
      </c>
    </row>
    <row r="344" spans="1:4" x14ac:dyDescent="0.25">
      <c r="A344" s="99">
        <f>PRODUCT(Table1[[#This Row],[Quantity]],Table1[[#This Row],[Unit_Price]])</f>
        <v>816</v>
      </c>
      <c r="B344" s="47">
        <v>101.85</v>
      </c>
      <c r="C344" s="38">
        <f>Table2[[#This Row],[Profit]]/Table2[[#This Row],[Total_Sales]]</f>
        <v>0.12481617647058822</v>
      </c>
      <c r="D344" s="30" t="str">
        <f>IF(AND(Table2[[#This Row],[Profit_Margin %]]&gt;20%,Table2[[#This Row],[Total_Sales]]&gt;2000),"Excellent",IF(AND(Table2[[#This Row],[Profit_Margin %]]&gt;=10%,Table2[[#This Row],[Profit_Margin %]]&lt;=20%),"Good","Needs Improvement"))</f>
        <v>Good</v>
      </c>
    </row>
    <row r="345" spans="1:4" x14ac:dyDescent="0.25">
      <c r="A345" s="99">
        <f>PRODUCT(Table1[[#This Row],[Quantity]],Table1[[#This Row],[Unit_Price]])</f>
        <v>1240.25</v>
      </c>
      <c r="B345" s="47">
        <v>409.39</v>
      </c>
      <c r="C345" s="38">
        <f>Table2[[#This Row],[Profit]]/Table2[[#This Row],[Total_Sales]]</f>
        <v>0.33008667607337228</v>
      </c>
      <c r="D345" s="30" t="str">
        <f>IF(AND(Table2[[#This Row],[Profit_Margin %]]&gt;20%,Table2[[#This Row],[Total_Sales]]&gt;2000),"Excellent",IF(AND(Table2[[#This Row],[Profit_Margin %]]&gt;=10%,Table2[[#This Row],[Profit_Margin %]]&lt;=20%),"Good","Needs Improvement"))</f>
        <v>Needs Improvement</v>
      </c>
    </row>
    <row r="346" spans="1:4" x14ac:dyDescent="0.25">
      <c r="A346" s="99">
        <f>PRODUCT(Table1[[#This Row],[Quantity]],Table1[[#This Row],[Unit_Price]])</f>
        <v>355.65000000000003</v>
      </c>
      <c r="B346" s="47">
        <v>115.93</v>
      </c>
      <c r="C346" s="38">
        <f>Table2[[#This Row],[Profit]]/Table2[[#This Row],[Total_Sales]]</f>
        <v>0.32596654013777587</v>
      </c>
      <c r="D346" s="30" t="str">
        <f>IF(AND(Table2[[#This Row],[Profit_Margin %]]&gt;20%,Table2[[#This Row],[Total_Sales]]&gt;2000),"Excellent",IF(AND(Table2[[#This Row],[Profit_Margin %]]&gt;=10%,Table2[[#This Row],[Profit_Margin %]]&lt;=20%),"Good","Needs Improvement"))</f>
        <v>Needs Improvement</v>
      </c>
    </row>
    <row r="347" spans="1:4" x14ac:dyDescent="0.25">
      <c r="A347" s="99">
        <f>PRODUCT(Table1[[#This Row],[Quantity]],Table1[[#This Row],[Unit_Price]])</f>
        <v>1605.1200000000001</v>
      </c>
      <c r="B347" s="47">
        <v>450.41</v>
      </c>
      <c r="C347" s="38">
        <f>Table2[[#This Row],[Profit]]/Table2[[#This Row],[Total_Sales]]</f>
        <v>0.28060830342902709</v>
      </c>
      <c r="D347" s="30" t="str">
        <f>IF(AND(Table2[[#This Row],[Profit_Margin %]]&gt;20%,Table2[[#This Row],[Total_Sales]]&gt;2000),"Excellent",IF(AND(Table2[[#This Row],[Profit_Margin %]]&gt;=10%,Table2[[#This Row],[Profit_Margin %]]&lt;=20%),"Good","Needs Improvement"))</f>
        <v>Needs Improvement</v>
      </c>
    </row>
    <row r="348" spans="1:4" x14ac:dyDescent="0.25">
      <c r="A348" s="99">
        <f>PRODUCT(Table1[[#This Row],[Quantity]],Table1[[#This Row],[Unit_Price]])</f>
        <v>356.58</v>
      </c>
      <c r="B348" s="47">
        <v>100.39</v>
      </c>
      <c r="C348" s="38">
        <f>Table2[[#This Row],[Profit]]/Table2[[#This Row],[Total_Sales]]</f>
        <v>0.28153570026361546</v>
      </c>
      <c r="D348" s="30" t="str">
        <f>IF(AND(Table2[[#This Row],[Profit_Margin %]]&gt;20%,Table2[[#This Row],[Total_Sales]]&gt;2000),"Excellent",IF(AND(Table2[[#This Row],[Profit_Margin %]]&gt;=10%,Table2[[#This Row],[Profit_Margin %]]&lt;=20%),"Good","Needs Improvement"))</f>
        <v>Needs Improvement</v>
      </c>
    </row>
    <row r="349" spans="1:4" x14ac:dyDescent="0.25">
      <c r="A349" s="99">
        <f>PRODUCT(Table1[[#This Row],[Quantity]],Table1[[#This Row],[Unit_Price]])</f>
        <v>31.4</v>
      </c>
      <c r="B349" s="47">
        <v>10.26</v>
      </c>
      <c r="C349" s="38">
        <f>Table2[[#This Row],[Profit]]/Table2[[#This Row],[Total_Sales]]</f>
        <v>0.32675159235668788</v>
      </c>
      <c r="D349" s="30" t="str">
        <f>IF(AND(Table2[[#This Row],[Profit_Margin %]]&gt;20%,Table2[[#This Row],[Total_Sales]]&gt;2000),"Excellent",IF(AND(Table2[[#This Row],[Profit_Margin %]]&gt;=10%,Table2[[#This Row],[Profit_Margin %]]&lt;=20%),"Good","Needs Improvement"))</f>
        <v>Needs Improvement</v>
      </c>
    </row>
    <row r="350" spans="1:4" x14ac:dyDescent="0.25">
      <c r="A350" s="99">
        <f>PRODUCT(Table1[[#This Row],[Quantity]],Table1[[#This Row],[Unit_Price]])</f>
        <v>520.52</v>
      </c>
      <c r="B350" s="47">
        <v>149.44</v>
      </c>
      <c r="C350" s="38">
        <f>Table2[[#This Row],[Profit]]/Table2[[#This Row],[Total_Sales]]</f>
        <v>0.28709751786674864</v>
      </c>
      <c r="D350" s="30" t="str">
        <f>IF(AND(Table2[[#This Row],[Profit_Margin %]]&gt;20%,Table2[[#This Row],[Total_Sales]]&gt;2000),"Excellent",IF(AND(Table2[[#This Row],[Profit_Margin %]]&gt;=10%,Table2[[#This Row],[Profit_Margin %]]&lt;=20%),"Good","Needs Improvement"))</f>
        <v>Needs Improvement</v>
      </c>
    </row>
    <row r="351" spans="1:4" x14ac:dyDescent="0.25">
      <c r="A351" s="99">
        <f>PRODUCT(Table1[[#This Row],[Quantity]],Table1[[#This Row],[Unit_Price]])</f>
        <v>1033</v>
      </c>
      <c r="B351" s="47">
        <v>223.87</v>
      </c>
      <c r="C351" s="38">
        <f>Table2[[#This Row],[Profit]]/Table2[[#This Row],[Total_Sales]]</f>
        <v>0.21671829622458857</v>
      </c>
      <c r="D351" s="30" t="str">
        <f>IF(AND(Table2[[#This Row],[Profit_Margin %]]&gt;20%,Table2[[#This Row],[Total_Sales]]&gt;2000),"Excellent",IF(AND(Table2[[#This Row],[Profit_Margin %]]&gt;=10%,Table2[[#This Row],[Profit_Margin %]]&lt;=20%),"Good","Needs Improvement"))</f>
        <v>Needs Improvement</v>
      </c>
    </row>
    <row r="352" spans="1:4" x14ac:dyDescent="0.25">
      <c r="A352" s="99">
        <f>PRODUCT(Table1[[#This Row],[Quantity]],Table1[[#This Row],[Unit_Price]])</f>
        <v>186.48</v>
      </c>
      <c r="B352" s="47">
        <v>33.19</v>
      </c>
      <c r="C352" s="38">
        <f>Table2[[#This Row],[Profit]]/Table2[[#This Row],[Total_Sales]]</f>
        <v>0.17798155298155299</v>
      </c>
      <c r="D352" s="30" t="str">
        <f>IF(AND(Table2[[#This Row],[Profit_Margin %]]&gt;20%,Table2[[#This Row],[Total_Sales]]&gt;2000),"Excellent",IF(AND(Table2[[#This Row],[Profit_Margin %]]&gt;=10%,Table2[[#This Row],[Profit_Margin %]]&lt;=20%),"Good","Needs Improvement"))</f>
        <v>Good</v>
      </c>
    </row>
    <row r="353" spans="1:4" x14ac:dyDescent="0.25">
      <c r="A353" s="99">
        <f>PRODUCT(Table1[[#This Row],[Quantity]],Table1[[#This Row],[Unit_Price]])</f>
        <v>806.96999999999991</v>
      </c>
      <c r="B353" s="47">
        <v>213.84</v>
      </c>
      <c r="C353" s="38">
        <f>Table2[[#This Row],[Profit]]/Table2[[#This Row],[Total_Sales]]</f>
        <v>0.26499126361574782</v>
      </c>
      <c r="D353" s="30" t="str">
        <f>IF(AND(Table2[[#This Row],[Profit_Margin %]]&gt;20%,Table2[[#This Row],[Total_Sales]]&gt;2000),"Excellent",IF(AND(Table2[[#This Row],[Profit_Margin %]]&gt;=10%,Table2[[#This Row],[Profit_Margin %]]&lt;=20%),"Good","Needs Improvement"))</f>
        <v>Needs Improvement</v>
      </c>
    </row>
    <row r="354" spans="1:4" x14ac:dyDescent="0.25">
      <c r="A354" s="99">
        <f>PRODUCT(Table1[[#This Row],[Quantity]],Table1[[#This Row],[Unit_Price]])</f>
        <v>1280.6399999999999</v>
      </c>
      <c r="B354" s="47">
        <v>481.28</v>
      </c>
      <c r="C354" s="38">
        <f>Table2[[#This Row],[Profit]]/Table2[[#This Row],[Total_Sales]]</f>
        <v>0.37581209395302351</v>
      </c>
      <c r="D354" s="30" t="str">
        <f>IF(AND(Table2[[#This Row],[Profit_Margin %]]&gt;20%,Table2[[#This Row],[Total_Sales]]&gt;2000),"Excellent",IF(AND(Table2[[#This Row],[Profit_Margin %]]&gt;=10%,Table2[[#This Row],[Profit_Margin %]]&lt;=20%),"Good","Needs Improvement"))</f>
        <v>Needs Improvement</v>
      </c>
    </row>
    <row r="355" spans="1:4" x14ac:dyDescent="0.25">
      <c r="A355" s="99">
        <f>PRODUCT(Table1[[#This Row],[Quantity]],Table1[[#This Row],[Unit_Price]])</f>
        <v>1027.68</v>
      </c>
      <c r="B355" s="47">
        <v>357.73</v>
      </c>
      <c r="C355" s="38">
        <f>Table2[[#This Row],[Profit]]/Table2[[#This Row],[Total_Sales]]</f>
        <v>0.34809473766152887</v>
      </c>
      <c r="D355" s="30" t="str">
        <f>IF(AND(Table2[[#This Row],[Profit_Margin %]]&gt;20%,Table2[[#This Row],[Total_Sales]]&gt;2000),"Excellent",IF(AND(Table2[[#This Row],[Profit_Margin %]]&gt;=10%,Table2[[#This Row],[Profit_Margin %]]&lt;=20%),"Good","Needs Improvement"))</f>
        <v>Needs Improvement</v>
      </c>
    </row>
    <row r="356" spans="1:4" x14ac:dyDescent="0.25">
      <c r="A356" s="99">
        <f>PRODUCT(Table1[[#This Row],[Quantity]],Table1[[#This Row],[Unit_Price]])</f>
        <v>894.4</v>
      </c>
      <c r="B356" s="47">
        <v>268.98</v>
      </c>
      <c r="C356" s="38">
        <f>Table2[[#This Row],[Profit]]/Table2[[#This Row],[Total_Sales]]</f>
        <v>0.3007379248658319</v>
      </c>
      <c r="D356" s="30" t="str">
        <f>IF(AND(Table2[[#This Row],[Profit_Margin %]]&gt;20%,Table2[[#This Row],[Total_Sales]]&gt;2000),"Excellent",IF(AND(Table2[[#This Row],[Profit_Margin %]]&gt;=10%,Table2[[#This Row],[Profit_Margin %]]&lt;=20%),"Good","Needs Improvement"))</f>
        <v>Needs Improvement</v>
      </c>
    </row>
    <row r="357" spans="1:4" x14ac:dyDescent="0.25">
      <c r="A357" s="99">
        <f>PRODUCT(Table1[[#This Row],[Quantity]],Table1[[#This Row],[Unit_Price]])</f>
        <v>2109.83</v>
      </c>
      <c r="B357" s="47">
        <v>418.92</v>
      </c>
      <c r="C357" s="38">
        <f>Table2[[#This Row],[Profit]]/Table2[[#This Row],[Total_Sales]]</f>
        <v>0.19855628178573631</v>
      </c>
      <c r="D357" s="30" t="str">
        <f>IF(AND(Table2[[#This Row],[Profit_Margin %]]&gt;20%,Table2[[#This Row],[Total_Sales]]&gt;2000),"Excellent",IF(AND(Table2[[#This Row],[Profit_Margin %]]&gt;=10%,Table2[[#This Row],[Profit_Margin %]]&lt;=20%),"Good","Needs Improvement"))</f>
        <v>Good</v>
      </c>
    </row>
    <row r="358" spans="1:4" x14ac:dyDescent="0.25">
      <c r="A358" s="99">
        <f>PRODUCT(Table1[[#This Row],[Quantity]],Table1[[#This Row],[Unit_Price]])</f>
        <v>18.739999999999998</v>
      </c>
      <c r="B358" s="47">
        <v>2.74</v>
      </c>
      <c r="C358" s="38">
        <f>Table2[[#This Row],[Profit]]/Table2[[#This Row],[Total_Sales]]</f>
        <v>0.14621131270010676</v>
      </c>
      <c r="D358" s="30" t="str">
        <f>IF(AND(Table2[[#This Row],[Profit_Margin %]]&gt;20%,Table2[[#This Row],[Total_Sales]]&gt;2000),"Excellent",IF(AND(Table2[[#This Row],[Profit_Margin %]]&gt;=10%,Table2[[#This Row],[Profit_Margin %]]&lt;=20%),"Good","Needs Improvement"))</f>
        <v>Good</v>
      </c>
    </row>
    <row r="359" spans="1:4" x14ac:dyDescent="0.25">
      <c r="A359" s="99">
        <f>PRODUCT(Table1[[#This Row],[Quantity]],Table1[[#This Row],[Unit_Price]])</f>
        <v>979.29000000000008</v>
      </c>
      <c r="B359" s="47">
        <v>317.20999999999998</v>
      </c>
      <c r="C359" s="38">
        <f>Table2[[#This Row],[Profit]]/Table2[[#This Row],[Total_Sales]]</f>
        <v>0.32391834900795469</v>
      </c>
      <c r="D359" s="30" t="str">
        <f>IF(AND(Table2[[#This Row],[Profit_Margin %]]&gt;20%,Table2[[#This Row],[Total_Sales]]&gt;2000),"Excellent",IF(AND(Table2[[#This Row],[Profit_Margin %]]&gt;=10%,Table2[[#This Row],[Profit_Margin %]]&lt;=20%),"Good","Needs Improvement"))</f>
        <v>Needs Improvement</v>
      </c>
    </row>
    <row r="360" spans="1:4" x14ac:dyDescent="0.25">
      <c r="A360" s="99">
        <f>PRODUCT(Table1[[#This Row],[Quantity]],Table1[[#This Row],[Unit_Price]])</f>
        <v>244.66</v>
      </c>
      <c r="B360" s="47">
        <v>72.42</v>
      </c>
      <c r="C360" s="38">
        <f>Table2[[#This Row],[Profit]]/Table2[[#This Row],[Total_Sales]]</f>
        <v>0.29600261587509197</v>
      </c>
      <c r="D360" s="30" t="str">
        <f>IF(AND(Table2[[#This Row],[Profit_Margin %]]&gt;20%,Table2[[#This Row],[Total_Sales]]&gt;2000),"Excellent",IF(AND(Table2[[#This Row],[Profit_Margin %]]&gt;=10%,Table2[[#This Row],[Profit_Margin %]]&lt;=20%),"Good","Needs Improvement"))</f>
        <v>Needs Improvement</v>
      </c>
    </row>
    <row r="361" spans="1:4" x14ac:dyDescent="0.25">
      <c r="A361" s="99">
        <f>PRODUCT(Table1[[#This Row],[Quantity]],Table1[[#This Row],[Unit_Price]])</f>
        <v>1770.79</v>
      </c>
      <c r="B361" s="47">
        <v>539.51</v>
      </c>
      <c r="C361" s="38">
        <f>Table2[[#This Row],[Profit]]/Table2[[#This Row],[Total_Sales]]</f>
        <v>0.30467192608948551</v>
      </c>
      <c r="D361" s="30" t="str">
        <f>IF(AND(Table2[[#This Row],[Profit_Margin %]]&gt;20%,Table2[[#This Row],[Total_Sales]]&gt;2000),"Excellent",IF(AND(Table2[[#This Row],[Profit_Margin %]]&gt;=10%,Table2[[#This Row],[Profit_Margin %]]&lt;=20%),"Good","Needs Improvement"))</f>
        <v>Needs Improvement</v>
      </c>
    </row>
    <row r="362" spans="1:4" x14ac:dyDescent="0.25">
      <c r="A362" s="99">
        <f>PRODUCT(Table1[[#This Row],[Quantity]],Table1[[#This Row],[Unit_Price]])</f>
        <v>1692.4</v>
      </c>
      <c r="B362" s="47">
        <v>453.81</v>
      </c>
      <c r="C362" s="38">
        <f>Table2[[#This Row],[Profit]]/Table2[[#This Row],[Total_Sales]]</f>
        <v>0.26814582840935947</v>
      </c>
      <c r="D362" s="30" t="str">
        <f>IF(AND(Table2[[#This Row],[Profit_Margin %]]&gt;20%,Table2[[#This Row],[Total_Sales]]&gt;2000),"Excellent",IF(AND(Table2[[#This Row],[Profit_Margin %]]&gt;=10%,Table2[[#This Row],[Profit_Margin %]]&lt;=20%),"Good","Needs Improvement"))</f>
        <v>Needs Improvement</v>
      </c>
    </row>
    <row r="363" spans="1:4" x14ac:dyDescent="0.25">
      <c r="A363" s="99">
        <f>PRODUCT(Table1[[#This Row],[Quantity]],Table1[[#This Row],[Unit_Price]])</f>
        <v>57.15</v>
      </c>
      <c r="B363" s="47">
        <v>21.04</v>
      </c>
      <c r="C363" s="38">
        <f>Table2[[#This Row],[Profit]]/Table2[[#This Row],[Total_Sales]]</f>
        <v>0.36815398075240596</v>
      </c>
      <c r="D363" s="30" t="str">
        <f>IF(AND(Table2[[#This Row],[Profit_Margin %]]&gt;20%,Table2[[#This Row],[Total_Sales]]&gt;2000),"Excellent",IF(AND(Table2[[#This Row],[Profit_Margin %]]&gt;=10%,Table2[[#This Row],[Profit_Margin %]]&lt;=20%),"Good","Needs Improvement"))</f>
        <v>Needs Improvement</v>
      </c>
    </row>
    <row r="364" spans="1:4" x14ac:dyDescent="0.25">
      <c r="A364" s="99">
        <f>PRODUCT(Table1[[#This Row],[Quantity]],Table1[[#This Row],[Unit_Price]])</f>
        <v>450.45000000000005</v>
      </c>
      <c r="B364" s="47">
        <v>120.46</v>
      </c>
      <c r="C364" s="38">
        <f>Table2[[#This Row],[Profit]]/Table2[[#This Row],[Total_Sales]]</f>
        <v>0.26742146742146738</v>
      </c>
      <c r="D364" s="30" t="str">
        <f>IF(AND(Table2[[#This Row],[Profit_Margin %]]&gt;20%,Table2[[#This Row],[Total_Sales]]&gt;2000),"Excellent",IF(AND(Table2[[#This Row],[Profit_Margin %]]&gt;=10%,Table2[[#This Row],[Profit_Margin %]]&lt;=20%),"Good","Needs Improvement"))</f>
        <v>Needs Improvement</v>
      </c>
    </row>
    <row r="365" spans="1:4" x14ac:dyDescent="0.25">
      <c r="A365" s="99">
        <f>PRODUCT(Table1[[#This Row],[Quantity]],Table1[[#This Row],[Unit_Price]])</f>
        <v>1483.68</v>
      </c>
      <c r="B365" s="47">
        <v>438.18</v>
      </c>
      <c r="C365" s="38">
        <f>Table2[[#This Row],[Profit]]/Table2[[#This Row],[Total_Sales]]</f>
        <v>0.29533322549336782</v>
      </c>
      <c r="D365" s="30" t="str">
        <f>IF(AND(Table2[[#This Row],[Profit_Margin %]]&gt;20%,Table2[[#This Row],[Total_Sales]]&gt;2000),"Excellent",IF(AND(Table2[[#This Row],[Profit_Margin %]]&gt;=10%,Table2[[#This Row],[Profit_Margin %]]&lt;=20%),"Good","Needs Improvement"))</f>
        <v>Needs Improvement</v>
      </c>
    </row>
    <row r="366" spans="1:4" x14ac:dyDescent="0.25">
      <c r="A366" s="99">
        <f>PRODUCT(Table1[[#This Row],[Quantity]],Table1[[#This Row],[Unit_Price]])</f>
        <v>257.52</v>
      </c>
      <c r="B366" s="47">
        <v>65.67</v>
      </c>
      <c r="C366" s="38">
        <f>Table2[[#This Row],[Profit]]/Table2[[#This Row],[Total_Sales]]</f>
        <v>0.25500931966449208</v>
      </c>
      <c r="D366" s="30" t="str">
        <f>IF(AND(Table2[[#This Row],[Profit_Margin %]]&gt;20%,Table2[[#This Row],[Total_Sales]]&gt;2000),"Excellent",IF(AND(Table2[[#This Row],[Profit_Margin %]]&gt;=10%,Table2[[#This Row],[Profit_Margin %]]&lt;=20%),"Good","Needs Improvement"))</f>
        <v>Needs Improvement</v>
      </c>
    </row>
    <row r="367" spans="1:4" x14ac:dyDescent="0.25">
      <c r="A367" s="99">
        <f>PRODUCT(Table1[[#This Row],[Quantity]],Table1[[#This Row],[Unit_Price]])</f>
        <v>1336.5</v>
      </c>
      <c r="B367" s="47">
        <v>418.16</v>
      </c>
      <c r="C367" s="38">
        <f>Table2[[#This Row],[Profit]]/Table2[[#This Row],[Total_Sales]]</f>
        <v>0.3128769173213618</v>
      </c>
      <c r="D367" s="30" t="str">
        <f>IF(AND(Table2[[#This Row],[Profit_Margin %]]&gt;20%,Table2[[#This Row],[Total_Sales]]&gt;2000),"Excellent",IF(AND(Table2[[#This Row],[Profit_Margin %]]&gt;=10%,Table2[[#This Row],[Profit_Margin %]]&lt;=20%),"Good","Needs Improvement"))</f>
        <v>Needs Improvement</v>
      </c>
    </row>
    <row r="368" spans="1:4" x14ac:dyDescent="0.25">
      <c r="A368" s="99">
        <f>PRODUCT(Table1[[#This Row],[Quantity]],Table1[[#This Row],[Unit_Price]])</f>
        <v>2510.2800000000002</v>
      </c>
      <c r="B368" s="47">
        <v>939.91</v>
      </c>
      <c r="C368" s="38">
        <f>Table2[[#This Row],[Profit]]/Table2[[#This Row],[Total_Sales]]</f>
        <v>0.37442436700288412</v>
      </c>
      <c r="D368" s="30" t="str">
        <f>IF(AND(Table2[[#This Row],[Profit_Margin %]]&gt;20%,Table2[[#This Row],[Total_Sales]]&gt;2000),"Excellent",IF(AND(Table2[[#This Row],[Profit_Margin %]]&gt;=10%,Table2[[#This Row],[Profit_Margin %]]&lt;=20%),"Good","Needs Improvement"))</f>
        <v>Excellent</v>
      </c>
    </row>
    <row r="369" spans="1:4" x14ac:dyDescent="0.25">
      <c r="A369" s="99">
        <f>PRODUCT(Table1[[#This Row],[Quantity]],Table1[[#This Row],[Unit_Price]])</f>
        <v>1679.0400000000002</v>
      </c>
      <c r="B369" s="47">
        <v>462.56</v>
      </c>
      <c r="C369" s="38">
        <f>Table2[[#This Row],[Profit]]/Table2[[#This Row],[Total_Sales]]</f>
        <v>0.27549075662283207</v>
      </c>
      <c r="D369" s="30" t="str">
        <f>IF(AND(Table2[[#This Row],[Profit_Margin %]]&gt;20%,Table2[[#This Row],[Total_Sales]]&gt;2000),"Excellent",IF(AND(Table2[[#This Row],[Profit_Margin %]]&gt;=10%,Table2[[#This Row],[Profit_Margin %]]&lt;=20%),"Good","Needs Improvement"))</f>
        <v>Needs Improvement</v>
      </c>
    </row>
    <row r="370" spans="1:4" x14ac:dyDescent="0.25">
      <c r="A370" s="99">
        <f>PRODUCT(Table1[[#This Row],[Quantity]],Table1[[#This Row],[Unit_Price]])</f>
        <v>1689.5199999999998</v>
      </c>
      <c r="B370" s="47">
        <v>264.45999999999998</v>
      </c>
      <c r="C370" s="38">
        <f>Table2[[#This Row],[Profit]]/Table2[[#This Row],[Total_Sales]]</f>
        <v>0.1565296652303613</v>
      </c>
      <c r="D370" s="30" t="str">
        <f>IF(AND(Table2[[#This Row],[Profit_Margin %]]&gt;20%,Table2[[#This Row],[Total_Sales]]&gt;2000),"Excellent",IF(AND(Table2[[#This Row],[Profit_Margin %]]&gt;=10%,Table2[[#This Row],[Profit_Margin %]]&lt;=20%),"Good","Needs Improvement"))</f>
        <v>Good</v>
      </c>
    </row>
    <row r="371" spans="1:4" x14ac:dyDescent="0.25">
      <c r="A371" s="99">
        <f>PRODUCT(Table1[[#This Row],[Quantity]],Table1[[#This Row],[Unit_Price]])</f>
        <v>788.33</v>
      </c>
      <c r="B371" s="47">
        <v>110.52</v>
      </c>
      <c r="C371" s="38">
        <f>Table2[[#This Row],[Profit]]/Table2[[#This Row],[Total_Sales]]</f>
        <v>0.14019509596235077</v>
      </c>
      <c r="D371" s="30" t="str">
        <f>IF(AND(Table2[[#This Row],[Profit_Margin %]]&gt;20%,Table2[[#This Row],[Total_Sales]]&gt;2000),"Excellent",IF(AND(Table2[[#This Row],[Profit_Margin %]]&gt;=10%,Table2[[#This Row],[Profit_Margin %]]&lt;=20%),"Good","Needs Improvement"))</f>
        <v>Good</v>
      </c>
    </row>
    <row r="372" spans="1:4" x14ac:dyDescent="0.25">
      <c r="A372" s="99">
        <f>PRODUCT(Table1[[#This Row],[Quantity]],Table1[[#This Row],[Unit_Price]])</f>
        <v>918.72</v>
      </c>
      <c r="B372" s="47">
        <v>316.5</v>
      </c>
      <c r="C372" s="38">
        <f>Table2[[#This Row],[Profit]]/Table2[[#This Row],[Total_Sales]]</f>
        <v>0.34450104493207939</v>
      </c>
      <c r="D372" s="30" t="str">
        <f>IF(AND(Table2[[#This Row],[Profit_Margin %]]&gt;20%,Table2[[#This Row],[Total_Sales]]&gt;2000),"Excellent",IF(AND(Table2[[#This Row],[Profit_Margin %]]&gt;=10%,Table2[[#This Row],[Profit_Margin %]]&lt;=20%),"Good","Needs Improvement"))</f>
        <v>Needs Improvement</v>
      </c>
    </row>
    <row r="373" spans="1:4" x14ac:dyDescent="0.25">
      <c r="A373" s="99">
        <f>PRODUCT(Table1[[#This Row],[Quantity]],Table1[[#This Row],[Unit_Price]])</f>
        <v>1423.38</v>
      </c>
      <c r="B373" s="47">
        <v>161.97999999999999</v>
      </c>
      <c r="C373" s="38">
        <f>Table2[[#This Row],[Profit]]/Table2[[#This Row],[Total_Sales]]</f>
        <v>0.11379954755581782</v>
      </c>
      <c r="D373" s="30" t="str">
        <f>IF(AND(Table2[[#This Row],[Profit_Margin %]]&gt;20%,Table2[[#This Row],[Total_Sales]]&gt;2000),"Excellent",IF(AND(Table2[[#This Row],[Profit_Margin %]]&gt;=10%,Table2[[#This Row],[Profit_Margin %]]&lt;=20%),"Good","Needs Improvement"))</f>
        <v>Good</v>
      </c>
    </row>
    <row r="374" spans="1:4" x14ac:dyDescent="0.25">
      <c r="A374" s="99">
        <f>PRODUCT(Table1[[#This Row],[Quantity]],Table1[[#This Row],[Unit_Price]])</f>
        <v>282.75</v>
      </c>
      <c r="B374" s="47">
        <v>36.25</v>
      </c>
      <c r="C374" s="38">
        <f>Table2[[#This Row],[Profit]]/Table2[[#This Row],[Total_Sales]]</f>
        <v>0.12820512820512819</v>
      </c>
      <c r="D374" s="30" t="str">
        <f>IF(AND(Table2[[#This Row],[Profit_Margin %]]&gt;20%,Table2[[#This Row],[Total_Sales]]&gt;2000),"Excellent",IF(AND(Table2[[#This Row],[Profit_Margin %]]&gt;=10%,Table2[[#This Row],[Profit_Margin %]]&lt;=20%),"Good","Needs Improvement"))</f>
        <v>Good</v>
      </c>
    </row>
    <row r="375" spans="1:4" x14ac:dyDescent="0.25">
      <c r="A375" s="99">
        <f>PRODUCT(Table1[[#This Row],[Quantity]],Table1[[#This Row],[Unit_Price]])</f>
        <v>939.5</v>
      </c>
      <c r="B375" s="47">
        <v>328.56</v>
      </c>
      <c r="C375" s="38">
        <f>Table2[[#This Row],[Profit]]/Table2[[#This Row],[Total_Sales]]</f>
        <v>0.34971793507184673</v>
      </c>
      <c r="D375" s="30" t="str">
        <f>IF(AND(Table2[[#This Row],[Profit_Margin %]]&gt;20%,Table2[[#This Row],[Total_Sales]]&gt;2000),"Excellent",IF(AND(Table2[[#This Row],[Profit_Margin %]]&gt;=10%,Table2[[#This Row],[Profit_Margin %]]&lt;=20%),"Good","Needs Improvement"))</f>
        <v>Needs Improvement</v>
      </c>
    </row>
    <row r="376" spans="1:4" x14ac:dyDescent="0.25">
      <c r="A376" s="99">
        <f>PRODUCT(Table1[[#This Row],[Quantity]],Table1[[#This Row],[Unit_Price]])</f>
        <v>404</v>
      </c>
      <c r="B376" s="47">
        <v>65.25</v>
      </c>
      <c r="C376" s="38">
        <f>Table2[[#This Row],[Profit]]/Table2[[#This Row],[Total_Sales]]</f>
        <v>0.16150990099009901</v>
      </c>
      <c r="D376" s="30" t="str">
        <f>IF(AND(Table2[[#This Row],[Profit_Margin %]]&gt;20%,Table2[[#This Row],[Total_Sales]]&gt;2000),"Excellent",IF(AND(Table2[[#This Row],[Profit_Margin %]]&gt;=10%,Table2[[#This Row],[Profit_Margin %]]&lt;=20%),"Good","Needs Improvement"))</f>
        <v>Good</v>
      </c>
    </row>
    <row r="377" spans="1:4" x14ac:dyDescent="0.25">
      <c r="A377" s="99">
        <f>PRODUCT(Table1[[#This Row],[Quantity]],Table1[[#This Row],[Unit_Price]])</f>
        <v>956.45</v>
      </c>
      <c r="B377" s="47">
        <v>351.25</v>
      </c>
      <c r="C377" s="38">
        <f>Table2[[#This Row],[Profit]]/Table2[[#This Row],[Total_Sales]]</f>
        <v>0.3672434523498353</v>
      </c>
      <c r="D377" s="30" t="str">
        <f>IF(AND(Table2[[#This Row],[Profit_Margin %]]&gt;20%,Table2[[#This Row],[Total_Sales]]&gt;2000),"Excellent",IF(AND(Table2[[#This Row],[Profit_Margin %]]&gt;=10%,Table2[[#This Row],[Profit_Margin %]]&lt;=20%),"Good","Needs Improvement"))</f>
        <v>Needs Improvement</v>
      </c>
    </row>
    <row r="378" spans="1:4" x14ac:dyDescent="0.25">
      <c r="A378" s="99">
        <f>PRODUCT(Table1[[#This Row],[Quantity]],Table1[[#This Row],[Unit_Price]])</f>
        <v>25.72</v>
      </c>
      <c r="B378" s="47">
        <v>3.68</v>
      </c>
      <c r="C378" s="38">
        <f>Table2[[#This Row],[Profit]]/Table2[[#This Row],[Total_Sales]]</f>
        <v>0.14307931570762053</v>
      </c>
      <c r="D378" s="30" t="str">
        <f>IF(AND(Table2[[#This Row],[Profit_Margin %]]&gt;20%,Table2[[#This Row],[Total_Sales]]&gt;2000),"Excellent",IF(AND(Table2[[#This Row],[Profit_Margin %]]&gt;=10%,Table2[[#This Row],[Profit_Margin %]]&lt;=20%),"Good","Needs Improvement"))</f>
        <v>Good</v>
      </c>
    </row>
    <row r="379" spans="1:4" x14ac:dyDescent="0.25">
      <c r="A379" s="99">
        <f>PRODUCT(Table1[[#This Row],[Quantity]],Table1[[#This Row],[Unit_Price]])</f>
        <v>2258.3999999999996</v>
      </c>
      <c r="B379" s="47">
        <v>734.96</v>
      </c>
      <c r="C379" s="38">
        <f>Table2[[#This Row],[Profit]]/Table2[[#This Row],[Total_Sales]]</f>
        <v>0.32543393552957856</v>
      </c>
      <c r="D379" s="30" t="str">
        <f>IF(AND(Table2[[#This Row],[Profit_Margin %]]&gt;20%,Table2[[#This Row],[Total_Sales]]&gt;2000),"Excellent",IF(AND(Table2[[#This Row],[Profit_Margin %]]&gt;=10%,Table2[[#This Row],[Profit_Margin %]]&lt;=20%),"Good","Needs Improvement"))</f>
        <v>Excellent</v>
      </c>
    </row>
    <row r="380" spans="1:4" x14ac:dyDescent="0.25">
      <c r="A380" s="99">
        <f>PRODUCT(Table1[[#This Row],[Quantity]],Table1[[#This Row],[Unit_Price]])</f>
        <v>1437.1200000000001</v>
      </c>
      <c r="B380" s="47">
        <v>446.98</v>
      </c>
      <c r="C380" s="38">
        <f>Table2[[#This Row],[Profit]]/Table2[[#This Row],[Total_Sales]]</f>
        <v>0.31102482743264304</v>
      </c>
      <c r="D380" s="30" t="str">
        <f>IF(AND(Table2[[#This Row],[Profit_Margin %]]&gt;20%,Table2[[#This Row],[Total_Sales]]&gt;2000),"Excellent",IF(AND(Table2[[#This Row],[Profit_Margin %]]&gt;=10%,Table2[[#This Row],[Profit_Margin %]]&lt;=20%),"Good","Needs Improvement"))</f>
        <v>Needs Improvement</v>
      </c>
    </row>
    <row r="381" spans="1:4" x14ac:dyDescent="0.25">
      <c r="A381" s="99">
        <f>PRODUCT(Table1[[#This Row],[Quantity]],Table1[[#This Row],[Unit_Price]])</f>
        <v>428.15999999999997</v>
      </c>
      <c r="B381" s="47">
        <v>145.09</v>
      </c>
      <c r="C381" s="38">
        <f>Table2[[#This Row],[Profit]]/Table2[[#This Row],[Total_Sales]]</f>
        <v>0.33886864723467863</v>
      </c>
      <c r="D381" s="30" t="str">
        <f>IF(AND(Table2[[#This Row],[Profit_Margin %]]&gt;20%,Table2[[#This Row],[Total_Sales]]&gt;2000),"Excellent",IF(AND(Table2[[#This Row],[Profit_Margin %]]&gt;=10%,Table2[[#This Row],[Profit_Margin %]]&lt;=20%),"Good","Needs Improvement"))</f>
        <v>Needs Improvement</v>
      </c>
    </row>
    <row r="382" spans="1:4" x14ac:dyDescent="0.25">
      <c r="A382" s="99">
        <f>PRODUCT(Table1[[#This Row],[Quantity]],Table1[[#This Row],[Unit_Price]])</f>
        <v>1479.6</v>
      </c>
      <c r="B382" s="47">
        <v>413.63</v>
      </c>
      <c r="C382" s="38">
        <f>Table2[[#This Row],[Profit]]/Table2[[#This Row],[Total_Sales]]</f>
        <v>0.27955528521221951</v>
      </c>
      <c r="D382" s="30" t="str">
        <f>IF(AND(Table2[[#This Row],[Profit_Margin %]]&gt;20%,Table2[[#This Row],[Total_Sales]]&gt;2000),"Excellent",IF(AND(Table2[[#This Row],[Profit_Margin %]]&gt;=10%,Table2[[#This Row],[Profit_Margin %]]&lt;=20%),"Good","Needs Improvement"))</f>
        <v>Needs Improvement</v>
      </c>
    </row>
    <row r="383" spans="1:4" x14ac:dyDescent="0.25">
      <c r="A383" s="99">
        <f>PRODUCT(Table1[[#This Row],[Quantity]],Table1[[#This Row],[Unit_Price]])</f>
        <v>1017.36</v>
      </c>
      <c r="B383" s="47">
        <v>180.62</v>
      </c>
      <c r="C383" s="38">
        <f>Table2[[#This Row],[Profit]]/Table2[[#This Row],[Total_Sales]]</f>
        <v>0.17753794133836598</v>
      </c>
      <c r="D383" s="30" t="str">
        <f>IF(AND(Table2[[#This Row],[Profit_Margin %]]&gt;20%,Table2[[#This Row],[Total_Sales]]&gt;2000),"Excellent",IF(AND(Table2[[#This Row],[Profit_Margin %]]&gt;=10%,Table2[[#This Row],[Profit_Margin %]]&lt;=20%),"Good","Needs Improvement"))</f>
        <v>Good</v>
      </c>
    </row>
    <row r="384" spans="1:4" x14ac:dyDescent="0.25">
      <c r="A384" s="99">
        <f>PRODUCT(Table1[[#This Row],[Quantity]],Table1[[#This Row],[Unit_Price]])</f>
        <v>1417.2600000000002</v>
      </c>
      <c r="B384" s="47">
        <v>375.26</v>
      </c>
      <c r="C384" s="38">
        <f>Table2[[#This Row],[Profit]]/Table2[[#This Row],[Total_Sales]]</f>
        <v>0.264778516292</v>
      </c>
      <c r="D384" s="30" t="str">
        <f>IF(AND(Table2[[#This Row],[Profit_Margin %]]&gt;20%,Table2[[#This Row],[Total_Sales]]&gt;2000),"Excellent",IF(AND(Table2[[#This Row],[Profit_Margin %]]&gt;=10%,Table2[[#This Row],[Profit_Margin %]]&lt;=20%),"Good","Needs Improvement"))</f>
        <v>Needs Improvement</v>
      </c>
    </row>
    <row r="385" spans="1:4" x14ac:dyDescent="0.25">
      <c r="A385" s="99">
        <f>PRODUCT(Table1[[#This Row],[Quantity]],Table1[[#This Row],[Unit_Price]])</f>
        <v>389.28</v>
      </c>
      <c r="B385" s="47">
        <v>118.95</v>
      </c>
      <c r="C385" s="38">
        <f>Table2[[#This Row],[Profit]]/Table2[[#This Row],[Total_Sales]]</f>
        <v>0.30556411837237979</v>
      </c>
      <c r="D385" s="30" t="str">
        <f>IF(AND(Table2[[#This Row],[Profit_Margin %]]&gt;20%,Table2[[#This Row],[Total_Sales]]&gt;2000),"Excellent",IF(AND(Table2[[#This Row],[Profit_Margin %]]&gt;=10%,Table2[[#This Row],[Profit_Margin %]]&lt;=20%),"Good","Needs Improvement"))</f>
        <v>Needs Improvement</v>
      </c>
    </row>
    <row r="386" spans="1:4" x14ac:dyDescent="0.25">
      <c r="A386" s="99">
        <f>PRODUCT(Table1[[#This Row],[Quantity]],Table1[[#This Row],[Unit_Price]])</f>
        <v>891.2</v>
      </c>
      <c r="B386" s="47">
        <v>238.47</v>
      </c>
      <c r="C386" s="38">
        <f>Table2[[#This Row],[Profit]]/Table2[[#This Row],[Total_Sales]]</f>
        <v>0.26758303411131057</v>
      </c>
      <c r="D386" s="30" t="str">
        <f>IF(AND(Table2[[#This Row],[Profit_Margin %]]&gt;20%,Table2[[#This Row],[Total_Sales]]&gt;2000),"Excellent",IF(AND(Table2[[#This Row],[Profit_Margin %]]&gt;=10%,Table2[[#This Row],[Profit_Margin %]]&lt;=20%),"Good","Needs Improvement"))</f>
        <v>Needs Improvement</v>
      </c>
    </row>
    <row r="387" spans="1:4" x14ac:dyDescent="0.25">
      <c r="A387" s="99">
        <f>PRODUCT(Table1[[#This Row],[Quantity]],Table1[[#This Row],[Unit_Price]])</f>
        <v>976.95</v>
      </c>
      <c r="B387" s="47">
        <v>351.6</v>
      </c>
      <c r="C387" s="38">
        <f>Table2[[#This Row],[Profit]]/Table2[[#This Row],[Total_Sales]]</f>
        <v>0.35989559342852756</v>
      </c>
      <c r="D387" s="30" t="str">
        <f>IF(AND(Table2[[#This Row],[Profit_Margin %]]&gt;20%,Table2[[#This Row],[Total_Sales]]&gt;2000),"Excellent",IF(AND(Table2[[#This Row],[Profit_Margin %]]&gt;=10%,Table2[[#This Row],[Profit_Margin %]]&lt;=20%),"Good","Needs Improvement"))</f>
        <v>Needs Improvement</v>
      </c>
    </row>
    <row r="388" spans="1:4" x14ac:dyDescent="0.25">
      <c r="A388" s="99">
        <f>PRODUCT(Table1[[#This Row],[Quantity]],Table1[[#This Row],[Unit_Price]])</f>
        <v>248.56</v>
      </c>
      <c r="B388" s="47">
        <v>37.590000000000003</v>
      </c>
      <c r="C388" s="38">
        <f>Table2[[#This Row],[Profit]]/Table2[[#This Row],[Total_Sales]]</f>
        <v>0.15123109108464758</v>
      </c>
      <c r="D388" s="30" t="str">
        <f>IF(AND(Table2[[#This Row],[Profit_Margin %]]&gt;20%,Table2[[#This Row],[Total_Sales]]&gt;2000),"Excellent",IF(AND(Table2[[#This Row],[Profit_Margin %]]&gt;=10%,Table2[[#This Row],[Profit_Margin %]]&lt;=20%),"Good","Needs Improvement"))</f>
        <v>Good</v>
      </c>
    </row>
    <row r="389" spans="1:4" x14ac:dyDescent="0.25">
      <c r="A389" s="99">
        <f>PRODUCT(Table1[[#This Row],[Quantity]],Table1[[#This Row],[Unit_Price]])</f>
        <v>1030.71</v>
      </c>
      <c r="B389" s="47">
        <v>360.47</v>
      </c>
      <c r="C389" s="38">
        <f>Table2[[#This Row],[Profit]]/Table2[[#This Row],[Total_Sales]]</f>
        <v>0.3497297979062976</v>
      </c>
      <c r="D389" s="30" t="str">
        <f>IF(AND(Table2[[#This Row],[Profit_Margin %]]&gt;20%,Table2[[#This Row],[Total_Sales]]&gt;2000),"Excellent",IF(AND(Table2[[#This Row],[Profit_Margin %]]&gt;=10%,Table2[[#This Row],[Profit_Margin %]]&lt;=20%),"Good","Needs Improvement"))</f>
        <v>Needs Improvement</v>
      </c>
    </row>
    <row r="390" spans="1:4" x14ac:dyDescent="0.25">
      <c r="A390" s="99">
        <f>PRODUCT(Table1[[#This Row],[Quantity]],Table1[[#This Row],[Unit_Price]])</f>
        <v>987.16000000000008</v>
      </c>
      <c r="B390" s="47">
        <v>379.02</v>
      </c>
      <c r="C390" s="38">
        <f>Table2[[#This Row],[Profit]]/Table2[[#This Row],[Total_Sales]]</f>
        <v>0.38394991693342512</v>
      </c>
      <c r="D390" s="30" t="str">
        <f>IF(AND(Table2[[#This Row],[Profit_Margin %]]&gt;20%,Table2[[#This Row],[Total_Sales]]&gt;2000),"Excellent",IF(AND(Table2[[#This Row],[Profit_Margin %]]&gt;=10%,Table2[[#This Row],[Profit_Margin %]]&lt;=20%),"Good","Needs Improvement"))</f>
        <v>Needs Improvement</v>
      </c>
    </row>
    <row r="391" spans="1:4" x14ac:dyDescent="0.25">
      <c r="A391" s="99">
        <f>PRODUCT(Table1[[#This Row],[Quantity]],Table1[[#This Row],[Unit_Price]])</f>
        <v>2119.5</v>
      </c>
      <c r="B391" s="47">
        <v>739.34</v>
      </c>
      <c r="C391" s="38">
        <f>Table2[[#This Row],[Profit]]/Table2[[#This Row],[Total_Sales]]</f>
        <v>0.34882755366831802</v>
      </c>
      <c r="D391" s="30" t="str">
        <f>IF(AND(Table2[[#This Row],[Profit_Margin %]]&gt;20%,Table2[[#This Row],[Total_Sales]]&gt;2000),"Excellent",IF(AND(Table2[[#This Row],[Profit_Margin %]]&gt;=10%,Table2[[#This Row],[Profit_Margin %]]&lt;=20%),"Good","Needs Improvement"))</f>
        <v>Excellent</v>
      </c>
    </row>
    <row r="392" spans="1:4" x14ac:dyDescent="0.25">
      <c r="A392" s="99">
        <f>PRODUCT(Table1[[#This Row],[Quantity]],Table1[[#This Row],[Unit_Price]])</f>
        <v>116.64</v>
      </c>
      <c r="B392" s="47">
        <v>37.65</v>
      </c>
      <c r="C392" s="38">
        <f>Table2[[#This Row],[Profit]]/Table2[[#This Row],[Total_Sales]]</f>
        <v>0.32278806584362141</v>
      </c>
      <c r="D392" s="30" t="str">
        <f>IF(AND(Table2[[#This Row],[Profit_Margin %]]&gt;20%,Table2[[#This Row],[Total_Sales]]&gt;2000),"Excellent",IF(AND(Table2[[#This Row],[Profit_Margin %]]&gt;=10%,Table2[[#This Row],[Profit_Margin %]]&lt;=20%),"Good","Needs Improvement"))</f>
        <v>Needs Improvement</v>
      </c>
    </row>
    <row r="393" spans="1:4" x14ac:dyDescent="0.25">
      <c r="A393" s="99">
        <f>PRODUCT(Table1[[#This Row],[Quantity]],Table1[[#This Row],[Unit_Price]])</f>
        <v>1901.5400000000002</v>
      </c>
      <c r="B393" s="47">
        <v>669.11</v>
      </c>
      <c r="C393" s="38">
        <f>Table2[[#This Row],[Profit]]/Table2[[#This Row],[Total_Sales]]</f>
        <v>0.35187795155505536</v>
      </c>
      <c r="D393" s="30" t="str">
        <f>IF(AND(Table2[[#This Row],[Profit_Margin %]]&gt;20%,Table2[[#This Row],[Total_Sales]]&gt;2000),"Excellent",IF(AND(Table2[[#This Row],[Profit_Margin %]]&gt;=10%,Table2[[#This Row],[Profit_Margin %]]&lt;=20%),"Good","Needs Improvement"))</f>
        <v>Needs Improvement</v>
      </c>
    </row>
    <row r="394" spans="1:4" x14ac:dyDescent="0.25">
      <c r="A394" s="99">
        <f>PRODUCT(Table1[[#This Row],[Quantity]],Table1[[#This Row],[Unit_Price]])</f>
        <v>658.5</v>
      </c>
      <c r="B394" s="47">
        <v>247.02</v>
      </c>
      <c r="C394" s="38">
        <f>Table2[[#This Row],[Profit]]/Table2[[#This Row],[Total_Sales]]</f>
        <v>0.37512528473804102</v>
      </c>
      <c r="D394" s="30" t="str">
        <f>IF(AND(Table2[[#This Row],[Profit_Margin %]]&gt;20%,Table2[[#This Row],[Total_Sales]]&gt;2000),"Excellent",IF(AND(Table2[[#This Row],[Profit_Margin %]]&gt;=10%,Table2[[#This Row],[Profit_Margin %]]&lt;=20%),"Good","Needs Improvement"))</f>
        <v>Needs Improvement</v>
      </c>
    </row>
    <row r="395" spans="1:4" x14ac:dyDescent="0.25">
      <c r="A395" s="99">
        <f>PRODUCT(Table1[[#This Row],[Quantity]],Table1[[#This Row],[Unit_Price]])</f>
        <v>82.12</v>
      </c>
      <c r="B395" s="47">
        <v>27.07</v>
      </c>
      <c r="C395" s="38">
        <f>Table2[[#This Row],[Profit]]/Table2[[#This Row],[Total_Sales]]</f>
        <v>0.32963955187530442</v>
      </c>
      <c r="D395" s="30" t="str">
        <f>IF(AND(Table2[[#This Row],[Profit_Margin %]]&gt;20%,Table2[[#This Row],[Total_Sales]]&gt;2000),"Excellent",IF(AND(Table2[[#This Row],[Profit_Margin %]]&gt;=10%,Table2[[#This Row],[Profit_Margin %]]&lt;=20%),"Good","Needs Improvement"))</f>
        <v>Needs Improvement</v>
      </c>
    </row>
    <row r="396" spans="1:4" x14ac:dyDescent="0.25">
      <c r="A396" s="99">
        <f>PRODUCT(Table1[[#This Row],[Quantity]],Table1[[#This Row],[Unit_Price]])</f>
        <v>148.19999999999999</v>
      </c>
      <c r="B396" s="47">
        <v>24.44</v>
      </c>
      <c r="C396" s="38">
        <f>Table2[[#This Row],[Profit]]/Table2[[#This Row],[Total_Sales]]</f>
        <v>0.1649122807017544</v>
      </c>
      <c r="D396" s="30" t="str">
        <f>IF(AND(Table2[[#This Row],[Profit_Margin %]]&gt;20%,Table2[[#This Row],[Total_Sales]]&gt;2000),"Excellent",IF(AND(Table2[[#This Row],[Profit_Margin %]]&gt;=10%,Table2[[#This Row],[Profit_Margin %]]&lt;=20%),"Good","Needs Improvement"))</f>
        <v>Good</v>
      </c>
    </row>
    <row r="397" spans="1:4" x14ac:dyDescent="0.25">
      <c r="A397" s="99">
        <f>PRODUCT(Table1[[#This Row],[Quantity]],Table1[[#This Row],[Unit_Price]])</f>
        <v>364.23</v>
      </c>
      <c r="B397" s="47">
        <v>106.82</v>
      </c>
      <c r="C397" s="38">
        <f>Table2[[#This Row],[Profit]]/Table2[[#This Row],[Total_Sales]]</f>
        <v>0.29327622656014052</v>
      </c>
      <c r="D397" s="30" t="str">
        <f>IF(AND(Table2[[#This Row],[Profit_Margin %]]&gt;20%,Table2[[#This Row],[Total_Sales]]&gt;2000),"Excellent",IF(AND(Table2[[#This Row],[Profit_Margin %]]&gt;=10%,Table2[[#This Row],[Profit_Margin %]]&lt;=20%),"Good","Needs Improvement"))</f>
        <v>Needs Improvement</v>
      </c>
    </row>
    <row r="398" spans="1:4" x14ac:dyDescent="0.25">
      <c r="A398" s="99">
        <f>PRODUCT(Table1[[#This Row],[Quantity]],Table1[[#This Row],[Unit_Price]])</f>
        <v>110.56</v>
      </c>
      <c r="B398" s="47">
        <v>25.19</v>
      </c>
      <c r="C398" s="38">
        <f>Table2[[#This Row],[Profit]]/Table2[[#This Row],[Total_Sales]]</f>
        <v>0.22784008683068019</v>
      </c>
      <c r="D398" s="30" t="str">
        <f>IF(AND(Table2[[#This Row],[Profit_Margin %]]&gt;20%,Table2[[#This Row],[Total_Sales]]&gt;2000),"Excellent",IF(AND(Table2[[#This Row],[Profit_Margin %]]&gt;=10%,Table2[[#This Row],[Profit_Margin %]]&lt;=20%),"Good","Needs Improvement"))</f>
        <v>Needs Improvement</v>
      </c>
    </row>
    <row r="399" spans="1:4" x14ac:dyDescent="0.25">
      <c r="A399" s="99">
        <f>PRODUCT(Table1[[#This Row],[Quantity]],Table1[[#This Row],[Unit_Price]])</f>
        <v>2151.5899999999997</v>
      </c>
      <c r="B399" s="47">
        <v>863.04</v>
      </c>
      <c r="C399" s="38">
        <f>Table2[[#This Row],[Profit]]/Table2[[#This Row],[Total_Sales]]</f>
        <v>0.40111731324276467</v>
      </c>
      <c r="D399" s="30" t="str">
        <f>IF(AND(Table2[[#This Row],[Profit_Margin %]]&gt;20%,Table2[[#This Row],[Total_Sales]]&gt;2000),"Excellent",IF(AND(Table2[[#This Row],[Profit_Margin %]]&gt;=10%,Table2[[#This Row],[Profit_Margin %]]&lt;=20%),"Good","Needs Improvement"))</f>
        <v>Excellent</v>
      </c>
    </row>
    <row r="400" spans="1:4" x14ac:dyDescent="0.25">
      <c r="A400" s="99">
        <f>PRODUCT(Table1[[#This Row],[Quantity]],Table1[[#This Row],[Unit_Price]])</f>
        <v>1213.3600000000001</v>
      </c>
      <c r="B400" s="47">
        <v>431.53</v>
      </c>
      <c r="C400" s="38">
        <f>Table2[[#This Row],[Profit]]/Table2[[#This Row],[Total_Sales]]</f>
        <v>0.35564877694995706</v>
      </c>
      <c r="D400" s="30" t="str">
        <f>IF(AND(Table2[[#This Row],[Profit_Margin %]]&gt;20%,Table2[[#This Row],[Total_Sales]]&gt;2000),"Excellent",IF(AND(Table2[[#This Row],[Profit_Margin %]]&gt;=10%,Table2[[#This Row],[Profit_Margin %]]&lt;=20%),"Good","Needs Improvement"))</f>
        <v>Needs Improvement</v>
      </c>
    </row>
    <row r="401" spans="1:4" x14ac:dyDescent="0.25">
      <c r="A401" s="99">
        <f>PRODUCT(Table1[[#This Row],[Quantity]],Table1[[#This Row],[Unit_Price]])</f>
        <v>1178.6300000000001</v>
      </c>
      <c r="B401" s="47">
        <v>456.31</v>
      </c>
      <c r="C401" s="38">
        <f>Table2[[#This Row],[Profit]]/Table2[[#This Row],[Total_Sales]]</f>
        <v>0.38715288088713162</v>
      </c>
      <c r="D401" s="30" t="str">
        <f>IF(AND(Table2[[#This Row],[Profit_Margin %]]&gt;20%,Table2[[#This Row],[Total_Sales]]&gt;2000),"Excellent",IF(AND(Table2[[#This Row],[Profit_Margin %]]&gt;=10%,Table2[[#This Row],[Profit_Margin %]]&lt;=20%),"Good","Needs Improvement"))</f>
        <v>Needs Improvement</v>
      </c>
    </row>
    <row r="402" spans="1:4" x14ac:dyDescent="0.25">
      <c r="A402" s="99">
        <f>PRODUCT(Table1[[#This Row],[Quantity]],Table1[[#This Row],[Unit_Price]])</f>
        <v>891.52</v>
      </c>
      <c r="B402" s="47">
        <v>277.27999999999997</v>
      </c>
      <c r="C402" s="38">
        <f>Table2[[#This Row],[Profit]]/Table2[[#This Row],[Total_Sales]]</f>
        <v>0.31101938262742279</v>
      </c>
      <c r="D402" s="30" t="str">
        <f>IF(AND(Table2[[#This Row],[Profit_Margin %]]&gt;20%,Table2[[#This Row],[Total_Sales]]&gt;2000),"Excellent",IF(AND(Table2[[#This Row],[Profit_Margin %]]&gt;=10%,Table2[[#This Row],[Profit_Margin %]]&lt;=20%),"Good","Needs Improvement"))</f>
        <v>Needs Improvement</v>
      </c>
    </row>
    <row r="403" spans="1:4" x14ac:dyDescent="0.25">
      <c r="A403" s="99">
        <f>PRODUCT(Table1[[#This Row],[Quantity]],Table1[[#This Row],[Unit_Price]])</f>
        <v>1505.2800000000002</v>
      </c>
      <c r="B403" s="47">
        <v>394.63</v>
      </c>
      <c r="C403" s="38">
        <f>Table2[[#This Row],[Profit]]/Table2[[#This Row],[Total_Sales]]</f>
        <v>0.26216384991496594</v>
      </c>
      <c r="D403" s="30" t="str">
        <f>IF(AND(Table2[[#This Row],[Profit_Margin %]]&gt;20%,Table2[[#This Row],[Total_Sales]]&gt;2000),"Excellent",IF(AND(Table2[[#This Row],[Profit_Margin %]]&gt;=10%,Table2[[#This Row],[Profit_Margin %]]&lt;=20%),"Good","Needs Improvement"))</f>
        <v>Needs Improvement</v>
      </c>
    </row>
    <row r="404" spans="1:4" x14ac:dyDescent="0.25">
      <c r="A404" s="99">
        <f>PRODUCT(Table1[[#This Row],[Quantity]],Table1[[#This Row],[Unit_Price]])</f>
        <v>672.1</v>
      </c>
      <c r="B404" s="47">
        <v>130.30000000000001</v>
      </c>
      <c r="C404" s="38">
        <f>Table2[[#This Row],[Profit]]/Table2[[#This Row],[Total_Sales]]</f>
        <v>0.19386995982740665</v>
      </c>
      <c r="D404" s="30" t="str">
        <f>IF(AND(Table2[[#This Row],[Profit_Margin %]]&gt;20%,Table2[[#This Row],[Total_Sales]]&gt;2000),"Excellent",IF(AND(Table2[[#This Row],[Profit_Margin %]]&gt;=10%,Table2[[#This Row],[Profit_Margin %]]&lt;=20%),"Good","Needs Improvement"))</f>
        <v>Good</v>
      </c>
    </row>
    <row r="405" spans="1:4" x14ac:dyDescent="0.25">
      <c r="A405" s="99">
        <f>PRODUCT(Table1[[#This Row],[Quantity]],Table1[[#This Row],[Unit_Price]])</f>
        <v>587.07999999999993</v>
      </c>
      <c r="B405" s="47">
        <v>193.4</v>
      </c>
      <c r="C405" s="38">
        <f>Table2[[#This Row],[Profit]]/Table2[[#This Row],[Total_Sales]]</f>
        <v>0.32942699461742869</v>
      </c>
      <c r="D405" s="30" t="str">
        <f>IF(AND(Table2[[#This Row],[Profit_Margin %]]&gt;20%,Table2[[#This Row],[Total_Sales]]&gt;2000),"Excellent",IF(AND(Table2[[#This Row],[Profit_Margin %]]&gt;=10%,Table2[[#This Row],[Profit_Margin %]]&lt;=20%),"Good","Needs Improvement"))</f>
        <v>Needs Improvement</v>
      </c>
    </row>
    <row r="406" spans="1:4" x14ac:dyDescent="0.25">
      <c r="A406" s="99">
        <f>PRODUCT(Table1[[#This Row],[Quantity]],Table1[[#This Row],[Unit_Price]])</f>
        <v>1809.1999999999998</v>
      </c>
      <c r="B406" s="47">
        <v>272.95</v>
      </c>
      <c r="C406" s="38">
        <f>Table2[[#This Row],[Profit]]/Table2[[#This Row],[Total_Sales]]</f>
        <v>0.1508677868671236</v>
      </c>
      <c r="D406" s="30" t="str">
        <f>IF(AND(Table2[[#This Row],[Profit_Margin %]]&gt;20%,Table2[[#This Row],[Total_Sales]]&gt;2000),"Excellent",IF(AND(Table2[[#This Row],[Profit_Margin %]]&gt;=10%,Table2[[#This Row],[Profit_Margin %]]&lt;=20%),"Good","Needs Improvement"))</f>
        <v>Good</v>
      </c>
    </row>
    <row r="407" spans="1:4" x14ac:dyDescent="0.25">
      <c r="A407" s="99">
        <f>PRODUCT(Table1[[#This Row],[Quantity]],Table1[[#This Row],[Unit_Price]])</f>
        <v>933.98</v>
      </c>
      <c r="B407" s="47">
        <v>157.61000000000001</v>
      </c>
      <c r="C407" s="38">
        <f>Table2[[#This Row],[Profit]]/Table2[[#This Row],[Total_Sales]]</f>
        <v>0.16875093685089618</v>
      </c>
      <c r="D407" s="30" t="str">
        <f>IF(AND(Table2[[#This Row],[Profit_Margin %]]&gt;20%,Table2[[#This Row],[Total_Sales]]&gt;2000),"Excellent",IF(AND(Table2[[#This Row],[Profit_Margin %]]&gt;=10%,Table2[[#This Row],[Profit_Margin %]]&lt;=20%),"Good","Needs Improvement"))</f>
        <v>Good</v>
      </c>
    </row>
    <row r="408" spans="1:4" x14ac:dyDescent="0.25">
      <c r="A408" s="99">
        <f>PRODUCT(Table1[[#This Row],[Quantity]],Table1[[#This Row],[Unit_Price]])</f>
        <v>823.14</v>
      </c>
      <c r="B408" s="47">
        <v>237.89</v>
      </c>
      <c r="C408" s="38">
        <f>Table2[[#This Row],[Profit]]/Table2[[#This Row],[Total_Sales]]</f>
        <v>0.28900308574483075</v>
      </c>
      <c r="D408" s="30" t="str">
        <f>IF(AND(Table2[[#This Row],[Profit_Margin %]]&gt;20%,Table2[[#This Row],[Total_Sales]]&gt;2000),"Excellent",IF(AND(Table2[[#This Row],[Profit_Margin %]]&gt;=10%,Table2[[#This Row],[Profit_Margin %]]&lt;=20%),"Good","Needs Improvement"))</f>
        <v>Needs Improvement</v>
      </c>
    </row>
    <row r="409" spans="1:4" x14ac:dyDescent="0.25">
      <c r="A409" s="99">
        <f>PRODUCT(Table1[[#This Row],[Quantity]],Table1[[#This Row],[Unit_Price]])</f>
        <v>1593.44</v>
      </c>
      <c r="B409" s="47">
        <v>627.51</v>
      </c>
      <c r="C409" s="38">
        <f>Table2[[#This Row],[Profit]]/Table2[[#This Row],[Total_Sales]]</f>
        <v>0.39380836429360377</v>
      </c>
      <c r="D409" s="30" t="str">
        <f>IF(AND(Table2[[#This Row],[Profit_Margin %]]&gt;20%,Table2[[#This Row],[Total_Sales]]&gt;2000),"Excellent",IF(AND(Table2[[#This Row],[Profit_Margin %]]&gt;=10%,Table2[[#This Row],[Profit_Margin %]]&lt;=20%),"Good","Needs Improvement"))</f>
        <v>Needs Improvement</v>
      </c>
    </row>
    <row r="410" spans="1:4" x14ac:dyDescent="0.25">
      <c r="A410" s="99">
        <f>PRODUCT(Table1[[#This Row],[Quantity]],Table1[[#This Row],[Unit_Price]])</f>
        <v>270.59999999999997</v>
      </c>
      <c r="B410" s="47">
        <v>55.25</v>
      </c>
      <c r="C410" s="38">
        <f>Table2[[#This Row],[Profit]]/Table2[[#This Row],[Total_Sales]]</f>
        <v>0.20417590539541761</v>
      </c>
      <c r="D410" s="30" t="str">
        <f>IF(AND(Table2[[#This Row],[Profit_Margin %]]&gt;20%,Table2[[#This Row],[Total_Sales]]&gt;2000),"Excellent",IF(AND(Table2[[#This Row],[Profit_Margin %]]&gt;=10%,Table2[[#This Row],[Profit_Margin %]]&lt;=20%),"Good","Needs Improvement"))</f>
        <v>Needs Improvement</v>
      </c>
    </row>
    <row r="411" spans="1:4" x14ac:dyDescent="0.25">
      <c r="A411" s="99">
        <f>PRODUCT(Table1[[#This Row],[Quantity]],Table1[[#This Row],[Unit_Price]])</f>
        <v>305.14</v>
      </c>
      <c r="B411" s="47">
        <v>96.33</v>
      </c>
      <c r="C411" s="38">
        <f>Table2[[#This Row],[Profit]]/Table2[[#This Row],[Total_Sales]]</f>
        <v>0.31569115815691157</v>
      </c>
      <c r="D411" s="30" t="str">
        <f>IF(AND(Table2[[#This Row],[Profit_Margin %]]&gt;20%,Table2[[#This Row],[Total_Sales]]&gt;2000),"Excellent",IF(AND(Table2[[#This Row],[Profit_Margin %]]&gt;=10%,Table2[[#This Row],[Profit_Margin %]]&lt;=20%),"Good","Needs Improvement"))</f>
        <v>Needs Improvement</v>
      </c>
    </row>
    <row r="412" spans="1:4" x14ac:dyDescent="0.25">
      <c r="A412" s="99">
        <f>PRODUCT(Table1[[#This Row],[Quantity]],Table1[[#This Row],[Unit_Price]])</f>
        <v>1104.32</v>
      </c>
      <c r="B412" s="47">
        <v>266.69</v>
      </c>
      <c r="C412" s="38">
        <f>Table2[[#This Row],[Profit]]/Table2[[#This Row],[Total_Sales]]</f>
        <v>0.24149702984642135</v>
      </c>
      <c r="D412" s="30" t="str">
        <f>IF(AND(Table2[[#This Row],[Profit_Margin %]]&gt;20%,Table2[[#This Row],[Total_Sales]]&gt;2000),"Excellent",IF(AND(Table2[[#This Row],[Profit_Margin %]]&gt;=10%,Table2[[#This Row],[Profit_Margin %]]&lt;=20%),"Good","Needs Improvement"))</f>
        <v>Needs Improvement</v>
      </c>
    </row>
    <row r="413" spans="1:4" x14ac:dyDescent="0.25">
      <c r="A413" s="99">
        <f>PRODUCT(Table1[[#This Row],[Quantity]],Table1[[#This Row],[Unit_Price]])</f>
        <v>785.69999999999993</v>
      </c>
      <c r="B413" s="47">
        <v>227.18</v>
      </c>
      <c r="C413" s="38">
        <f>Table2[[#This Row],[Profit]]/Table2[[#This Row],[Total_Sales]]</f>
        <v>0.28914343897161771</v>
      </c>
      <c r="D413" s="30" t="str">
        <f>IF(AND(Table2[[#This Row],[Profit_Margin %]]&gt;20%,Table2[[#This Row],[Total_Sales]]&gt;2000),"Excellent",IF(AND(Table2[[#This Row],[Profit_Margin %]]&gt;=10%,Table2[[#This Row],[Profit_Margin %]]&lt;=20%),"Good","Needs Improvement"))</f>
        <v>Needs Improvement</v>
      </c>
    </row>
    <row r="414" spans="1:4" x14ac:dyDescent="0.25">
      <c r="A414" s="99">
        <f>PRODUCT(Table1[[#This Row],[Quantity]],Table1[[#This Row],[Unit_Price]])</f>
        <v>2546.5299999999997</v>
      </c>
      <c r="B414" s="47">
        <v>719.27</v>
      </c>
      <c r="C414" s="38">
        <f>Table2[[#This Row],[Profit]]/Table2[[#This Row],[Total_Sales]]</f>
        <v>0.28245102158623697</v>
      </c>
      <c r="D414" s="30" t="str">
        <f>IF(AND(Table2[[#This Row],[Profit_Margin %]]&gt;20%,Table2[[#This Row],[Total_Sales]]&gt;2000),"Excellent",IF(AND(Table2[[#This Row],[Profit_Margin %]]&gt;=10%,Table2[[#This Row],[Profit_Margin %]]&lt;=20%),"Good","Needs Improvement"))</f>
        <v>Excellent</v>
      </c>
    </row>
    <row r="415" spans="1:4" x14ac:dyDescent="0.25">
      <c r="A415" s="99">
        <f>PRODUCT(Table1[[#This Row],[Quantity]],Table1[[#This Row],[Unit_Price]])</f>
        <v>479.05</v>
      </c>
      <c r="B415" s="47">
        <v>143.9</v>
      </c>
      <c r="C415" s="38">
        <f>Table2[[#This Row],[Profit]]/Table2[[#This Row],[Total_Sales]]</f>
        <v>0.30038618098319592</v>
      </c>
      <c r="D415" s="30" t="str">
        <f>IF(AND(Table2[[#This Row],[Profit_Margin %]]&gt;20%,Table2[[#This Row],[Total_Sales]]&gt;2000),"Excellent",IF(AND(Table2[[#This Row],[Profit_Margin %]]&gt;=10%,Table2[[#This Row],[Profit_Margin %]]&lt;=20%),"Good","Needs Improvement"))</f>
        <v>Needs Improvement</v>
      </c>
    </row>
    <row r="416" spans="1:4" x14ac:dyDescent="0.25">
      <c r="A416" s="99">
        <f>PRODUCT(Table1[[#This Row],[Quantity]],Table1[[#This Row],[Unit_Price]])</f>
        <v>1271.1600000000001</v>
      </c>
      <c r="B416" s="47">
        <v>133.69999999999999</v>
      </c>
      <c r="C416" s="38">
        <f>Table2[[#This Row],[Profit]]/Table2[[#This Row],[Total_Sales]]</f>
        <v>0.10517952106737152</v>
      </c>
      <c r="D416" s="30" t="str">
        <f>IF(AND(Table2[[#This Row],[Profit_Margin %]]&gt;20%,Table2[[#This Row],[Total_Sales]]&gt;2000),"Excellent",IF(AND(Table2[[#This Row],[Profit_Margin %]]&gt;=10%,Table2[[#This Row],[Profit_Margin %]]&lt;=20%),"Good","Needs Improvement"))</f>
        <v>Good</v>
      </c>
    </row>
    <row r="417" spans="1:4" x14ac:dyDescent="0.25">
      <c r="A417" s="99">
        <f>PRODUCT(Table1[[#This Row],[Quantity]],Table1[[#This Row],[Unit_Price]])</f>
        <v>1106.18</v>
      </c>
      <c r="B417" s="47">
        <v>418.91</v>
      </c>
      <c r="C417" s="38">
        <f>Table2[[#This Row],[Profit]]/Table2[[#This Row],[Total_Sales]]</f>
        <v>0.37869966913160608</v>
      </c>
      <c r="D417" s="30" t="str">
        <f>IF(AND(Table2[[#This Row],[Profit_Margin %]]&gt;20%,Table2[[#This Row],[Total_Sales]]&gt;2000),"Excellent",IF(AND(Table2[[#This Row],[Profit_Margin %]]&gt;=10%,Table2[[#This Row],[Profit_Margin %]]&lt;=20%),"Good","Needs Improvement"))</f>
        <v>Needs Improvement</v>
      </c>
    </row>
    <row r="418" spans="1:4" x14ac:dyDescent="0.25">
      <c r="A418" s="99">
        <f>PRODUCT(Table1[[#This Row],[Quantity]],Table1[[#This Row],[Unit_Price]])</f>
        <v>94.24</v>
      </c>
      <c r="B418" s="47">
        <v>25.21</v>
      </c>
      <c r="C418" s="38">
        <f>Table2[[#This Row],[Profit]]/Table2[[#This Row],[Total_Sales]]</f>
        <v>0.26750848896434637</v>
      </c>
      <c r="D418" s="30" t="str">
        <f>IF(AND(Table2[[#This Row],[Profit_Margin %]]&gt;20%,Table2[[#This Row],[Total_Sales]]&gt;2000),"Excellent",IF(AND(Table2[[#This Row],[Profit_Margin %]]&gt;=10%,Table2[[#This Row],[Profit_Margin %]]&lt;=20%),"Good","Needs Improvement"))</f>
        <v>Needs Improvement</v>
      </c>
    </row>
    <row r="419" spans="1:4" x14ac:dyDescent="0.25">
      <c r="A419" s="99">
        <f>PRODUCT(Table1[[#This Row],[Quantity]],Table1[[#This Row],[Unit_Price]])</f>
        <v>971.38</v>
      </c>
      <c r="B419" s="47">
        <v>357.37</v>
      </c>
      <c r="C419" s="38">
        <f>Table2[[#This Row],[Profit]]/Table2[[#This Row],[Total_Sales]]</f>
        <v>0.36789927731680705</v>
      </c>
      <c r="D419" s="30" t="str">
        <f>IF(AND(Table2[[#This Row],[Profit_Margin %]]&gt;20%,Table2[[#This Row],[Total_Sales]]&gt;2000),"Excellent",IF(AND(Table2[[#This Row],[Profit_Margin %]]&gt;=10%,Table2[[#This Row],[Profit_Margin %]]&lt;=20%),"Good","Needs Improvement"))</f>
        <v>Needs Improvement</v>
      </c>
    </row>
    <row r="420" spans="1:4" x14ac:dyDescent="0.25">
      <c r="A420" s="99">
        <f>PRODUCT(Table1[[#This Row],[Quantity]],Table1[[#This Row],[Unit_Price]])</f>
        <v>1678.16</v>
      </c>
      <c r="B420" s="47">
        <v>453.67</v>
      </c>
      <c r="C420" s="38">
        <f>Table2[[#This Row],[Profit]]/Table2[[#This Row],[Total_Sales]]</f>
        <v>0.27033775087000045</v>
      </c>
      <c r="D420" s="30" t="str">
        <f>IF(AND(Table2[[#This Row],[Profit_Margin %]]&gt;20%,Table2[[#This Row],[Total_Sales]]&gt;2000),"Excellent",IF(AND(Table2[[#This Row],[Profit_Margin %]]&gt;=10%,Table2[[#This Row],[Profit_Margin %]]&lt;=20%),"Good","Needs Improvement"))</f>
        <v>Needs Improvement</v>
      </c>
    </row>
    <row r="421" spans="1:4" x14ac:dyDescent="0.25">
      <c r="A421" s="99">
        <f>PRODUCT(Table1[[#This Row],[Quantity]],Table1[[#This Row],[Unit_Price]])</f>
        <v>336</v>
      </c>
      <c r="B421" s="47">
        <v>61.12</v>
      </c>
      <c r="C421" s="38">
        <f>Table2[[#This Row],[Profit]]/Table2[[#This Row],[Total_Sales]]</f>
        <v>0.1819047619047619</v>
      </c>
      <c r="D421" s="30" t="str">
        <f>IF(AND(Table2[[#This Row],[Profit_Margin %]]&gt;20%,Table2[[#This Row],[Total_Sales]]&gt;2000),"Excellent",IF(AND(Table2[[#This Row],[Profit_Margin %]]&gt;=10%,Table2[[#This Row],[Profit_Margin %]]&lt;=20%),"Good","Needs Improvement"))</f>
        <v>Good</v>
      </c>
    </row>
    <row r="422" spans="1:4" x14ac:dyDescent="0.25">
      <c r="A422" s="99">
        <f>PRODUCT(Table1[[#This Row],[Quantity]],Table1[[#This Row],[Unit_Price]])</f>
        <v>1345.5</v>
      </c>
      <c r="B422" s="47">
        <v>478.8</v>
      </c>
      <c r="C422" s="38">
        <f>Table2[[#This Row],[Profit]]/Table2[[#This Row],[Total_Sales]]</f>
        <v>0.35585284280936458</v>
      </c>
      <c r="D422" s="30" t="str">
        <f>IF(AND(Table2[[#This Row],[Profit_Margin %]]&gt;20%,Table2[[#This Row],[Total_Sales]]&gt;2000),"Excellent",IF(AND(Table2[[#This Row],[Profit_Margin %]]&gt;=10%,Table2[[#This Row],[Profit_Margin %]]&lt;=20%),"Good","Needs Improvement"))</f>
        <v>Needs Improvement</v>
      </c>
    </row>
    <row r="423" spans="1:4" x14ac:dyDescent="0.25">
      <c r="A423" s="99">
        <f>PRODUCT(Table1[[#This Row],[Quantity]],Table1[[#This Row],[Unit_Price]])</f>
        <v>415.87</v>
      </c>
      <c r="B423" s="47">
        <v>110.36</v>
      </c>
      <c r="C423" s="38">
        <f>Table2[[#This Row],[Profit]]/Table2[[#This Row],[Total_Sales]]</f>
        <v>0.26537139009786714</v>
      </c>
      <c r="D423" s="30" t="str">
        <f>IF(AND(Table2[[#This Row],[Profit_Margin %]]&gt;20%,Table2[[#This Row],[Total_Sales]]&gt;2000),"Excellent",IF(AND(Table2[[#This Row],[Profit_Margin %]]&gt;=10%,Table2[[#This Row],[Profit_Margin %]]&lt;=20%),"Good","Needs Improvement"))</f>
        <v>Needs Improvement</v>
      </c>
    </row>
    <row r="424" spans="1:4" x14ac:dyDescent="0.25">
      <c r="A424" s="99">
        <f>PRODUCT(Table1[[#This Row],[Quantity]],Table1[[#This Row],[Unit_Price]])</f>
        <v>1790.88</v>
      </c>
      <c r="B424" s="47">
        <v>523.42999999999995</v>
      </c>
      <c r="C424" s="38">
        <f>Table2[[#This Row],[Profit]]/Table2[[#This Row],[Total_Sales]]</f>
        <v>0.29227530599481816</v>
      </c>
      <c r="D424" s="30" t="str">
        <f>IF(AND(Table2[[#This Row],[Profit_Margin %]]&gt;20%,Table2[[#This Row],[Total_Sales]]&gt;2000),"Excellent",IF(AND(Table2[[#This Row],[Profit_Margin %]]&gt;=10%,Table2[[#This Row],[Profit_Margin %]]&lt;=20%),"Good","Needs Improvement"))</f>
        <v>Needs Improvement</v>
      </c>
    </row>
    <row r="425" spans="1:4" x14ac:dyDescent="0.25">
      <c r="A425" s="99">
        <f>PRODUCT(Table1[[#This Row],[Quantity]],Table1[[#This Row],[Unit_Price]])</f>
        <v>2010.58</v>
      </c>
      <c r="B425" s="47">
        <v>396.36</v>
      </c>
      <c r="C425" s="38">
        <f>Table2[[#This Row],[Profit]]/Table2[[#This Row],[Total_Sales]]</f>
        <v>0.19713714450556558</v>
      </c>
      <c r="D425" s="30" t="str">
        <f>IF(AND(Table2[[#This Row],[Profit_Margin %]]&gt;20%,Table2[[#This Row],[Total_Sales]]&gt;2000),"Excellent",IF(AND(Table2[[#This Row],[Profit_Margin %]]&gt;=10%,Table2[[#This Row],[Profit_Margin %]]&lt;=20%),"Good","Needs Improvement"))</f>
        <v>Good</v>
      </c>
    </row>
    <row r="426" spans="1:4" x14ac:dyDescent="0.25">
      <c r="A426" s="99">
        <f>PRODUCT(Table1[[#This Row],[Quantity]],Table1[[#This Row],[Unit_Price]])</f>
        <v>379.26</v>
      </c>
      <c r="B426" s="47">
        <v>112.84</v>
      </c>
      <c r="C426" s="38">
        <f>Table2[[#This Row],[Profit]]/Table2[[#This Row],[Total_Sales]]</f>
        <v>0.29752676264304173</v>
      </c>
      <c r="D426" s="30" t="str">
        <f>IF(AND(Table2[[#This Row],[Profit_Margin %]]&gt;20%,Table2[[#This Row],[Total_Sales]]&gt;2000),"Excellent",IF(AND(Table2[[#This Row],[Profit_Margin %]]&gt;=10%,Table2[[#This Row],[Profit_Margin %]]&lt;=20%),"Good","Needs Improvement"))</f>
        <v>Needs Improvement</v>
      </c>
    </row>
    <row r="427" spans="1:4" x14ac:dyDescent="0.25">
      <c r="A427" s="99">
        <f>PRODUCT(Table1[[#This Row],[Quantity]],Table1[[#This Row],[Unit_Price]])</f>
        <v>1251.32</v>
      </c>
      <c r="B427" s="47">
        <v>271.94</v>
      </c>
      <c r="C427" s="38">
        <f>Table2[[#This Row],[Profit]]/Table2[[#This Row],[Total_Sales]]</f>
        <v>0.21732250743215165</v>
      </c>
      <c r="D427" s="30" t="str">
        <f>IF(AND(Table2[[#This Row],[Profit_Margin %]]&gt;20%,Table2[[#This Row],[Total_Sales]]&gt;2000),"Excellent",IF(AND(Table2[[#This Row],[Profit_Margin %]]&gt;=10%,Table2[[#This Row],[Profit_Margin %]]&lt;=20%),"Good","Needs Improvement"))</f>
        <v>Needs Improvement</v>
      </c>
    </row>
    <row r="428" spans="1:4" x14ac:dyDescent="0.25">
      <c r="A428" s="99">
        <f>PRODUCT(Table1[[#This Row],[Quantity]],Table1[[#This Row],[Unit_Price]])</f>
        <v>941.61999999999989</v>
      </c>
      <c r="B428" s="47">
        <v>225.96</v>
      </c>
      <c r="C428" s="38">
        <f>Table2[[#This Row],[Profit]]/Table2[[#This Row],[Total_Sales]]</f>
        <v>0.2399694144134577</v>
      </c>
      <c r="D428" s="30" t="str">
        <f>IF(AND(Table2[[#This Row],[Profit_Margin %]]&gt;20%,Table2[[#This Row],[Total_Sales]]&gt;2000),"Excellent",IF(AND(Table2[[#This Row],[Profit_Margin %]]&gt;=10%,Table2[[#This Row],[Profit_Margin %]]&lt;=20%),"Good","Needs Improvement"))</f>
        <v>Needs Improvement</v>
      </c>
    </row>
    <row r="429" spans="1:4" x14ac:dyDescent="0.25">
      <c r="A429" s="99">
        <f>PRODUCT(Table1[[#This Row],[Quantity]],Table1[[#This Row],[Unit_Price]])</f>
        <v>1420.18</v>
      </c>
      <c r="B429" s="47">
        <v>355.73</v>
      </c>
      <c r="C429" s="38">
        <f>Table2[[#This Row],[Profit]]/Table2[[#This Row],[Total_Sales]]</f>
        <v>0.25048233322536578</v>
      </c>
      <c r="D429" s="30" t="str">
        <f>IF(AND(Table2[[#This Row],[Profit_Margin %]]&gt;20%,Table2[[#This Row],[Total_Sales]]&gt;2000),"Excellent",IF(AND(Table2[[#This Row],[Profit_Margin %]]&gt;=10%,Table2[[#This Row],[Profit_Margin %]]&lt;=20%),"Good","Needs Improvement"))</f>
        <v>Needs Improvement</v>
      </c>
    </row>
    <row r="430" spans="1:4" x14ac:dyDescent="0.25">
      <c r="A430" s="99">
        <f>PRODUCT(Table1[[#This Row],[Quantity]],Table1[[#This Row],[Unit_Price]])</f>
        <v>2239.36</v>
      </c>
      <c r="B430" s="47">
        <v>825.85</v>
      </c>
      <c r="C430" s="38">
        <f>Table2[[#This Row],[Profit]]/Table2[[#This Row],[Total_Sales]]</f>
        <v>0.3687884038296656</v>
      </c>
      <c r="D430" s="30" t="str">
        <f>IF(AND(Table2[[#This Row],[Profit_Margin %]]&gt;20%,Table2[[#This Row],[Total_Sales]]&gt;2000),"Excellent",IF(AND(Table2[[#This Row],[Profit_Margin %]]&gt;=10%,Table2[[#This Row],[Profit_Margin %]]&lt;=20%),"Good","Needs Improvement"))</f>
        <v>Excellent</v>
      </c>
    </row>
    <row r="431" spans="1:4" x14ac:dyDescent="0.25">
      <c r="A431" s="99">
        <f>PRODUCT(Table1[[#This Row],[Quantity]],Table1[[#This Row],[Unit_Price]])</f>
        <v>1072.75</v>
      </c>
      <c r="B431" s="47">
        <v>117.73</v>
      </c>
      <c r="C431" s="38">
        <f>Table2[[#This Row],[Profit]]/Table2[[#This Row],[Total_Sales]]</f>
        <v>0.10974597995805174</v>
      </c>
      <c r="D431" s="30" t="str">
        <f>IF(AND(Table2[[#This Row],[Profit_Margin %]]&gt;20%,Table2[[#This Row],[Total_Sales]]&gt;2000),"Excellent",IF(AND(Table2[[#This Row],[Profit_Margin %]]&gt;=10%,Table2[[#This Row],[Profit_Margin %]]&lt;=20%),"Good","Needs Improvement"))</f>
        <v>Good</v>
      </c>
    </row>
    <row r="432" spans="1:4" x14ac:dyDescent="0.25">
      <c r="A432" s="99">
        <f>PRODUCT(Table1[[#This Row],[Quantity]],Table1[[#This Row],[Unit_Price]])</f>
        <v>158.20000000000002</v>
      </c>
      <c r="B432" s="47">
        <v>61.91</v>
      </c>
      <c r="C432" s="38">
        <f>Table2[[#This Row],[Profit]]/Table2[[#This Row],[Total_Sales]]</f>
        <v>0.39134007585335012</v>
      </c>
      <c r="D432" s="30" t="str">
        <f>IF(AND(Table2[[#This Row],[Profit_Margin %]]&gt;20%,Table2[[#This Row],[Total_Sales]]&gt;2000),"Excellent",IF(AND(Table2[[#This Row],[Profit_Margin %]]&gt;=10%,Table2[[#This Row],[Profit_Margin %]]&lt;=20%),"Good","Needs Improvement"))</f>
        <v>Needs Improvement</v>
      </c>
    </row>
    <row r="433" spans="1:4" x14ac:dyDescent="0.25">
      <c r="A433" s="99">
        <f>PRODUCT(Table1[[#This Row],[Quantity]],Table1[[#This Row],[Unit_Price]])</f>
        <v>936</v>
      </c>
      <c r="B433" s="47">
        <v>253.93</v>
      </c>
      <c r="C433" s="38">
        <f>Table2[[#This Row],[Profit]]/Table2[[#This Row],[Total_Sales]]</f>
        <v>0.27129273504273504</v>
      </c>
      <c r="D433" s="30" t="str">
        <f>IF(AND(Table2[[#This Row],[Profit_Margin %]]&gt;20%,Table2[[#This Row],[Total_Sales]]&gt;2000),"Excellent",IF(AND(Table2[[#This Row],[Profit_Margin %]]&gt;=10%,Table2[[#This Row],[Profit_Margin %]]&lt;=20%),"Good","Needs Improvement"))</f>
        <v>Needs Improvement</v>
      </c>
    </row>
    <row r="434" spans="1:4" x14ac:dyDescent="0.25">
      <c r="A434" s="99">
        <f>PRODUCT(Table1[[#This Row],[Quantity]],Table1[[#This Row],[Unit_Price]])</f>
        <v>1599.04</v>
      </c>
      <c r="B434" s="47">
        <v>275.94</v>
      </c>
      <c r="C434" s="38">
        <f>Table2[[#This Row],[Profit]]/Table2[[#This Row],[Total_Sales]]</f>
        <v>0.17256603962377426</v>
      </c>
      <c r="D434" s="30" t="str">
        <f>IF(AND(Table2[[#This Row],[Profit_Margin %]]&gt;20%,Table2[[#This Row],[Total_Sales]]&gt;2000),"Excellent",IF(AND(Table2[[#This Row],[Profit_Margin %]]&gt;=10%,Table2[[#This Row],[Profit_Margin %]]&lt;=20%),"Good","Needs Improvement"))</f>
        <v>Good</v>
      </c>
    </row>
    <row r="435" spans="1:4" x14ac:dyDescent="0.25">
      <c r="A435" s="99">
        <f>PRODUCT(Table1[[#This Row],[Quantity]],Table1[[#This Row],[Unit_Price]])</f>
        <v>1050.42</v>
      </c>
      <c r="B435" s="47">
        <v>335.72</v>
      </c>
      <c r="C435" s="38">
        <f>Table2[[#This Row],[Profit]]/Table2[[#This Row],[Total_Sales]]</f>
        <v>0.31960549113687858</v>
      </c>
      <c r="D435" s="30" t="str">
        <f>IF(AND(Table2[[#This Row],[Profit_Margin %]]&gt;20%,Table2[[#This Row],[Total_Sales]]&gt;2000),"Excellent",IF(AND(Table2[[#This Row],[Profit_Margin %]]&gt;=10%,Table2[[#This Row],[Profit_Margin %]]&lt;=20%),"Good","Needs Improvement"))</f>
        <v>Needs Improvement</v>
      </c>
    </row>
    <row r="436" spans="1:4" x14ac:dyDescent="0.25">
      <c r="A436" s="99">
        <f>PRODUCT(Table1[[#This Row],[Quantity]],Table1[[#This Row],[Unit_Price]])</f>
        <v>771.88000000000011</v>
      </c>
      <c r="B436" s="47">
        <v>167.34</v>
      </c>
      <c r="C436" s="38">
        <f>Table2[[#This Row],[Profit]]/Table2[[#This Row],[Total_Sales]]</f>
        <v>0.21679535679121104</v>
      </c>
      <c r="D436" s="30" t="str">
        <f>IF(AND(Table2[[#This Row],[Profit_Margin %]]&gt;20%,Table2[[#This Row],[Total_Sales]]&gt;2000),"Excellent",IF(AND(Table2[[#This Row],[Profit_Margin %]]&gt;=10%,Table2[[#This Row],[Profit_Margin %]]&lt;=20%),"Good","Needs Improvement"))</f>
        <v>Needs Improvement</v>
      </c>
    </row>
    <row r="437" spans="1:4" x14ac:dyDescent="0.25">
      <c r="A437" s="99">
        <f>PRODUCT(Table1[[#This Row],[Quantity]],Table1[[#This Row],[Unit_Price]])</f>
        <v>674.88</v>
      </c>
      <c r="B437" s="47">
        <v>143.78</v>
      </c>
      <c r="C437" s="38">
        <f>Table2[[#This Row],[Profit]]/Table2[[#This Row],[Total_Sales]]</f>
        <v>0.21304528212422949</v>
      </c>
      <c r="D437" s="30" t="str">
        <f>IF(AND(Table2[[#This Row],[Profit_Margin %]]&gt;20%,Table2[[#This Row],[Total_Sales]]&gt;2000),"Excellent",IF(AND(Table2[[#This Row],[Profit_Margin %]]&gt;=10%,Table2[[#This Row],[Profit_Margin %]]&lt;=20%),"Good","Needs Improvement"))</f>
        <v>Needs Improvement</v>
      </c>
    </row>
    <row r="438" spans="1:4" x14ac:dyDescent="0.25">
      <c r="A438" s="99">
        <f>PRODUCT(Table1[[#This Row],[Quantity]],Table1[[#This Row],[Unit_Price]])</f>
        <v>419.64</v>
      </c>
      <c r="B438" s="47">
        <v>91.16</v>
      </c>
      <c r="C438" s="38">
        <f>Table2[[#This Row],[Profit]]/Table2[[#This Row],[Total_Sales]]</f>
        <v>0.21723381946430273</v>
      </c>
      <c r="D438" s="30" t="str">
        <f>IF(AND(Table2[[#This Row],[Profit_Margin %]]&gt;20%,Table2[[#This Row],[Total_Sales]]&gt;2000),"Excellent",IF(AND(Table2[[#This Row],[Profit_Margin %]]&gt;=10%,Table2[[#This Row],[Profit_Margin %]]&lt;=20%),"Good","Needs Improvement"))</f>
        <v>Needs Improvement</v>
      </c>
    </row>
    <row r="439" spans="1:4" x14ac:dyDescent="0.25">
      <c r="A439" s="99">
        <f>PRODUCT(Table1[[#This Row],[Quantity]],Table1[[#This Row],[Unit_Price]])</f>
        <v>1042.22</v>
      </c>
      <c r="B439" s="47">
        <v>395.89</v>
      </c>
      <c r="C439" s="38">
        <f>Table2[[#This Row],[Profit]]/Table2[[#This Row],[Total_Sales]]</f>
        <v>0.37985262228704109</v>
      </c>
      <c r="D439" s="30" t="str">
        <f>IF(AND(Table2[[#This Row],[Profit_Margin %]]&gt;20%,Table2[[#This Row],[Total_Sales]]&gt;2000),"Excellent",IF(AND(Table2[[#This Row],[Profit_Margin %]]&gt;=10%,Table2[[#This Row],[Profit_Margin %]]&lt;=20%),"Good","Needs Improvement"))</f>
        <v>Needs Improvement</v>
      </c>
    </row>
    <row r="440" spans="1:4" x14ac:dyDescent="0.25">
      <c r="A440" s="99">
        <f>PRODUCT(Table1[[#This Row],[Quantity]],Table1[[#This Row],[Unit_Price]])</f>
        <v>1222.3999999999999</v>
      </c>
      <c r="B440" s="47">
        <v>295.98</v>
      </c>
      <c r="C440" s="38">
        <f>Table2[[#This Row],[Profit]]/Table2[[#This Row],[Total_Sales]]</f>
        <v>0.24213023560209429</v>
      </c>
      <c r="D440" s="30" t="str">
        <f>IF(AND(Table2[[#This Row],[Profit_Margin %]]&gt;20%,Table2[[#This Row],[Total_Sales]]&gt;2000),"Excellent",IF(AND(Table2[[#This Row],[Profit_Margin %]]&gt;=10%,Table2[[#This Row],[Profit_Margin %]]&lt;=20%),"Good","Needs Improvement"))</f>
        <v>Needs Improvement</v>
      </c>
    </row>
    <row r="441" spans="1:4" x14ac:dyDescent="0.25">
      <c r="A441" s="99">
        <f>PRODUCT(Table1[[#This Row],[Quantity]],Table1[[#This Row],[Unit_Price]])</f>
        <v>928.95</v>
      </c>
      <c r="B441" s="47">
        <v>378.27</v>
      </c>
      <c r="C441" s="38">
        <f>Table2[[#This Row],[Profit]]/Table2[[#This Row],[Total_Sales]]</f>
        <v>0.407201679315356</v>
      </c>
      <c r="D441" s="30" t="str">
        <f>IF(AND(Table2[[#This Row],[Profit_Margin %]]&gt;20%,Table2[[#This Row],[Total_Sales]]&gt;2000),"Excellent",IF(AND(Table2[[#This Row],[Profit_Margin %]]&gt;=10%,Table2[[#This Row],[Profit_Margin %]]&lt;=20%),"Good","Needs Improvement"))</f>
        <v>Needs Improvement</v>
      </c>
    </row>
    <row r="442" spans="1:4" x14ac:dyDescent="0.25">
      <c r="A442" s="99">
        <f>PRODUCT(Table1[[#This Row],[Quantity]],Table1[[#This Row],[Unit_Price]])</f>
        <v>715.40000000000009</v>
      </c>
      <c r="B442" s="47">
        <v>276.17</v>
      </c>
      <c r="C442" s="38">
        <f>Table2[[#This Row],[Profit]]/Table2[[#This Row],[Total_Sales]]</f>
        <v>0.38603578417668433</v>
      </c>
      <c r="D442" s="30" t="str">
        <f>IF(AND(Table2[[#This Row],[Profit_Margin %]]&gt;20%,Table2[[#This Row],[Total_Sales]]&gt;2000),"Excellent",IF(AND(Table2[[#This Row],[Profit_Margin %]]&gt;=10%,Table2[[#This Row],[Profit_Margin %]]&lt;=20%),"Good","Needs Improvement"))</f>
        <v>Needs Improvement</v>
      </c>
    </row>
    <row r="443" spans="1:4" x14ac:dyDescent="0.25">
      <c r="A443" s="99">
        <f>PRODUCT(Table1[[#This Row],[Quantity]],Table1[[#This Row],[Unit_Price]])</f>
        <v>472.08</v>
      </c>
      <c r="B443" s="47">
        <v>191.37</v>
      </c>
      <c r="C443" s="38">
        <f>Table2[[#This Row],[Profit]]/Table2[[#This Row],[Total_Sales]]</f>
        <v>0.40537620742247077</v>
      </c>
      <c r="D443" s="30" t="str">
        <f>IF(AND(Table2[[#This Row],[Profit_Margin %]]&gt;20%,Table2[[#This Row],[Total_Sales]]&gt;2000),"Excellent",IF(AND(Table2[[#This Row],[Profit_Margin %]]&gt;=10%,Table2[[#This Row],[Profit_Margin %]]&lt;=20%),"Good","Needs Improvement"))</f>
        <v>Needs Improvement</v>
      </c>
    </row>
    <row r="444" spans="1:4" x14ac:dyDescent="0.25">
      <c r="A444" s="99">
        <f>PRODUCT(Table1[[#This Row],[Quantity]],Table1[[#This Row],[Unit_Price]])</f>
        <v>220.24</v>
      </c>
      <c r="B444" s="47">
        <v>63.58</v>
      </c>
      <c r="C444" s="38">
        <f>Table2[[#This Row],[Profit]]/Table2[[#This Row],[Total_Sales]]</f>
        <v>0.28868507083181982</v>
      </c>
      <c r="D444" s="30" t="str">
        <f>IF(AND(Table2[[#This Row],[Profit_Margin %]]&gt;20%,Table2[[#This Row],[Total_Sales]]&gt;2000),"Excellent",IF(AND(Table2[[#This Row],[Profit_Margin %]]&gt;=10%,Table2[[#This Row],[Profit_Margin %]]&lt;=20%),"Good","Needs Improvement"))</f>
        <v>Needs Improvement</v>
      </c>
    </row>
    <row r="445" spans="1:4" x14ac:dyDescent="0.25">
      <c r="A445" s="99">
        <f>PRODUCT(Table1[[#This Row],[Quantity]],Table1[[#This Row],[Unit_Price]])</f>
        <v>1387.75</v>
      </c>
      <c r="B445" s="47">
        <v>539.29999999999995</v>
      </c>
      <c r="C445" s="38">
        <f>Table2[[#This Row],[Profit]]/Table2[[#This Row],[Total_Sales]]</f>
        <v>0.38861466402450007</v>
      </c>
      <c r="D445" s="30" t="str">
        <f>IF(AND(Table2[[#This Row],[Profit_Margin %]]&gt;20%,Table2[[#This Row],[Total_Sales]]&gt;2000),"Excellent",IF(AND(Table2[[#This Row],[Profit_Margin %]]&gt;=10%,Table2[[#This Row],[Profit_Margin %]]&lt;=20%),"Good","Needs Improvement"))</f>
        <v>Needs Improvement</v>
      </c>
    </row>
    <row r="446" spans="1:4" x14ac:dyDescent="0.25">
      <c r="A446" s="99">
        <f>PRODUCT(Table1[[#This Row],[Quantity]],Table1[[#This Row],[Unit_Price]])</f>
        <v>1184</v>
      </c>
      <c r="B446" s="47">
        <v>362.38</v>
      </c>
      <c r="C446" s="38">
        <f>Table2[[#This Row],[Profit]]/Table2[[#This Row],[Total_Sales]]</f>
        <v>0.30606418918918921</v>
      </c>
      <c r="D446" s="30" t="str">
        <f>IF(AND(Table2[[#This Row],[Profit_Margin %]]&gt;20%,Table2[[#This Row],[Total_Sales]]&gt;2000),"Excellent",IF(AND(Table2[[#This Row],[Profit_Margin %]]&gt;=10%,Table2[[#This Row],[Profit_Margin %]]&lt;=20%),"Good","Needs Improvement"))</f>
        <v>Needs Improvement</v>
      </c>
    </row>
    <row r="447" spans="1:4" x14ac:dyDescent="0.25">
      <c r="A447" s="99">
        <f>PRODUCT(Table1[[#This Row],[Quantity]],Table1[[#This Row],[Unit_Price]])</f>
        <v>99.05</v>
      </c>
      <c r="B447" s="47">
        <v>29.39</v>
      </c>
      <c r="C447" s="38">
        <f>Table2[[#This Row],[Profit]]/Table2[[#This Row],[Total_Sales]]</f>
        <v>0.2967188288743059</v>
      </c>
      <c r="D447" s="30" t="str">
        <f>IF(AND(Table2[[#This Row],[Profit_Margin %]]&gt;20%,Table2[[#This Row],[Total_Sales]]&gt;2000),"Excellent",IF(AND(Table2[[#This Row],[Profit_Margin %]]&gt;=10%,Table2[[#This Row],[Profit_Margin %]]&lt;=20%),"Good","Needs Improvement"))</f>
        <v>Needs Improvement</v>
      </c>
    </row>
    <row r="448" spans="1:4" x14ac:dyDescent="0.25">
      <c r="A448" s="99">
        <f>PRODUCT(Table1[[#This Row],[Quantity]],Table1[[#This Row],[Unit_Price]])</f>
        <v>486.81000000000006</v>
      </c>
      <c r="B448" s="47">
        <v>105.93</v>
      </c>
      <c r="C448" s="38">
        <f>Table2[[#This Row],[Profit]]/Table2[[#This Row],[Total_Sales]]</f>
        <v>0.21760029580329079</v>
      </c>
      <c r="D448" s="30" t="str">
        <f>IF(AND(Table2[[#This Row],[Profit_Margin %]]&gt;20%,Table2[[#This Row],[Total_Sales]]&gt;2000),"Excellent",IF(AND(Table2[[#This Row],[Profit_Margin %]]&gt;=10%,Table2[[#This Row],[Profit_Margin %]]&lt;=20%),"Good","Needs Improvement"))</f>
        <v>Needs Improvement</v>
      </c>
    </row>
    <row r="449" spans="1:4" x14ac:dyDescent="0.25">
      <c r="A449" s="99">
        <f>PRODUCT(Table1[[#This Row],[Quantity]],Table1[[#This Row],[Unit_Price]])</f>
        <v>1211.8499999999999</v>
      </c>
      <c r="B449" s="47">
        <v>339</v>
      </c>
      <c r="C449" s="38">
        <f>Table2[[#This Row],[Profit]]/Table2[[#This Row],[Total_Sales]]</f>
        <v>0.2797375912860503</v>
      </c>
      <c r="D449" s="30" t="str">
        <f>IF(AND(Table2[[#This Row],[Profit_Margin %]]&gt;20%,Table2[[#This Row],[Total_Sales]]&gt;2000),"Excellent",IF(AND(Table2[[#This Row],[Profit_Margin %]]&gt;=10%,Table2[[#This Row],[Profit_Margin %]]&lt;=20%),"Good","Needs Improvement"))</f>
        <v>Needs Improvement</v>
      </c>
    </row>
    <row r="450" spans="1:4" x14ac:dyDescent="0.25">
      <c r="A450" s="99">
        <f>PRODUCT(Table1[[#This Row],[Quantity]],Table1[[#This Row],[Unit_Price]])</f>
        <v>1301.5999999999999</v>
      </c>
      <c r="B450" s="47">
        <v>454.54</v>
      </c>
      <c r="C450" s="38">
        <f>Table2[[#This Row],[Profit]]/Table2[[#This Row],[Total_Sales]]</f>
        <v>0.34921634910878924</v>
      </c>
      <c r="D450" s="30" t="str">
        <f>IF(AND(Table2[[#This Row],[Profit_Margin %]]&gt;20%,Table2[[#This Row],[Total_Sales]]&gt;2000),"Excellent",IF(AND(Table2[[#This Row],[Profit_Margin %]]&gt;=10%,Table2[[#This Row],[Profit_Margin %]]&lt;=20%),"Good","Needs Improvement"))</f>
        <v>Needs Improvement</v>
      </c>
    </row>
    <row r="451" spans="1:4" x14ac:dyDescent="0.25">
      <c r="A451" s="99">
        <f>PRODUCT(Table1[[#This Row],[Quantity]],Table1[[#This Row],[Unit_Price]])</f>
        <v>918.32</v>
      </c>
      <c r="B451" s="47">
        <v>273.3</v>
      </c>
      <c r="C451" s="38">
        <f>Table2[[#This Row],[Profit]]/Table2[[#This Row],[Total_Sales]]</f>
        <v>0.29760867671399949</v>
      </c>
      <c r="D451" s="30" t="str">
        <f>IF(AND(Table2[[#This Row],[Profit_Margin %]]&gt;20%,Table2[[#This Row],[Total_Sales]]&gt;2000),"Excellent",IF(AND(Table2[[#This Row],[Profit_Margin %]]&gt;=10%,Table2[[#This Row],[Profit_Margin %]]&lt;=20%),"Good","Needs Improvement"))</f>
        <v>Needs Improvement</v>
      </c>
    </row>
    <row r="452" spans="1:4" x14ac:dyDescent="0.25">
      <c r="A452" s="99">
        <f>PRODUCT(Table1[[#This Row],[Quantity]],Table1[[#This Row],[Unit_Price]])</f>
        <v>263.04000000000002</v>
      </c>
      <c r="B452" s="47">
        <v>41.4</v>
      </c>
      <c r="C452" s="38">
        <f>Table2[[#This Row],[Profit]]/Table2[[#This Row],[Total_Sales]]</f>
        <v>0.1573905109489051</v>
      </c>
      <c r="D452" s="30" t="str">
        <f>IF(AND(Table2[[#This Row],[Profit_Margin %]]&gt;20%,Table2[[#This Row],[Total_Sales]]&gt;2000),"Excellent",IF(AND(Table2[[#This Row],[Profit_Margin %]]&gt;=10%,Table2[[#This Row],[Profit_Margin %]]&lt;=20%),"Good","Needs Improvement"))</f>
        <v>Good</v>
      </c>
    </row>
    <row r="453" spans="1:4" x14ac:dyDescent="0.25">
      <c r="A453" s="99">
        <f>PRODUCT(Table1[[#This Row],[Quantity]],Table1[[#This Row],[Unit_Price]])</f>
        <v>1804.5300000000002</v>
      </c>
      <c r="B453" s="47">
        <v>673.96</v>
      </c>
      <c r="C453" s="38">
        <f>Table2[[#This Row],[Profit]]/Table2[[#This Row],[Total_Sales]]</f>
        <v>0.37348229178788933</v>
      </c>
      <c r="D453" s="30" t="str">
        <f>IF(AND(Table2[[#This Row],[Profit_Margin %]]&gt;20%,Table2[[#This Row],[Total_Sales]]&gt;2000),"Excellent",IF(AND(Table2[[#This Row],[Profit_Margin %]]&gt;=10%,Table2[[#This Row],[Profit_Margin %]]&lt;=20%),"Good","Needs Improvement"))</f>
        <v>Needs Improvement</v>
      </c>
    </row>
    <row r="454" spans="1:4" x14ac:dyDescent="0.25">
      <c r="A454" s="99">
        <f>PRODUCT(Table1[[#This Row],[Quantity]],Table1[[#This Row],[Unit_Price]])</f>
        <v>498.29999999999995</v>
      </c>
      <c r="B454" s="47">
        <v>86.45</v>
      </c>
      <c r="C454" s="38">
        <f>Table2[[#This Row],[Profit]]/Table2[[#This Row],[Total_Sales]]</f>
        <v>0.17348986554284571</v>
      </c>
      <c r="D454" s="30" t="str">
        <f>IF(AND(Table2[[#This Row],[Profit_Margin %]]&gt;20%,Table2[[#This Row],[Total_Sales]]&gt;2000),"Excellent",IF(AND(Table2[[#This Row],[Profit_Margin %]]&gt;=10%,Table2[[#This Row],[Profit_Margin %]]&lt;=20%),"Good","Needs Improvement"))</f>
        <v>Good</v>
      </c>
    </row>
    <row r="455" spans="1:4" x14ac:dyDescent="0.25">
      <c r="A455" s="99">
        <f>PRODUCT(Table1[[#This Row],[Quantity]],Table1[[#This Row],[Unit_Price]])</f>
        <v>2485.6999999999998</v>
      </c>
      <c r="B455" s="47">
        <v>948.48</v>
      </c>
      <c r="C455" s="38">
        <f>Table2[[#This Row],[Profit]]/Table2[[#This Row],[Total_Sales]]</f>
        <v>0.38157460675061355</v>
      </c>
      <c r="D455" s="30" t="str">
        <f>IF(AND(Table2[[#This Row],[Profit_Margin %]]&gt;20%,Table2[[#This Row],[Total_Sales]]&gt;2000),"Excellent",IF(AND(Table2[[#This Row],[Profit_Margin %]]&gt;=10%,Table2[[#This Row],[Profit_Margin %]]&lt;=20%),"Good","Needs Improvement"))</f>
        <v>Excellent</v>
      </c>
    </row>
    <row r="456" spans="1:4" x14ac:dyDescent="0.25">
      <c r="A456" s="99">
        <f>PRODUCT(Table1[[#This Row],[Quantity]],Table1[[#This Row],[Unit_Price]])</f>
        <v>84.62</v>
      </c>
      <c r="B456" s="47">
        <v>24.34</v>
      </c>
      <c r="C456" s="38">
        <f>Table2[[#This Row],[Profit]]/Table2[[#This Row],[Total_Sales]]</f>
        <v>0.28763885606239659</v>
      </c>
      <c r="D456" s="30" t="str">
        <f>IF(AND(Table2[[#This Row],[Profit_Margin %]]&gt;20%,Table2[[#This Row],[Total_Sales]]&gt;2000),"Excellent",IF(AND(Table2[[#This Row],[Profit_Margin %]]&gt;=10%,Table2[[#This Row],[Profit_Margin %]]&lt;=20%),"Good","Needs Improvement"))</f>
        <v>Needs Improvement</v>
      </c>
    </row>
    <row r="457" spans="1:4" x14ac:dyDescent="0.25">
      <c r="A457" s="99">
        <f>PRODUCT(Table1[[#This Row],[Quantity]],Table1[[#This Row],[Unit_Price]])</f>
        <v>330.88</v>
      </c>
      <c r="B457" s="47">
        <v>119.1</v>
      </c>
      <c r="C457" s="38">
        <f>Table2[[#This Row],[Profit]]/Table2[[#This Row],[Total_Sales]]</f>
        <v>0.35994922630560927</v>
      </c>
      <c r="D457" s="30" t="str">
        <f>IF(AND(Table2[[#This Row],[Profit_Margin %]]&gt;20%,Table2[[#This Row],[Total_Sales]]&gt;2000),"Excellent",IF(AND(Table2[[#This Row],[Profit_Margin %]]&gt;=10%,Table2[[#This Row],[Profit_Margin %]]&lt;=20%),"Good","Needs Improvement"))</f>
        <v>Needs Improvement</v>
      </c>
    </row>
    <row r="458" spans="1:4" x14ac:dyDescent="0.25">
      <c r="A458" s="99">
        <f>PRODUCT(Table1[[#This Row],[Quantity]],Table1[[#This Row],[Unit_Price]])</f>
        <v>94.17</v>
      </c>
      <c r="B458" s="47">
        <v>37.65</v>
      </c>
      <c r="C458" s="38">
        <f>Table2[[#This Row],[Profit]]/Table2[[#This Row],[Total_Sales]]</f>
        <v>0.39980885632366991</v>
      </c>
      <c r="D458" s="30" t="str">
        <f>IF(AND(Table2[[#This Row],[Profit_Margin %]]&gt;20%,Table2[[#This Row],[Total_Sales]]&gt;2000),"Excellent",IF(AND(Table2[[#This Row],[Profit_Margin %]]&gt;=10%,Table2[[#This Row],[Profit_Margin %]]&lt;=20%),"Good","Needs Improvement"))</f>
        <v>Needs Improvement</v>
      </c>
    </row>
    <row r="459" spans="1:4" x14ac:dyDescent="0.25">
      <c r="A459" s="99">
        <f>PRODUCT(Table1[[#This Row],[Quantity]],Table1[[#This Row],[Unit_Price]])</f>
        <v>1613.28</v>
      </c>
      <c r="B459" s="47">
        <v>423.36</v>
      </c>
      <c r="C459" s="38">
        <f>Table2[[#This Row],[Profit]]/Table2[[#This Row],[Total_Sales]]</f>
        <v>0.26242189824457007</v>
      </c>
      <c r="D459" s="30" t="str">
        <f>IF(AND(Table2[[#This Row],[Profit_Margin %]]&gt;20%,Table2[[#This Row],[Total_Sales]]&gt;2000),"Excellent",IF(AND(Table2[[#This Row],[Profit_Margin %]]&gt;=10%,Table2[[#This Row],[Profit_Margin %]]&lt;=20%),"Good","Needs Improvement"))</f>
        <v>Needs Improvement</v>
      </c>
    </row>
    <row r="460" spans="1:4" x14ac:dyDescent="0.25">
      <c r="A460" s="99">
        <f>PRODUCT(Table1[[#This Row],[Quantity]],Table1[[#This Row],[Unit_Price]])</f>
        <v>452.61</v>
      </c>
      <c r="B460" s="47">
        <v>131.68</v>
      </c>
      <c r="C460" s="38">
        <f>Table2[[#This Row],[Profit]]/Table2[[#This Row],[Total_Sales]]</f>
        <v>0.29093480038001812</v>
      </c>
      <c r="D460" s="30" t="str">
        <f>IF(AND(Table2[[#This Row],[Profit_Margin %]]&gt;20%,Table2[[#This Row],[Total_Sales]]&gt;2000),"Excellent",IF(AND(Table2[[#This Row],[Profit_Margin %]]&gt;=10%,Table2[[#This Row],[Profit_Margin %]]&lt;=20%),"Good","Needs Improvement"))</f>
        <v>Needs Improvement</v>
      </c>
    </row>
    <row r="461" spans="1:4" x14ac:dyDescent="0.25">
      <c r="A461" s="99">
        <f>PRODUCT(Table1[[#This Row],[Quantity]],Table1[[#This Row],[Unit_Price]])</f>
        <v>419.52</v>
      </c>
      <c r="B461" s="47">
        <v>134.09</v>
      </c>
      <c r="C461" s="38">
        <f>Table2[[#This Row],[Profit]]/Table2[[#This Row],[Total_Sales]]</f>
        <v>0.31962719298245618</v>
      </c>
      <c r="D461" s="30" t="str">
        <f>IF(AND(Table2[[#This Row],[Profit_Margin %]]&gt;20%,Table2[[#This Row],[Total_Sales]]&gt;2000),"Excellent",IF(AND(Table2[[#This Row],[Profit_Margin %]]&gt;=10%,Table2[[#This Row],[Profit_Margin %]]&lt;=20%),"Good","Needs Improvement"))</f>
        <v>Needs Improvement</v>
      </c>
    </row>
    <row r="462" spans="1:4" x14ac:dyDescent="0.25">
      <c r="A462" s="99">
        <f>PRODUCT(Table1[[#This Row],[Quantity]],Table1[[#This Row],[Unit_Price]])</f>
        <v>1528.8799999999999</v>
      </c>
      <c r="B462" s="47">
        <v>416.97</v>
      </c>
      <c r="C462" s="38">
        <f>Table2[[#This Row],[Profit]]/Table2[[#This Row],[Total_Sales]]</f>
        <v>0.27272905656428237</v>
      </c>
      <c r="D462" s="30" t="str">
        <f>IF(AND(Table2[[#This Row],[Profit_Margin %]]&gt;20%,Table2[[#This Row],[Total_Sales]]&gt;2000),"Excellent",IF(AND(Table2[[#This Row],[Profit_Margin %]]&gt;=10%,Table2[[#This Row],[Profit_Margin %]]&lt;=20%),"Good","Needs Improvement"))</f>
        <v>Needs Improvement</v>
      </c>
    </row>
    <row r="463" spans="1:4" x14ac:dyDescent="0.25">
      <c r="A463" s="99">
        <f>PRODUCT(Table1[[#This Row],[Quantity]],Table1[[#This Row],[Unit_Price]])</f>
        <v>865.02</v>
      </c>
      <c r="B463" s="47">
        <v>234.29</v>
      </c>
      <c r="C463" s="38">
        <f>Table2[[#This Row],[Profit]]/Table2[[#This Row],[Total_Sales]]</f>
        <v>0.27084922891956253</v>
      </c>
      <c r="D463" s="30" t="str">
        <f>IF(AND(Table2[[#This Row],[Profit_Margin %]]&gt;20%,Table2[[#This Row],[Total_Sales]]&gt;2000),"Excellent",IF(AND(Table2[[#This Row],[Profit_Margin %]]&gt;=10%,Table2[[#This Row],[Profit_Margin %]]&lt;=20%),"Good","Needs Improvement"))</f>
        <v>Needs Improvement</v>
      </c>
    </row>
    <row r="464" spans="1:4" x14ac:dyDescent="0.25">
      <c r="A464" s="99">
        <f>PRODUCT(Table1[[#This Row],[Quantity]],Table1[[#This Row],[Unit_Price]])</f>
        <v>235.39999999999998</v>
      </c>
      <c r="B464" s="47">
        <v>53.26</v>
      </c>
      <c r="C464" s="38">
        <f>Table2[[#This Row],[Profit]]/Table2[[#This Row],[Total_Sales]]</f>
        <v>0.22625318606627018</v>
      </c>
      <c r="D464" s="30" t="str">
        <f>IF(AND(Table2[[#This Row],[Profit_Margin %]]&gt;20%,Table2[[#This Row],[Total_Sales]]&gt;2000),"Excellent",IF(AND(Table2[[#This Row],[Profit_Margin %]]&gt;=10%,Table2[[#This Row],[Profit_Margin %]]&lt;=20%),"Good","Needs Improvement"))</f>
        <v>Needs Improvement</v>
      </c>
    </row>
    <row r="465" spans="1:4" x14ac:dyDescent="0.25">
      <c r="A465" s="99">
        <f>PRODUCT(Table1[[#This Row],[Quantity]],Table1[[#This Row],[Unit_Price]])</f>
        <v>761.45999999999992</v>
      </c>
      <c r="B465" s="47">
        <v>179.47</v>
      </c>
      <c r="C465" s="38">
        <f>Table2[[#This Row],[Profit]]/Table2[[#This Row],[Total_Sales]]</f>
        <v>0.23569196018175612</v>
      </c>
      <c r="D465" s="30" t="str">
        <f>IF(AND(Table2[[#This Row],[Profit_Margin %]]&gt;20%,Table2[[#This Row],[Total_Sales]]&gt;2000),"Excellent",IF(AND(Table2[[#This Row],[Profit_Margin %]]&gt;=10%,Table2[[#This Row],[Profit_Margin %]]&lt;=20%),"Good","Needs Improvement"))</f>
        <v>Needs Improvement</v>
      </c>
    </row>
    <row r="466" spans="1:4" x14ac:dyDescent="0.25">
      <c r="A466" s="99">
        <f>PRODUCT(Table1[[#This Row],[Quantity]],Table1[[#This Row],[Unit_Price]])</f>
        <v>1380.9899999999998</v>
      </c>
      <c r="B466" s="47">
        <v>418.93</v>
      </c>
      <c r="C466" s="38">
        <f>Table2[[#This Row],[Profit]]/Table2[[#This Row],[Total_Sales]]</f>
        <v>0.30335483964402354</v>
      </c>
      <c r="D466" s="30" t="str">
        <f>IF(AND(Table2[[#This Row],[Profit_Margin %]]&gt;20%,Table2[[#This Row],[Total_Sales]]&gt;2000),"Excellent",IF(AND(Table2[[#This Row],[Profit_Margin %]]&gt;=10%,Table2[[#This Row],[Profit_Margin %]]&lt;=20%),"Good","Needs Improvement"))</f>
        <v>Needs Improvement</v>
      </c>
    </row>
    <row r="467" spans="1:4" x14ac:dyDescent="0.25">
      <c r="A467" s="99">
        <f>PRODUCT(Table1[[#This Row],[Quantity]],Table1[[#This Row],[Unit_Price]])</f>
        <v>355.55</v>
      </c>
      <c r="B467" s="47">
        <v>95.32</v>
      </c>
      <c r="C467" s="38">
        <f>Table2[[#This Row],[Profit]]/Table2[[#This Row],[Total_Sales]]</f>
        <v>0.26809168893263957</v>
      </c>
      <c r="D467" s="30" t="str">
        <f>IF(AND(Table2[[#This Row],[Profit_Margin %]]&gt;20%,Table2[[#This Row],[Total_Sales]]&gt;2000),"Excellent",IF(AND(Table2[[#This Row],[Profit_Margin %]]&gt;=10%,Table2[[#This Row],[Profit_Margin %]]&lt;=20%),"Good","Needs Improvement"))</f>
        <v>Needs Improvement</v>
      </c>
    </row>
    <row r="468" spans="1:4" x14ac:dyDescent="0.25">
      <c r="A468" s="99">
        <f>PRODUCT(Table1[[#This Row],[Quantity]],Table1[[#This Row],[Unit_Price]])</f>
        <v>843.19999999999993</v>
      </c>
      <c r="B468" s="47">
        <v>266.39</v>
      </c>
      <c r="C468" s="38">
        <f>Table2[[#This Row],[Profit]]/Table2[[#This Row],[Total_Sales]]</f>
        <v>0.3159274193548387</v>
      </c>
      <c r="D468" s="30" t="str">
        <f>IF(AND(Table2[[#This Row],[Profit_Margin %]]&gt;20%,Table2[[#This Row],[Total_Sales]]&gt;2000),"Excellent",IF(AND(Table2[[#This Row],[Profit_Margin %]]&gt;=10%,Table2[[#This Row],[Profit_Margin %]]&lt;=20%),"Good","Needs Improvement"))</f>
        <v>Needs Improvement</v>
      </c>
    </row>
    <row r="469" spans="1:4" x14ac:dyDescent="0.25">
      <c r="A469" s="99">
        <f>PRODUCT(Table1[[#This Row],[Quantity]],Table1[[#This Row],[Unit_Price]])</f>
        <v>1294.3799999999999</v>
      </c>
      <c r="B469" s="47">
        <v>503.1</v>
      </c>
      <c r="C469" s="38">
        <f>Table2[[#This Row],[Profit]]/Table2[[#This Row],[Total_Sales]]</f>
        <v>0.38868029481296068</v>
      </c>
      <c r="D469" s="30" t="str">
        <f>IF(AND(Table2[[#This Row],[Profit_Margin %]]&gt;20%,Table2[[#This Row],[Total_Sales]]&gt;2000),"Excellent",IF(AND(Table2[[#This Row],[Profit_Margin %]]&gt;=10%,Table2[[#This Row],[Profit_Margin %]]&lt;=20%),"Good","Needs Improvement"))</f>
        <v>Needs Improvement</v>
      </c>
    </row>
    <row r="470" spans="1:4" x14ac:dyDescent="0.25">
      <c r="A470" s="99">
        <f>PRODUCT(Table1[[#This Row],[Quantity]],Table1[[#This Row],[Unit_Price]])</f>
        <v>721.28</v>
      </c>
      <c r="B470" s="47">
        <v>187.67</v>
      </c>
      <c r="C470" s="38">
        <f>Table2[[#This Row],[Profit]]/Table2[[#This Row],[Total_Sales]]</f>
        <v>0.26019021739130432</v>
      </c>
      <c r="D470" s="30" t="str">
        <f>IF(AND(Table2[[#This Row],[Profit_Margin %]]&gt;20%,Table2[[#This Row],[Total_Sales]]&gt;2000),"Excellent",IF(AND(Table2[[#This Row],[Profit_Margin %]]&gt;=10%,Table2[[#This Row],[Profit_Margin %]]&lt;=20%),"Good","Needs Improvement"))</f>
        <v>Needs Improvement</v>
      </c>
    </row>
    <row r="471" spans="1:4" x14ac:dyDescent="0.25">
      <c r="A471" s="99">
        <f>PRODUCT(Table1[[#This Row],[Quantity]],Table1[[#This Row],[Unit_Price]])</f>
        <v>1228.4000000000001</v>
      </c>
      <c r="B471" s="47">
        <v>354.56</v>
      </c>
      <c r="C471" s="38">
        <f>Table2[[#This Row],[Profit]]/Table2[[#This Row],[Total_Sales]]</f>
        <v>0.28863562357538258</v>
      </c>
      <c r="D471" s="30" t="str">
        <f>IF(AND(Table2[[#This Row],[Profit_Margin %]]&gt;20%,Table2[[#This Row],[Total_Sales]]&gt;2000),"Excellent",IF(AND(Table2[[#This Row],[Profit_Margin %]]&gt;=10%,Table2[[#This Row],[Profit_Margin %]]&lt;=20%),"Good","Needs Improvement"))</f>
        <v>Needs Improvement</v>
      </c>
    </row>
    <row r="472" spans="1:4" x14ac:dyDescent="0.25">
      <c r="A472" s="99">
        <f>PRODUCT(Table1[[#This Row],[Quantity]],Table1[[#This Row],[Unit_Price]])</f>
        <v>218.48</v>
      </c>
      <c r="B472" s="47">
        <v>64.97</v>
      </c>
      <c r="C472" s="38">
        <f>Table2[[#This Row],[Profit]]/Table2[[#This Row],[Total_Sales]]</f>
        <v>0.29737275723178325</v>
      </c>
      <c r="D472" s="30" t="str">
        <f>IF(AND(Table2[[#This Row],[Profit_Margin %]]&gt;20%,Table2[[#This Row],[Total_Sales]]&gt;2000),"Excellent",IF(AND(Table2[[#This Row],[Profit_Margin %]]&gt;=10%,Table2[[#This Row],[Profit_Margin %]]&lt;=20%),"Good","Needs Improvement"))</f>
        <v>Needs Improvement</v>
      </c>
    </row>
    <row r="473" spans="1:4" x14ac:dyDescent="0.25">
      <c r="A473" s="99">
        <f>PRODUCT(Table1[[#This Row],[Quantity]],Table1[[#This Row],[Unit_Price]])</f>
        <v>553.66</v>
      </c>
      <c r="B473" s="47">
        <v>191.96</v>
      </c>
      <c r="C473" s="38">
        <f>Table2[[#This Row],[Profit]]/Table2[[#This Row],[Total_Sales]]</f>
        <v>0.34671097785644622</v>
      </c>
      <c r="D473" s="30" t="str">
        <f>IF(AND(Table2[[#This Row],[Profit_Margin %]]&gt;20%,Table2[[#This Row],[Total_Sales]]&gt;2000),"Excellent",IF(AND(Table2[[#This Row],[Profit_Margin %]]&gt;=10%,Table2[[#This Row],[Profit_Margin %]]&lt;=20%),"Good","Needs Improvement"))</f>
        <v>Needs Improvement</v>
      </c>
    </row>
    <row r="474" spans="1:4" x14ac:dyDescent="0.25">
      <c r="A474" s="99">
        <f>PRODUCT(Table1[[#This Row],[Quantity]],Table1[[#This Row],[Unit_Price]])</f>
        <v>332.46</v>
      </c>
      <c r="B474" s="47">
        <v>106.89</v>
      </c>
      <c r="C474" s="38">
        <f>Table2[[#This Row],[Profit]]/Table2[[#This Row],[Total_Sales]]</f>
        <v>0.3215123623894604</v>
      </c>
      <c r="D474" s="30" t="str">
        <f>IF(AND(Table2[[#This Row],[Profit_Margin %]]&gt;20%,Table2[[#This Row],[Total_Sales]]&gt;2000),"Excellent",IF(AND(Table2[[#This Row],[Profit_Margin %]]&gt;=10%,Table2[[#This Row],[Profit_Margin %]]&lt;=20%),"Good","Needs Improvement"))</f>
        <v>Needs Improvement</v>
      </c>
    </row>
    <row r="475" spans="1:4" x14ac:dyDescent="0.25">
      <c r="A475" s="99">
        <f>PRODUCT(Table1[[#This Row],[Quantity]],Table1[[#This Row],[Unit_Price]])</f>
        <v>1395.3600000000001</v>
      </c>
      <c r="B475" s="47">
        <v>460.98</v>
      </c>
      <c r="C475" s="38">
        <f>Table2[[#This Row],[Profit]]/Table2[[#This Row],[Total_Sales]]</f>
        <v>0.33036635706914341</v>
      </c>
      <c r="D475" s="30" t="str">
        <f>IF(AND(Table2[[#This Row],[Profit_Margin %]]&gt;20%,Table2[[#This Row],[Total_Sales]]&gt;2000),"Excellent",IF(AND(Table2[[#This Row],[Profit_Margin %]]&gt;=10%,Table2[[#This Row],[Profit_Margin %]]&lt;=20%),"Good","Needs Improvement"))</f>
        <v>Needs Improvement</v>
      </c>
    </row>
    <row r="476" spans="1:4" x14ac:dyDescent="0.25">
      <c r="A476" s="99">
        <f>PRODUCT(Table1[[#This Row],[Quantity]],Table1[[#This Row],[Unit_Price]])</f>
        <v>706.42000000000007</v>
      </c>
      <c r="B476" s="47">
        <v>87.48</v>
      </c>
      <c r="C476" s="38">
        <f>Table2[[#This Row],[Profit]]/Table2[[#This Row],[Total_Sales]]</f>
        <v>0.12383567849154893</v>
      </c>
      <c r="D476" s="30" t="str">
        <f>IF(AND(Table2[[#This Row],[Profit_Margin %]]&gt;20%,Table2[[#This Row],[Total_Sales]]&gt;2000),"Excellent",IF(AND(Table2[[#This Row],[Profit_Margin %]]&gt;=10%,Table2[[#This Row],[Profit_Margin %]]&lt;=20%),"Good","Needs Improvement"))</f>
        <v>Good</v>
      </c>
    </row>
    <row r="477" spans="1:4" x14ac:dyDescent="0.25">
      <c r="A477" s="99">
        <f>PRODUCT(Table1[[#This Row],[Quantity]],Table1[[#This Row],[Unit_Price]])</f>
        <v>438.84</v>
      </c>
      <c r="B477" s="47">
        <v>106.93</v>
      </c>
      <c r="C477" s="38">
        <f>Table2[[#This Row],[Profit]]/Table2[[#This Row],[Total_Sales]]</f>
        <v>0.24366511712697114</v>
      </c>
      <c r="D477" s="30" t="str">
        <f>IF(AND(Table2[[#This Row],[Profit_Margin %]]&gt;20%,Table2[[#This Row],[Total_Sales]]&gt;2000),"Excellent",IF(AND(Table2[[#This Row],[Profit_Margin %]]&gt;=10%,Table2[[#This Row],[Profit_Margin %]]&lt;=20%),"Good","Needs Improvement"))</f>
        <v>Needs Improvement</v>
      </c>
    </row>
    <row r="478" spans="1:4" x14ac:dyDescent="0.25">
      <c r="A478" s="99">
        <f>PRODUCT(Table1[[#This Row],[Quantity]],Table1[[#This Row],[Unit_Price]])</f>
        <v>1228.77</v>
      </c>
      <c r="B478" s="47">
        <v>300.14999999999998</v>
      </c>
      <c r="C478" s="38">
        <f>Table2[[#This Row],[Profit]]/Table2[[#This Row],[Total_Sales]]</f>
        <v>0.24426865890280522</v>
      </c>
      <c r="D478" s="30" t="str">
        <f>IF(AND(Table2[[#This Row],[Profit_Margin %]]&gt;20%,Table2[[#This Row],[Total_Sales]]&gt;2000),"Excellent",IF(AND(Table2[[#This Row],[Profit_Margin %]]&gt;=10%,Table2[[#This Row],[Profit_Margin %]]&lt;=20%),"Good","Needs Improvement"))</f>
        <v>Needs Improvement</v>
      </c>
    </row>
    <row r="479" spans="1:4" x14ac:dyDescent="0.25">
      <c r="A479" s="99">
        <f>PRODUCT(Table1[[#This Row],[Quantity]],Table1[[#This Row],[Unit_Price]])</f>
        <v>479.65999999999997</v>
      </c>
      <c r="B479" s="47">
        <v>79.680000000000007</v>
      </c>
      <c r="C479" s="38">
        <f>Table2[[#This Row],[Profit]]/Table2[[#This Row],[Total_Sales]]</f>
        <v>0.16611766668056543</v>
      </c>
      <c r="D479" s="30" t="str">
        <f>IF(AND(Table2[[#This Row],[Profit_Margin %]]&gt;20%,Table2[[#This Row],[Total_Sales]]&gt;2000),"Excellent",IF(AND(Table2[[#This Row],[Profit_Margin %]]&gt;=10%,Table2[[#This Row],[Profit_Margin %]]&lt;=20%),"Good","Needs Improvement"))</f>
        <v>Good</v>
      </c>
    </row>
    <row r="480" spans="1:4" x14ac:dyDescent="0.25">
      <c r="A480" s="99">
        <f>PRODUCT(Table1[[#This Row],[Quantity]],Table1[[#This Row],[Unit_Price]])</f>
        <v>490.16</v>
      </c>
      <c r="B480" s="47">
        <v>191.19</v>
      </c>
      <c r="C480" s="38">
        <f>Table2[[#This Row],[Profit]]/Table2[[#This Row],[Total_Sales]]</f>
        <v>0.39005630814427938</v>
      </c>
      <c r="D480" s="30" t="str">
        <f>IF(AND(Table2[[#This Row],[Profit_Margin %]]&gt;20%,Table2[[#This Row],[Total_Sales]]&gt;2000),"Excellent",IF(AND(Table2[[#This Row],[Profit_Margin %]]&gt;=10%,Table2[[#This Row],[Profit_Margin %]]&lt;=20%),"Good","Needs Improvement"))</f>
        <v>Needs Improvement</v>
      </c>
    </row>
    <row r="481" spans="1:4" x14ac:dyDescent="0.25">
      <c r="A481" s="99">
        <f>PRODUCT(Table1[[#This Row],[Quantity]],Table1[[#This Row],[Unit_Price]])</f>
        <v>2239</v>
      </c>
      <c r="B481" s="47">
        <v>469.03</v>
      </c>
      <c r="C481" s="38">
        <f>Table2[[#This Row],[Profit]]/Table2[[#This Row],[Total_Sales]]</f>
        <v>0.20948191156766413</v>
      </c>
      <c r="D481" s="30" t="str">
        <f>IF(AND(Table2[[#This Row],[Profit_Margin %]]&gt;20%,Table2[[#This Row],[Total_Sales]]&gt;2000),"Excellent",IF(AND(Table2[[#This Row],[Profit_Margin %]]&gt;=10%,Table2[[#This Row],[Profit_Margin %]]&lt;=20%),"Good","Needs Improvement"))</f>
        <v>Excellent</v>
      </c>
    </row>
    <row r="482" spans="1:4" x14ac:dyDescent="0.25">
      <c r="A482" s="99">
        <f>PRODUCT(Table1[[#This Row],[Quantity]],Table1[[#This Row],[Unit_Price]])</f>
        <v>675.30000000000007</v>
      </c>
      <c r="B482" s="47">
        <v>109.04</v>
      </c>
      <c r="C482" s="38">
        <f>Table2[[#This Row],[Profit]]/Table2[[#This Row],[Total_Sales]]</f>
        <v>0.16146897675107358</v>
      </c>
      <c r="D482" s="30" t="str">
        <f>IF(AND(Table2[[#This Row],[Profit_Margin %]]&gt;20%,Table2[[#This Row],[Total_Sales]]&gt;2000),"Excellent",IF(AND(Table2[[#This Row],[Profit_Margin %]]&gt;=10%,Table2[[#This Row],[Profit_Margin %]]&lt;=20%),"Good","Needs Improvement"))</f>
        <v>Good</v>
      </c>
    </row>
    <row r="483" spans="1:4" x14ac:dyDescent="0.25">
      <c r="A483" s="99">
        <f>PRODUCT(Table1[[#This Row],[Quantity]],Table1[[#This Row],[Unit_Price]])</f>
        <v>1359</v>
      </c>
      <c r="B483" s="47">
        <v>538.33000000000004</v>
      </c>
      <c r="C483" s="38">
        <f>Table2[[#This Row],[Profit]]/Table2[[#This Row],[Total_Sales]]</f>
        <v>0.39612214863870499</v>
      </c>
      <c r="D483" s="30" t="str">
        <f>IF(AND(Table2[[#This Row],[Profit_Margin %]]&gt;20%,Table2[[#This Row],[Total_Sales]]&gt;2000),"Excellent",IF(AND(Table2[[#This Row],[Profit_Margin %]]&gt;=10%,Table2[[#This Row],[Profit_Margin %]]&lt;=20%),"Good","Needs Improvement"))</f>
        <v>Needs Improvement</v>
      </c>
    </row>
    <row r="484" spans="1:4" x14ac:dyDescent="0.25">
      <c r="A484" s="99">
        <f>PRODUCT(Table1[[#This Row],[Quantity]],Table1[[#This Row],[Unit_Price]])</f>
        <v>1050.28</v>
      </c>
      <c r="B484" s="47">
        <v>220.45</v>
      </c>
      <c r="C484" s="38">
        <f>Table2[[#This Row],[Profit]]/Table2[[#This Row],[Total_Sales]]</f>
        <v>0.20989640857676048</v>
      </c>
      <c r="D484" s="30" t="str">
        <f>IF(AND(Table2[[#This Row],[Profit_Margin %]]&gt;20%,Table2[[#This Row],[Total_Sales]]&gt;2000),"Excellent",IF(AND(Table2[[#This Row],[Profit_Margin %]]&gt;=10%,Table2[[#This Row],[Profit_Margin %]]&lt;=20%),"Good","Needs Improvement"))</f>
        <v>Needs Improvement</v>
      </c>
    </row>
    <row r="485" spans="1:4" x14ac:dyDescent="0.25">
      <c r="A485" s="99">
        <f>PRODUCT(Table1[[#This Row],[Quantity]],Table1[[#This Row],[Unit_Price]])</f>
        <v>2685.5</v>
      </c>
      <c r="B485" s="47">
        <v>487.61</v>
      </c>
      <c r="C485" s="38">
        <f>Table2[[#This Row],[Profit]]/Table2[[#This Row],[Total_Sales]]</f>
        <v>0.18157140197356172</v>
      </c>
      <c r="D485" s="30" t="str">
        <f>IF(AND(Table2[[#This Row],[Profit_Margin %]]&gt;20%,Table2[[#This Row],[Total_Sales]]&gt;2000),"Excellent",IF(AND(Table2[[#This Row],[Profit_Margin %]]&gt;=10%,Table2[[#This Row],[Profit_Margin %]]&lt;=20%),"Good","Needs Improvement"))</f>
        <v>Good</v>
      </c>
    </row>
    <row r="486" spans="1:4" x14ac:dyDescent="0.25">
      <c r="A486" s="99">
        <f>PRODUCT(Table1[[#This Row],[Quantity]],Table1[[#This Row],[Unit_Price]])</f>
        <v>446.88</v>
      </c>
      <c r="B486" s="47">
        <v>47.97</v>
      </c>
      <c r="C486" s="38">
        <f>Table2[[#This Row],[Profit]]/Table2[[#This Row],[Total_Sales]]</f>
        <v>0.10734425349087003</v>
      </c>
      <c r="D486" s="30" t="str">
        <f>IF(AND(Table2[[#This Row],[Profit_Margin %]]&gt;20%,Table2[[#This Row],[Total_Sales]]&gt;2000),"Excellent",IF(AND(Table2[[#This Row],[Profit_Margin %]]&gt;=10%,Table2[[#This Row],[Profit_Margin %]]&lt;=20%),"Good","Needs Improvement"))</f>
        <v>Good</v>
      </c>
    </row>
    <row r="487" spans="1:4" x14ac:dyDescent="0.25">
      <c r="A487" s="99">
        <f>PRODUCT(Table1[[#This Row],[Quantity]],Table1[[#This Row],[Unit_Price]])</f>
        <v>491.5</v>
      </c>
      <c r="B487" s="47">
        <v>78.2</v>
      </c>
      <c r="C487" s="38">
        <f>Table2[[#This Row],[Profit]]/Table2[[#This Row],[Total_Sales]]</f>
        <v>0.15910478128179045</v>
      </c>
      <c r="D487" s="30" t="str">
        <f>IF(AND(Table2[[#This Row],[Profit_Margin %]]&gt;20%,Table2[[#This Row],[Total_Sales]]&gt;2000),"Excellent",IF(AND(Table2[[#This Row],[Profit_Margin %]]&gt;=10%,Table2[[#This Row],[Profit_Margin %]]&lt;=20%),"Good","Needs Improvement"))</f>
        <v>Good</v>
      </c>
    </row>
    <row r="488" spans="1:4" x14ac:dyDescent="0.25">
      <c r="A488" s="99">
        <f>PRODUCT(Table1[[#This Row],[Quantity]],Table1[[#This Row],[Unit_Price]])</f>
        <v>2140.3200000000002</v>
      </c>
      <c r="B488" s="47">
        <v>332.47</v>
      </c>
      <c r="C488" s="38">
        <f>Table2[[#This Row],[Profit]]/Table2[[#This Row],[Total_Sales]]</f>
        <v>0.15533658518352397</v>
      </c>
      <c r="D488" s="30" t="str">
        <f>IF(AND(Table2[[#This Row],[Profit_Margin %]]&gt;20%,Table2[[#This Row],[Total_Sales]]&gt;2000),"Excellent",IF(AND(Table2[[#This Row],[Profit_Margin %]]&gt;=10%,Table2[[#This Row],[Profit_Margin %]]&lt;=20%),"Good","Needs Improvement"))</f>
        <v>Good</v>
      </c>
    </row>
    <row r="489" spans="1:4" x14ac:dyDescent="0.25">
      <c r="A489" s="99">
        <f>PRODUCT(Table1[[#This Row],[Quantity]],Table1[[#This Row],[Unit_Price]])</f>
        <v>1460.94</v>
      </c>
      <c r="B489" s="47">
        <v>403.69</v>
      </c>
      <c r="C489" s="38">
        <f>Table2[[#This Row],[Profit]]/Table2[[#This Row],[Total_Sales]]</f>
        <v>0.27632209399427765</v>
      </c>
      <c r="D489" s="30" t="str">
        <f>IF(AND(Table2[[#This Row],[Profit_Margin %]]&gt;20%,Table2[[#This Row],[Total_Sales]]&gt;2000),"Excellent",IF(AND(Table2[[#This Row],[Profit_Margin %]]&gt;=10%,Table2[[#This Row],[Profit_Margin %]]&lt;=20%),"Good","Needs Improvement"))</f>
        <v>Needs Improvement</v>
      </c>
    </row>
    <row r="490" spans="1:4" x14ac:dyDescent="0.25">
      <c r="A490" s="99">
        <f>PRODUCT(Table1[[#This Row],[Quantity]],Table1[[#This Row],[Unit_Price]])</f>
        <v>141.4</v>
      </c>
      <c r="B490" s="47">
        <v>47.8</v>
      </c>
      <c r="C490" s="38">
        <f>Table2[[#This Row],[Profit]]/Table2[[#This Row],[Total_Sales]]</f>
        <v>0.33804809052333801</v>
      </c>
      <c r="D490" s="30" t="str">
        <f>IF(AND(Table2[[#This Row],[Profit_Margin %]]&gt;20%,Table2[[#This Row],[Total_Sales]]&gt;2000),"Excellent",IF(AND(Table2[[#This Row],[Profit_Margin %]]&gt;=10%,Table2[[#This Row],[Profit_Margin %]]&lt;=20%),"Good","Needs Improvement"))</f>
        <v>Needs Improvement</v>
      </c>
    </row>
    <row r="491" spans="1:4" x14ac:dyDescent="0.25">
      <c r="A491" s="99">
        <f>PRODUCT(Table1[[#This Row],[Quantity]],Table1[[#This Row],[Unit_Price]])</f>
        <v>335.34</v>
      </c>
      <c r="B491" s="47">
        <v>79.66</v>
      </c>
      <c r="C491" s="38">
        <f>Table2[[#This Row],[Profit]]/Table2[[#This Row],[Total_Sales]]</f>
        <v>0.23754994930518281</v>
      </c>
      <c r="D491" s="30" t="str">
        <f>IF(AND(Table2[[#This Row],[Profit_Margin %]]&gt;20%,Table2[[#This Row],[Total_Sales]]&gt;2000),"Excellent",IF(AND(Table2[[#This Row],[Profit_Margin %]]&gt;=10%,Table2[[#This Row],[Profit_Margin %]]&lt;=20%),"Good","Needs Improvement"))</f>
        <v>Needs Improvement</v>
      </c>
    </row>
    <row r="492" spans="1:4" x14ac:dyDescent="0.25">
      <c r="A492" s="99">
        <f>PRODUCT(Table1[[#This Row],[Quantity]],Table1[[#This Row],[Unit_Price]])</f>
        <v>324.95999999999998</v>
      </c>
      <c r="B492" s="47">
        <v>39.369999999999997</v>
      </c>
      <c r="C492" s="38">
        <f>Table2[[#This Row],[Profit]]/Table2[[#This Row],[Total_Sales]]</f>
        <v>0.12115337272279665</v>
      </c>
      <c r="D492" s="30" t="str">
        <f>IF(AND(Table2[[#This Row],[Profit_Margin %]]&gt;20%,Table2[[#This Row],[Total_Sales]]&gt;2000),"Excellent",IF(AND(Table2[[#This Row],[Profit_Margin %]]&gt;=10%,Table2[[#This Row],[Profit_Margin %]]&lt;=20%),"Good","Needs Improvement"))</f>
        <v>Good</v>
      </c>
    </row>
    <row r="493" spans="1:4" x14ac:dyDescent="0.25">
      <c r="A493" s="99">
        <f>PRODUCT(Table1[[#This Row],[Quantity]],Table1[[#This Row],[Unit_Price]])</f>
        <v>1610.5</v>
      </c>
      <c r="B493" s="47">
        <v>327.82</v>
      </c>
      <c r="C493" s="38">
        <f>Table2[[#This Row],[Profit]]/Table2[[#This Row],[Total_Sales]]</f>
        <v>0.20355169202111145</v>
      </c>
      <c r="D493" s="30" t="str">
        <f>IF(AND(Table2[[#This Row],[Profit_Margin %]]&gt;20%,Table2[[#This Row],[Total_Sales]]&gt;2000),"Excellent",IF(AND(Table2[[#This Row],[Profit_Margin %]]&gt;=10%,Table2[[#This Row],[Profit_Margin %]]&lt;=20%),"Good","Needs Improvement"))</f>
        <v>Needs Improvement</v>
      </c>
    </row>
    <row r="494" spans="1:4" x14ac:dyDescent="0.25">
      <c r="A494" s="99">
        <f>PRODUCT(Table1[[#This Row],[Quantity]],Table1[[#This Row],[Unit_Price]])</f>
        <v>1008.91</v>
      </c>
      <c r="B494" s="47">
        <v>306.13</v>
      </c>
      <c r="C494" s="38">
        <f>Table2[[#This Row],[Profit]]/Table2[[#This Row],[Total_Sales]]</f>
        <v>0.30342647015095497</v>
      </c>
      <c r="D494" s="30" t="str">
        <f>IF(AND(Table2[[#This Row],[Profit_Margin %]]&gt;20%,Table2[[#This Row],[Total_Sales]]&gt;2000),"Excellent",IF(AND(Table2[[#This Row],[Profit_Margin %]]&gt;=10%,Table2[[#This Row],[Profit_Margin %]]&lt;=20%),"Good","Needs Improvement"))</f>
        <v>Needs Improvement</v>
      </c>
    </row>
    <row r="495" spans="1:4" x14ac:dyDescent="0.25">
      <c r="A495" s="99">
        <f>PRODUCT(Table1[[#This Row],[Quantity]],Table1[[#This Row],[Unit_Price]])</f>
        <v>629.86</v>
      </c>
      <c r="B495" s="47">
        <v>160.78</v>
      </c>
      <c r="C495" s="38">
        <f>Table2[[#This Row],[Profit]]/Table2[[#This Row],[Total_Sales]]</f>
        <v>0.25526307433397899</v>
      </c>
      <c r="D495" s="30" t="str">
        <f>IF(AND(Table2[[#This Row],[Profit_Margin %]]&gt;20%,Table2[[#This Row],[Total_Sales]]&gt;2000),"Excellent",IF(AND(Table2[[#This Row],[Profit_Margin %]]&gt;=10%,Table2[[#This Row],[Profit_Margin %]]&lt;=20%),"Good","Needs Improvement"))</f>
        <v>Needs Improvement</v>
      </c>
    </row>
    <row r="496" spans="1:4" x14ac:dyDescent="0.25">
      <c r="A496" s="99">
        <f>PRODUCT(Table1[[#This Row],[Quantity]],Table1[[#This Row],[Unit_Price]])</f>
        <v>617.31999999999994</v>
      </c>
      <c r="B496" s="47">
        <v>139.06</v>
      </c>
      <c r="C496" s="38">
        <f>Table2[[#This Row],[Profit]]/Table2[[#This Row],[Total_Sales]]</f>
        <v>0.22526404457979657</v>
      </c>
      <c r="D496" s="30" t="str">
        <f>IF(AND(Table2[[#This Row],[Profit_Margin %]]&gt;20%,Table2[[#This Row],[Total_Sales]]&gt;2000),"Excellent",IF(AND(Table2[[#This Row],[Profit_Margin %]]&gt;=10%,Table2[[#This Row],[Profit_Margin %]]&lt;=20%),"Good","Needs Improvement"))</f>
        <v>Needs Improvement</v>
      </c>
    </row>
    <row r="497" spans="1:4" x14ac:dyDescent="0.25">
      <c r="A497" s="99">
        <f>PRODUCT(Table1[[#This Row],[Quantity]],Table1[[#This Row],[Unit_Price]])</f>
        <v>61.76</v>
      </c>
      <c r="B497" s="47">
        <v>7.34</v>
      </c>
      <c r="C497" s="38">
        <f>Table2[[#This Row],[Profit]]/Table2[[#This Row],[Total_Sales]]</f>
        <v>0.11884715025906736</v>
      </c>
      <c r="D497" s="30" t="str">
        <f>IF(AND(Table2[[#This Row],[Profit_Margin %]]&gt;20%,Table2[[#This Row],[Total_Sales]]&gt;2000),"Excellent",IF(AND(Table2[[#This Row],[Profit_Margin %]]&gt;=10%,Table2[[#This Row],[Profit_Margin %]]&lt;=20%),"Good","Needs Improvement"))</f>
        <v>Good</v>
      </c>
    </row>
    <row r="498" spans="1:4" x14ac:dyDescent="0.25">
      <c r="A498" s="99">
        <f>PRODUCT(Table1[[#This Row],[Quantity]],Table1[[#This Row],[Unit_Price]])</f>
        <v>2169.1999999999998</v>
      </c>
      <c r="B498" s="47">
        <v>739.55</v>
      </c>
      <c r="C498" s="38">
        <f>Table2[[#This Row],[Profit]]/Table2[[#This Row],[Total_Sales]]</f>
        <v>0.34093214088143092</v>
      </c>
      <c r="D498" s="30" t="str">
        <f>IF(AND(Table2[[#This Row],[Profit_Margin %]]&gt;20%,Table2[[#This Row],[Total_Sales]]&gt;2000),"Excellent",IF(AND(Table2[[#This Row],[Profit_Margin %]]&gt;=10%,Table2[[#This Row],[Profit_Margin %]]&lt;=20%),"Good","Needs Improvement"))</f>
        <v>Excellent</v>
      </c>
    </row>
    <row r="499" spans="1:4" x14ac:dyDescent="0.25">
      <c r="A499" s="99">
        <f>PRODUCT(Table1[[#This Row],[Quantity]],Table1[[#This Row],[Unit_Price]])</f>
        <v>2230.5</v>
      </c>
      <c r="B499" s="47">
        <v>739.18</v>
      </c>
      <c r="C499" s="38">
        <f>Table2[[#This Row],[Profit]]/Table2[[#This Row],[Total_Sales]]</f>
        <v>0.33139654785922434</v>
      </c>
      <c r="D499" s="30" t="str">
        <f>IF(AND(Table2[[#This Row],[Profit_Margin %]]&gt;20%,Table2[[#This Row],[Total_Sales]]&gt;2000),"Excellent",IF(AND(Table2[[#This Row],[Profit_Margin %]]&gt;=10%,Table2[[#This Row],[Profit_Margin %]]&lt;=20%),"Good","Needs Improvement"))</f>
        <v>Excellent</v>
      </c>
    </row>
    <row r="500" spans="1:4" x14ac:dyDescent="0.25">
      <c r="A500" s="99">
        <f>PRODUCT(Table1[[#This Row],[Quantity]],Table1[[#This Row],[Unit_Price]])</f>
        <v>260.53999999999996</v>
      </c>
      <c r="B500" s="47">
        <v>76.650000000000006</v>
      </c>
      <c r="C500" s="38">
        <f>Table2[[#This Row],[Profit]]/Table2[[#This Row],[Total_Sales]]</f>
        <v>0.29419666845781844</v>
      </c>
      <c r="D500" s="30" t="str">
        <f>IF(AND(Table2[[#This Row],[Profit_Margin %]]&gt;20%,Table2[[#This Row],[Total_Sales]]&gt;2000),"Excellent",IF(AND(Table2[[#This Row],[Profit_Margin %]]&gt;=10%,Table2[[#This Row],[Profit_Margin %]]&lt;=20%),"Good","Needs Improvement"))</f>
        <v>Needs Improvement</v>
      </c>
    </row>
    <row r="501" spans="1:4" x14ac:dyDescent="0.25">
      <c r="A501" s="100">
        <f>PRODUCT(Table1[[#This Row],[Quantity]],Table1[[#This Row],[Unit_Price]])</f>
        <v>172.26999999999998</v>
      </c>
      <c r="B501" s="96">
        <v>54.13</v>
      </c>
      <c r="C501" s="39">
        <f>Table2[[#This Row],[Profit]]/Table2[[#This Row],[Total_Sales]]</f>
        <v>0.31421605619086324</v>
      </c>
      <c r="D501" s="32" t="str">
        <f>IF(AND(Table2[[#This Row],[Profit_Margin %]]&gt;20%,Table2[[#This Row],[Total_Sales]]&gt;2000),"Excellent",IF(AND(Table2[[#This Row],[Profit_Margin %]]&gt;=10%,Table2[[#This Row],[Profit_Margin %]]&lt;=20%),"Good","Needs Improvement"))</f>
        <v>Needs Improvement</v>
      </c>
    </row>
  </sheetData>
  <conditionalFormatting sqref="B1:B501">
    <cfRule type="cellIs" dxfId="46" priority="1" operator="lessThan">
      <formula>0</formula>
    </cfRule>
  </conditionalFormatting>
  <conditionalFormatting sqref="B502:B1048576">
    <cfRule type="cellIs" dxfId="45" priority="2" operator="lessThan">
      <formula>0</formula>
    </cfRule>
  </conditionalFormatting>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FA337A-7D84-4D6C-9261-6552D10146A3}">
  <sheetPr codeName="Sheet8"/>
  <dimension ref="A2:D12"/>
  <sheetViews>
    <sheetView zoomScale="118" workbookViewId="0">
      <selection activeCell="D3" sqref="D3"/>
    </sheetView>
  </sheetViews>
  <sheetFormatPr defaultRowHeight="15" x14ac:dyDescent="0.25"/>
  <cols>
    <col min="1" max="1" width="12" customWidth="1"/>
    <col min="2" max="2" width="45.140625" customWidth="1"/>
    <col min="3" max="3" width="25.140625" customWidth="1"/>
    <col min="4" max="4" width="17.7109375" bestFit="1" customWidth="1"/>
  </cols>
  <sheetData>
    <row r="2" spans="1:4" x14ac:dyDescent="0.25">
      <c r="A2" s="41" t="s">
        <v>655</v>
      </c>
      <c r="B2" s="20" t="s">
        <v>656</v>
      </c>
      <c r="C2" s="20" t="s">
        <v>657</v>
      </c>
      <c r="D2" s="20" t="s">
        <v>704</v>
      </c>
    </row>
    <row r="3" spans="1:4" x14ac:dyDescent="0.25">
      <c r="A3" s="42" t="s">
        <v>659</v>
      </c>
      <c r="B3" s="20" t="str">
        <f>INDEX(Product_Master!$A$15:$F$24,MATCH(Table9[[#This Row],[Product_ID]],Product_Master!$A$15:$A$24,0),MATCH(Table9[[#Headers],[Supplier]],Product_Master!$A$14:$F$14,0))</f>
        <v>AudioTech Ltd.</v>
      </c>
      <c r="C3" s="20" t="str">
        <f>INDEX(Product_Master!$A$15:$F$24,MATCH(Table9[[#This Row],[Product_ID]],Product_Master!$A$15:$A$24,0),MATCH(Table9[[#Headers],[Origin_Country]],Product_Master!$A$14:$F$14,0))</f>
        <v>China</v>
      </c>
      <c r="D3" s="20" t="str">
        <f>IFERROR(VLOOKUP(Table9[[#This Row],[Origin_Country]],Region_Master!$A$11:$D$16,2,0),"Not Found")</f>
        <v>Not Found</v>
      </c>
    </row>
    <row r="4" spans="1:4" x14ac:dyDescent="0.25">
      <c r="A4" s="43" t="s">
        <v>661</v>
      </c>
      <c r="B4" s="20" t="str">
        <f>INDEX(Product_Master!$A$15:$F$24,MATCH(Table9[[#This Row],[Product_ID]],Product_Master!$A$15:$A$24,0),MATCH(Table9[[#Headers],[Supplier]],Product_Master!$A$14:$F$14,0))</f>
        <v>Artisans Co.</v>
      </c>
      <c r="C4" s="20" t="str">
        <f>INDEX(Product_Master!$A$15:$F$24,MATCH(Table9[[#This Row],[Product_ID]],Product_Master!$A$15:$A$24,0),MATCH(Table9[[#Headers],[Origin_Country]],Product_Master!$A$14:$F$14,0))</f>
        <v>India</v>
      </c>
      <c r="D4" s="20" t="str">
        <f>IFERROR(VLOOKUP(Table9[[#This Row],[Origin_Country]],Region_Master!$A$11:$D$16,2,0),"Not Found")</f>
        <v>Not Found</v>
      </c>
    </row>
    <row r="5" spans="1:4" x14ac:dyDescent="0.25">
      <c r="A5" s="42" t="s">
        <v>663</v>
      </c>
      <c r="B5" s="20" t="str">
        <f>INDEX(Product_Master!$A$15:$F$24,MATCH(Table9[[#This Row],[Product_ID]],Product_Master!$A$15:$A$24,0),MATCH(Table9[[#Headers],[Supplier]],Product_Master!$A$14:$F$14,0))</f>
        <v>CraftLine</v>
      </c>
      <c r="C5" s="20" t="str">
        <f>INDEX(Product_Master!$A$15:$F$24,MATCH(Table9[[#This Row],[Product_ID]],Product_Master!$A$15:$A$24,0),MATCH(Table9[[#Headers],[Origin_Country]],Product_Master!$A$14:$F$14,0))</f>
        <v>Italy</v>
      </c>
      <c r="D5" s="20" t="str">
        <f>IFERROR(VLOOKUP(Table9[[#This Row],[Origin_Country]],Region_Master!$A$11:$D$16,2,0),"Not Found")</f>
        <v>Not Found</v>
      </c>
    </row>
    <row r="6" spans="1:4" x14ac:dyDescent="0.25">
      <c r="A6" s="43" t="s">
        <v>665</v>
      </c>
      <c r="B6" s="20" t="str">
        <f>INDEX(Product_Master!$A$15:$F$24,MATCH(Table9[[#This Row],[Product_ID]],Product_Master!$A$15:$A$24,0),MATCH(Table9[[#Headers],[Supplier]],Product_Master!$A$14:$F$14,0))</f>
        <v>BrightHome</v>
      </c>
      <c r="C6" s="20" t="str">
        <f>INDEX(Product_Master!$A$15:$F$24,MATCH(Table9[[#This Row],[Product_ID]],Product_Master!$A$15:$A$24,0),MATCH(Table9[[#Headers],[Origin_Country]],Product_Master!$A$14:$F$14,0))</f>
        <v>Vietnam</v>
      </c>
      <c r="D6" s="20" t="str">
        <f>IFERROR(VLOOKUP(Table9[[#This Row],[Origin_Country]],Region_Master!$A$11:$D$16,2,0),"Not Found")</f>
        <v>Not Found</v>
      </c>
    </row>
    <row r="7" spans="1:4" x14ac:dyDescent="0.25">
      <c r="A7" s="42" t="s">
        <v>668</v>
      </c>
      <c r="B7" s="20" t="str">
        <f>INDEX(Product_Master!$A$15:$F$24,MATCH(Table9[[#This Row],[Product_ID]],Product_Master!$A$15:$A$24,0),MATCH(Table9[[#Headers],[Supplier]],Product_Master!$A$14:$F$14,0))</f>
        <v>SoftWeave</v>
      </c>
      <c r="C7" s="20" t="str">
        <f>INDEX(Product_Master!$A$15:$F$24,MATCH(Table9[[#This Row],[Product_ID]],Product_Master!$A$15:$A$24,0),MATCH(Table9[[#Headers],[Origin_Country]],Product_Master!$A$14:$F$14,0))</f>
        <v>Turkey</v>
      </c>
      <c r="D7" s="20" t="str">
        <f>IFERROR(VLOOKUP(Table9[[#This Row],[Origin_Country]],Region_Master!$A$11:$D$16,2,0),"Not Found")</f>
        <v>Not Found</v>
      </c>
    </row>
    <row r="8" spans="1:4" x14ac:dyDescent="0.25">
      <c r="A8" s="43" t="s">
        <v>671</v>
      </c>
      <c r="B8" s="20" t="str">
        <f>INDEX(Product_Master!$A$15:$F$24,MATCH(Table9[[#This Row],[Product_ID]],Product_Master!$A$15:$A$24,0),MATCH(Table9[[#Headers],[Supplier]],Product_Master!$A$14:$F$14,0))</f>
        <v>ClickTech</v>
      </c>
      <c r="C8" s="20" t="str">
        <f>INDEX(Product_Master!$A$15:$F$24,MATCH(Table9[[#This Row],[Product_ID]],Product_Master!$A$15:$A$24,0),MATCH(Table9[[#Headers],[Origin_Country]],Product_Master!$A$14:$F$14,0))</f>
        <v>China</v>
      </c>
      <c r="D8" s="20" t="str">
        <f>IFERROR(VLOOKUP(Table9[[#This Row],[Origin_Country]],Region_Master!$A$11:$D$16,2,0),"Not Found")</f>
        <v>Not Found</v>
      </c>
    </row>
    <row r="9" spans="1:4" x14ac:dyDescent="0.25">
      <c r="A9" s="42" t="s">
        <v>673</v>
      </c>
      <c r="B9" s="20" t="str">
        <f>INDEX(Product_Master!$A$15:$F$24,MATCH(Table9[[#This Row],[Product_ID]],Product_Master!$A$15:$A$24,0),MATCH(Table9[[#Headers],[Supplier]],Product_Master!$A$14:$F$14,0))</f>
        <v>ClearCraft</v>
      </c>
      <c r="C9" s="20" t="str">
        <f>INDEX(Product_Master!$A$15:$F$24,MATCH(Table9[[#This Row],[Product_ID]],Product_Master!$A$15:$A$24,0),MATCH(Table9[[#Headers],[Origin_Country]],Product_Master!$A$14:$F$14,0))</f>
        <v>India</v>
      </c>
      <c r="D9" s="20" t="str">
        <f>IFERROR(VLOOKUP(Table9[[#This Row],[Origin_Country]],Region_Master!$A$11:$D$16,2,0),"Not Found")</f>
        <v>Not Found</v>
      </c>
    </row>
    <row r="10" spans="1:4" x14ac:dyDescent="0.25">
      <c r="A10" s="43" t="s">
        <v>675</v>
      </c>
      <c r="B10" s="20" t="str">
        <f>INDEX(Product_Master!$A$15:$F$24,MATCH(Table9[[#This Row],[Product_ID]],Product_Master!$A$15:$A$24,0),MATCH(Table9[[#Headers],[Supplier]],Product_Master!$A$14:$F$14,0))</f>
        <v>CarryPro</v>
      </c>
      <c r="C10" s="20" t="str">
        <f>INDEX(Product_Master!$A$15:$F$24,MATCH(Table9[[#This Row],[Product_ID]],Product_Master!$A$15:$A$24,0),MATCH(Table9[[#Headers],[Origin_Country]],Product_Master!$A$14:$F$14,0))</f>
        <v>Vietnam</v>
      </c>
      <c r="D10" s="20" t="str">
        <f>IFERROR(VLOOKUP(Table9[[#This Row],[Origin_Country]],Region_Master!$A$11:$D$16,2,0),"Not Found")</f>
        <v>Not Found</v>
      </c>
    </row>
    <row r="11" spans="1:4" x14ac:dyDescent="0.25">
      <c r="A11" s="42" t="s">
        <v>677</v>
      </c>
      <c r="B11" s="20" t="str">
        <f>INDEX(Product_Master!$A$15:$F$24,MATCH(Table9[[#This Row],[Product_ID]],Product_Master!$A$15:$A$24,0),MATCH(Table9[[#Headers],[Supplier]],Product_Master!$A$14:$F$14,0))</f>
        <v>BrightHome</v>
      </c>
      <c r="C11" s="20" t="str">
        <f>INDEX(Product_Master!$A$15:$F$24,MATCH(Table9[[#This Row],[Product_ID]],Product_Master!$A$15:$A$24,0),MATCH(Table9[[#Headers],[Origin_Country]],Product_Master!$A$14:$F$14,0))</f>
        <v>India</v>
      </c>
      <c r="D11" s="20" t="str">
        <f>IFERROR(VLOOKUP(Table9[[#This Row],[Origin_Country]],Region_Master!$A$11:$D$16,2,0),"Not Found")</f>
        <v>Not Found</v>
      </c>
    </row>
    <row r="12" spans="1:4" x14ac:dyDescent="0.25">
      <c r="A12" s="43" t="s">
        <v>678</v>
      </c>
      <c r="B12" s="20" t="str">
        <f>INDEX(Product_Master!$A$15:$F$24,MATCH(Table9[[#This Row],[Product_ID]],Product_Master!$A$15:$A$24,0),MATCH(Table9[[#Headers],[Supplier]],Product_Master!$A$14:$F$14,0))</f>
        <v>BlueWear</v>
      </c>
      <c r="C12" s="20" t="str">
        <f>INDEX(Product_Master!$A$15:$F$24,MATCH(Table9[[#This Row],[Product_ID]],Product_Master!$A$15:$A$24,0),MATCH(Table9[[#Headers],[Origin_Country]],Product_Master!$A$14:$F$14,0))</f>
        <v>Bangladesh</v>
      </c>
      <c r="D12" s="20" t="str">
        <f>IFERROR(VLOOKUP(Table9[[#This Row],[Origin_Country]],Region_Master!$A$11:$D$16,2,0),"Not Found")</f>
        <v>Not Found</v>
      </c>
    </row>
  </sheetData>
  <phoneticPr fontId="7" type="noConversion"/>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3D4A6A-3300-4A07-B84D-8E403531CAAC}">
  <sheetPr codeName="Sheet9"/>
  <dimension ref="A1:P95"/>
  <sheetViews>
    <sheetView zoomScaleNormal="127" workbookViewId="0">
      <selection activeCell="K25" sqref="K25"/>
    </sheetView>
  </sheetViews>
  <sheetFormatPr defaultRowHeight="15" x14ac:dyDescent="0.25"/>
  <cols>
    <col min="1" max="1" width="13.140625" bestFit="1" customWidth="1"/>
    <col min="2" max="2" width="11.7109375" bestFit="1" customWidth="1"/>
    <col min="3" max="3" width="12.140625" customWidth="1"/>
    <col min="4" max="4" width="15" customWidth="1"/>
    <col min="5" max="5" width="15.28515625" bestFit="1" customWidth="1"/>
    <col min="6" max="6" width="21.140625" bestFit="1" customWidth="1"/>
    <col min="7" max="8" width="17.5703125" bestFit="1" customWidth="1"/>
    <col min="9" max="9" width="16.5703125" bestFit="1" customWidth="1"/>
    <col min="10" max="10" width="16" bestFit="1" customWidth="1"/>
    <col min="11" max="11" width="15.5703125" customWidth="1"/>
    <col min="12" max="12" width="13.85546875" customWidth="1"/>
    <col min="13" max="13" width="13.42578125" customWidth="1"/>
    <col min="14" max="14" width="16" customWidth="1"/>
    <col min="15" max="15" width="10.28515625" bestFit="1" customWidth="1"/>
    <col min="16" max="16" width="16.5703125" bestFit="1" customWidth="1"/>
  </cols>
  <sheetData>
    <row r="1" spans="1:16" x14ac:dyDescent="0.25">
      <c r="A1" s="116" t="s">
        <v>13</v>
      </c>
      <c r="B1" s="120" t="s">
        <v>1084</v>
      </c>
      <c r="C1" s="121"/>
      <c r="D1" s="121"/>
      <c r="E1" s="121"/>
      <c r="F1" s="122"/>
      <c r="G1" s="119" t="s">
        <v>726</v>
      </c>
      <c r="H1" s="20"/>
      <c r="J1" s="119" t="s">
        <v>13</v>
      </c>
      <c r="K1" s="118" t="s">
        <v>1084</v>
      </c>
      <c r="L1" s="118"/>
      <c r="M1" s="118"/>
      <c r="N1" s="118"/>
      <c r="O1" s="118"/>
      <c r="P1" s="119" t="s">
        <v>728</v>
      </c>
    </row>
    <row r="2" spans="1:16" x14ac:dyDescent="0.25">
      <c r="A2" s="117"/>
      <c r="B2" s="46" t="s">
        <v>18</v>
      </c>
      <c r="C2" s="46" t="s">
        <v>44</v>
      </c>
      <c r="D2" s="47" t="s">
        <v>37</v>
      </c>
      <c r="E2" s="47" t="s">
        <v>52</v>
      </c>
      <c r="F2" s="62" t="s">
        <v>57</v>
      </c>
      <c r="G2" s="119"/>
      <c r="H2" s="64"/>
      <c r="I2" s="64"/>
      <c r="J2" s="119"/>
      <c r="K2" s="46" t="s">
        <v>18</v>
      </c>
      <c r="L2" s="46" t="s">
        <v>44</v>
      </c>
      <c r="M2" s="47" t="s">
        <v>37</v>
      </c>
      <c r="N2" s="47" t="s">
        <v>52</v>
      </c>
      <c r="O2" s="1" t="s">
        <v>57</v>
      </c>
      <c r="P2" s="119"/>
    </row>
    <row r="3" spans="1:16" x14ac:dyDescent="0.25">
      <c r="A3" s="1" t="s">
        <v>21</v>
      </c>
      <c r="B3" s="47">
        <f>SUMIFS(Table15[Total_Sales],Table15[Region_Code],'Conditional Aggregation Analysi'!$A3,Table15[Category],'Conditional Aggregation Analysi'!B$2)</f>
        <v>24079.71</v>
      </c>
      <c r="C3" s="47">
        <f>SUMIFS(Table15[Total_Sales],Table15[Region_Code],'Conditional Aggregation Analysi'!$A3,Table15[Category],'Conditional Aggregation Analysi'!C$2)</f>
        <v>9625.9699999999993</v>
      </c>
      <c r="D3" s="47">
        <f>SUMIFS(Table15[Total_Sales],Table15[Region_Code],'Conditional Aggregation Analysi'!$A3,Table15[Category],'Conditional Aggregation Analysi'!D$2)</f>
        <v>22495.010000000002</v>
      </c>
      <c r="E3" s="47">
        <f>SUMIFS(Table15[Total_Sales],Table15[Region_Code],'Conditional Aggregation Analysi'!$A3,Table15[Category],'Conditional Aggregation Analysi'!E$2)</f>
        <v>26924.320000000003</v>
      </c>
      <c r="F3" s="65">
        <f>SUMIFS(Table15[Total_Sales],Table15[Region_Code],'Conditional Aggregation Analysi'!$A3,Table15[Category],'Conditional Aggregation Analysi'!F$2)</f>
        <v>3820.0600000000004</v>
      </c>
      <c r="G3" s="47">
        <f>SUM(B3:F3)</f>
        <v>86945.07</v>
      </c>
      <c r="H3" s="67"/>
      <c r="I3" s="20"/>
      <c r="J3" s="1" t="s">
        <v>21</v>
      </c>
      <c r="K3" s="47">
        <f>SUMIFS(Table15[Profit],Table15[Region_Code],$J3,Table15[Category],K$2)</f>
        <v>6581.57</v>
      </c>
      <c r="L3" s="47">
        <f>SUMIFS(Table15[Profit],Table15[Region_Code],$J3,Table15[Category],L$2)</f>
        <v>3119.2200000000003</v>
      </c>
      <c r="M3" s="47">
        <f>SUMIFS(Table15[Profit],Table15[Region_Code],$J3,Table15[Category],M$2)</f>
        <v>5558.34</v>
      </c>
      <c r="N3" s="47">
        <f>SUMIFS(Table15[Profit],Table15[Region_Code],$J3,Table15[Category],N$2)</f>
        <v>7966.090000000002</v>
      </c>
      <c r="O3" s="47">
        <f>SUMIFS(Table15[Profit],Table15[Region_Code],$J3,Table15[Category],O$2)</f>
        <v>828.0200000000001</v>
      </c>
      <c r="P3" s="47">
        <f>SUM(K3:O3)</f>
        <v>24053.24</v>
      </c>
    </row>
    <row r="4" spans="1:16" x14ac:dyDescent="0.25">
      <c r="A4" s="1" t="s">
        <v>28</v>
      </c>
      <c r="B4" s="47">
        <f>SUMIFS(Table15[Total_Sales],Table15[Region_Code],'Conditional Aggregation Analysi'!$A4,Table15[Category],'Conditional Aggregation Analysi'!B$2)</f>
        <v>30642.080000000002</v>
      </c>
      <c r="C4" s="47">
        <f>SUMIFS(Table15[Total_Sales],Table15[Region_Code],'Conditional Aggregation Analysi'!$A4,Table15[Category],'Conditional Aggregation Analysi'!C$2)</f>
        <v>11433.35</v>
      </c>
      <c r="D4" s="47">
        <f>SUMIFS(Table15[Total_Sales],Table15[Region_Code],'Conditional Aggregation Analysi'!$A4,Table15[Category],'Conditional Aggregation Analysi'!D$2)</f>
        <v>25086.150000000005</v>
      </c>
      <c r="E4" s="47">
        <f>SUMIFS(Table15[Total_Sales],Table15[Region_Code],'Conditional Aggregation Analysi'!$A4,Table15[Category],'Conditional Aggregation Analysi'!E$2)</f>
        <v>33685.94</v>
      </c>
      <c r="F4" s="65">
        <f>SUMIFS(Table15[Total_Sales],Table15[Region_Code],'Conditional Aggregation Analysi'!$A4,Table15[Category],'Conditional Aggregation Analysi'!F$2)</f>
        <v>14367.099999999999</v>
      </c>
      <c r="G4" s="47">
        <f>SUM(B4:F4)</f>
        <v>115214.62</v>
      </c>
      <c r="H4" s="67"/>
      <c r="I4" s="20"/>
      <c r="J4" s="1" t="s">
        <v>28</v>
      </c>
      <c r="K4" s="47">
        <f>SUMIFS(Table15[Profit],Table15[Region_Code],$J4,Table15[Category],K$2)</f>
        <v>8020.6899999999987</v>
      </c>
      <c r="L4" s="47">
        <f>SUMIFS(Table15[Profit],Table15[Region_Code],$J4,Table15[Category],L$2)</f>
        <v>3735.35</v>
      </c>
      <c r="M4" s="47">
        <f>SUMIFS(Table15[Profit],Table15[Region_Code],$J4,Table15[Category],M$2)</f>
        <v>7458.03</v>
      </c>
      <c r="N4" s="47">
        <f>SUMIFS(Table15[Profit],Table15[Region_Code],$J4,Table15[Category],N$2)</f>
        <v>9028.2000000000007</v>
      </c>
      <c r="O4" s="47">
        <f>SUMIFS(Table15[Profit],Table15[Region_Code],$J4,Table15[Category],O$2)</f>
        <v>3892.48</v>
      </c>
      <c r="P4" s="47">
        <f t="shared" ref="P4:P8" si="0">SUM(K4:O4)</f>
        <v>32134.75</v>
      </c>
    </row>
    <row r="5" spans="1:16" x14ac:dyDescent="0.25">
      <c r="A5" s="1" t="s">
        <v>58</v>
      </c>
      <c r="B5" s="47">
        <f>SUMIFS(Table15[Total_Sales],Table15[Region_Code],'Conditional Aggregation Analysi'!$A5,Table15[Category],'Conditional Aggregation Analysi'!B$2)</f>
        <v>33225.64</v>
      </c>
      <c r="C5" s="47">
        <f>SUMIFS(Table15[Total_Sales],Table15[Region_Code],'Conditional Aggregation Analysi'!$A5,Table15[Category],'Conditional Aggregation Analysi'!C$2)</f>
        <v>30263.43</v>
      </c>
      <c r="D5" s="47">
        <f>SUMIFS(Table15[Total_Sales],Table15[Region_Code],'Conditional Aggregation Analysi'!$A5,Table15[Category],'Conditional Aggregation Analysi'!D$2)</f>
        <v>34174.130000000005</v>
      </c>
      <c r="E5" s="47">
        <f>SUMIFS(Table15[Total_Sales],Table15[Region_Code],'Conditional Aggregation Analysi'!$A5,Table15[Category],'Conditional Aggregation Analysi'!E$2)</f>
        <v>51860.89</v>
      </c>
      <c r="F5" s="65">
        <f>SUMIFS(Table15[Total_Sales],Table15[Region_Code],'Conditional Aggregation Analysi'!$A5,Table15[Category],'Conditional Aggregation Analysi'!F$2)</f>
        <v>21644.31</v>
      </c>
      <c r="G5" s="47">
        <f t="shared" ref="G5:G8" si="1">SUM(B5:F5)</f>
        <v>171168.40000000002</v>
      </c>
      <c r="H5" s="67"/>
      <c r="I5" s="20"/>
      <c r="J5" s="1" t="s">
        <v>58</v>
      </c>
      <c r="K5" s="47">
        <f>SUMIFS(Table15[Profit],Table15[Region_Code],$J5,Table15[Category],K$2)</f>
        <v>9628.14</v>
      </c>
      <c r="L5" s="47">
        <f>SUMIFS(Table15[Profit],Table15[Region_Code],$J5,Table15[Category],L$2)</f>
        <v>8316.67</v>
      </c>
      <c r="M5" s="47">
        <f>SUMIFS(Table15[Profit],Table15[Region_Code],$J5,Table15[Category],M$2)</f>
        <v>9565.6799999999985</v>
      </c>
      <c r="N5" s="47">
        <f>SUMIFS(Table15[Profit],Table15[Region_Code],$J5,Table15[Category],N$2)</f>
        <v>14439.739999999996</v>
      </c>
      <c r="O5" s="47">
        <f>SUMIFS(Table15[Profit],Table15[Region_Code],$J5,Table15[Category],O$2)</f>
        <v>5965.63</v>
      </c>
      <c r="P5" s="47">
        <f t="shared" si="0"/>
        <v>47915.859999999993</v>
      </c>
    </row>
    <row r="6" spans="1:16" x14ac:dyDescent="0.25">
      <c r="A6" s="1" t="s">
        <v>87</v>
      </c>
      <c r="B6" s="47">
        <f>SUMIFS(Table15[Total_Sales],Table15[Region_Code],'Conditional Aggregation Analysi'!$A6,Table15[Category],'Conditional Aggregation Analysi'!B$2)</f>
        <v>6956.41</v>
      </c>
      <c r="C6" s="47">
        <f>SUMIFS(Table15[Total_Sales],Table15[Region_Code],'Conditional Aggregation Analysi'!$A6,Table15[Category],'Conditional Aggregation Analysi'!C$2)</f>
        <v>6721.25</v>
      </c>
      <c r="D6" s="47">
        <f>SUMIFS(Table15[Total_Sales],Table15[Region_Code],'Conditional Aggregation Analysi'!$A6,Table15[Category],'Conditional Aggregation Analysi'!D$2)</f>
        <v>7452.9400000000005</v>
      </c>
      <c r="E6" s="47">
        <f>SUMIFS(Table15[Total_Sales],Table15[Region_Code],'Conditional Aggregation Analysi'!$A6,Table15[Category],'Conditional Aggregation Analysi'!E$2)</f>
        <v>8364.44</v>
      </c>
      <c r="F6" s="65">
        <f>SUMIFS(Table15[Total_Sales],Table15[Region_Code],'Conditional Aggregation Analysi'!$A6,Table15[Category],'Conditional Aggregation Analysi'!F$2)</f>
        <v>0</v>
      </c>
      <c r="G6" s="47">
        <f t="shared" si="1"/>
        <v>29495.040000000001</v>
      </c>
      <c r="H6" s="67"/>
      <c r="I6" s="20"/>
      <c r="J6" s="1" t="s">
        <v>87</v>
      </c>
      <c r="K6" s="47">
        <f>SUMIFS(Table15[Profit],Table15[Region_Code],$J6,Table15[Category],K$2)</f>
        <v>1989.71</v>
      </c>
      <c r="L6" s="47">
        <f>SUMIFS(Table15[Profit],Table15[Region_Code],$J6,Table15[Category],L$2)</f>
        <v>2149.62</v>
      </c>
      <c r="M6" s="47">
        <f>SUMIFS(Table15[Profit],Table15[Region_Code],$J6,Table15[Category],M$2)</f>
        <v>2392.4</v>
      </c>
      <c r="N6" s="47">
        <f>SUMIFS(Table15[Profit],Table15[Region_Code],$J6,Table15[Category],N$2)</f>
        <v>2435.5899999999997</v>
      </c>
      <c r="O6" s="47">
        <f>SUMIFS(Table15[Profit],Table15[Region_Code],$J6,Table15[Category],O$2)</f>
        <v>0</v>
      </c>
      <c r="P6" s="47">
        <f t="shared" si="0"/>
        <v>8967.32</v>
      </c>
    </row>
    <row r="7" spans="1:16" x14ac:dyDescent="0.25">
      <c r="A7" s="1" t="s">
        <v>39</v>
      </c>
      <c r="B7" s="47">
        <f>SUMIFS(Table15[Total_Sales],Table15[Region_Code],'Conditional Aggregation Analysi'!$A7,Table15[Category],'Conditional Aggregation Analysi'!B$2)</f>
        <v>8480.99</v>
      </c>
      <c r="C7" s="47">
        <f>SUMIFS(Table15[Total_Sales],Table15[Region_Code],'Conditional Aggregation Analysi'!$A7,Table15[Category],'Conditional Aggregation Analysi'!C$2)</f>
        <v>2134.23</v>
      </c>
      <c r="D7" s="47">
        <f>SUMIFS(Table15[Total_Sales],Table15[Region_Code],'Conditional Aggregation Analysi'!$A7,Table15[Category],'Conditional Aggregation Analysi'!D$2)</f>
        <v>16927.670000000002</v>
      </c>
      <c r="E7" s="47">
        <f>SUMIFS(Table15[Total_Sales],Table15[Region_Code],'Conditional Aggregation Analysi'!$A7,Table15[Category],'Conditional Aggregation Analysi'!E$2)</f>
        <v>2088.92</v>
      </c>
      <c r="F7" s="65">
        <f>SUMIFS(Table15[Total_Sales],Table15[Region_Code],'Conditional Aggregation Analysi'!$A7,Table15[Category],'Conditional Aggregation Analysi'!F$2)</f>
        <v>5232.2199999999993</v>
      </c>
      <c r="G7" s="47">
        <f t="shared" si="1"/>
        <v>34864.03</v>
      </c>
      <c r="H7" s="67"/>
      <c r="I7" s="20"/>
      <c r="J7" s="1" t="s">
        <v>39</v>
      </c>
      <c r="K7" s="47">
        <f>SUMIFS(Table15[Profit],Table15[Region_Code],$J7,Table15[Category],K$2)</f>
        <v>2878.44</v>
      </c>
      <c r="L7" s="47">
        <f>SUMIFS(Table15[Profit],Table15[Region_Code],$J7,Table15[Category],L$2)</f>
        <v>416.33</v>
      </c>
      <c r="M7" s="47">
        <f>SUMIFS(Table15[Profit],Table15[Region_Code],$J7,Table15[Category],M$2)</f>
        <v>4721.5000000000009</v>
      </c>
      <c r="N7" s="47">
        <f>SUMIFS(Table15[Profit],Table15[Region_Code],$J7,Table15[Category],N$2)</f>
        <v>451.49</v>
      </c>
      <c r="O7" s="47">
        <f>SUMIFS(Table15[Profit],Table15[Region_Code],$J7,Table15[Category],O$2)</f>
        <v>1868.77</v>
      </c>
      <c r="P7" s="47">
        <f t="shared" si="0"/>
        <v>10336.530000000001</v>
      </c>
    </row>
    <row r="8" spans="1:16" x14ac:dyDescent="0.25">
      <c r="A8" s="1" t="s">
        <v>130</v>
      </c>
      <c r="B8" s="47">
        <f>SUMIFS(Table15[Total_Sales],Table15[Region_Code],'Conditional Aggregation Analysi'!$A8,Table15[Category],'Conditional Aggregation Analysi'!B$2)</f>
        <v>6810.06</v>
      </c>
      <c r="C8" s="47">
        <f>SUMIFS(Table15[Total_Sales],Table15[Region_Code],'Conditional Aggregation Analysi'!$A8,Table15[Category],'Conditional Aggregation Analysi'!C$2)</f>
        <v>12174.14</v>
      </c>
      <c r="D8" s="47">
        <f>SUMIFS(Table15[Total_Sales],Table15[Region_Code],'Conditional Aggregation Analysi'!$A8,Table15[Category],'Conditional Aggregation Analysi'!D$2)</f>
        <v>8892.01</v>
      </c>
      <c r="E8" s="47">
        <f>SUMIFS(Table15[Total_Sales],Table15[Region_Code],'Conditional Aggregation Analysi'!$A8,Table15[Category],'Conditional Aggregation Analysi'!E$2)</f>
        <v>6972.93</v>
      </c>
      <c r="F8" s="65">
        <f>SUMIFS(Table15[Total_Sales],Table15[Region_Code],'Conditional Aggregation Analysi'!$A8,Table15[Category],'Conditional Aggregation Analysi'!F$2)</f>
        <v>2168.3200000000002</v>
      </c>
      <c r="G8" s="47">
        <f t="shared" si="1"/>
        <v>37017.46</v>
      </c>
      <c r="H8" s="67"/>
      <c r="I8" s="20"/>
      <c r="J8" s="1" t="s">
        <v>130</v>
      </c>
      <c r="K8" s="47">
        <f>SUMIFS(Table15[Profit],Table15[Region_Code],$J8,Table15[Category],K$2)</f>
        <v>1578.49</v>
      </c>
      <c r="L8" s="47">
        <f>SUMIFS(Table15[Profit],Table15[Region_Code],$J8,Table15[Category],L$2)</f>
        <v>3656.58</v>
      </c>
      <c r="M8" s="47">
        <f>SUMIFS(Table15[Profit],Table15[Region_Code],$J8,Table15[Category],M$2)</f>
        <v>2126.5400000000004</v>
      </c>
      <c r="N8" s="47">
        <f>SUMIFS(Table15[Profit],Table15[Region_Code],$J8,Table15[Category],N$2)</f>
        <v>2156.23</v>
      </c>
      <c r="O8" s="47">
        <f>SUMIFS(Table15[Profit],Table15[Region_Code],$J8,Table15[Category],O$2)</f>
        <v>644.86</v>
      </c>
      <c r="P8" s="47">
        <f t="shared" si="0"/>
        <v>10162.700000000001</v>
      </c>
    </row>
    <row r="9" spans="1:16" x14ac:dyDescent="0.25">
      <c r="A9" s="20"/>
    </row>
    <row r="10" spans="1:16" x14ac:dyDescent="0.25">
      <c r="A10" s="119" t="s">
        <v>13</v>
      </c>
      <c r="B10" s="118" t="s">
        <v>1085</v>
      </c>
      <c r="C10" s="118"/>
      <c r="D10" s="118"/>
      <c r="E10" s="118"/>
      <c r="F10" s="118"/>
      <c r="G10" s="119" t="s">
        <v>727</v>
      </c>
      <c r="H10" s="20"/>
      <c r="J10" s="119" t="s">
        <v>13</v>
      </c>
      <c r="K10" s="118" t="s">
        <v>1085</v>
      </c>
      <c r="L10" s="118"/>
      <c r="M10" s="118"/>
      <c r="N10" s="118"/>
      <c r="O10" s="118"/>
      <c r="P10" s="119" t="s">
        <v>729</v>
      </c>
    </row>
    <row r="11" spans="1:16" x14ac:dyDescent="0.25">
      <c r="A11" s="119"/>
      <c r="B11" s="46" t="s">
        <v>18</v>
      </c>
      <c r="C11" s="46" t="s">
        <v>44</v>
      </c>
      <c r="D11" s="47" t="s">
        <v>37</v>
      </c>
      <c r="E11" s="47" t="s">
        <v>52</v>
      </c>
      <c r="F11" s="1" t="s">
        <v>57</v>
      </c>
      <c r="G11" s="119"/>
      <c r="H11" s="64"/>
      <c r="J11" s="119"/>
      <c r="K11" s="46" t="s">
        <v>18</v>
      </c>
      <c r="L11" s="46" t="s">
        <v>44</v>
      </c>
      <c r="M11" s="47" t="s">
        <v>37</v>
      </c>
      <c r="N11" s="47" t="s">
        <v>52</v>
      </c>
      <c r="O11" s="1" t="s">
        <v>57</v>
      </c>
      <c r="P11" s="119"/>
    </row>
    <row r="12" spans="1:16" x14ac:dyDescent="0.25">
      <c r="A12" s="1" t="s">
        <v>21</v>
      </c>
      <c r="B12" s="47">
        <f>AVERAGEIFS(Table15[Total_Sales],Table15[Region_Code],$A12,Table15[Category],B$11)</f>
        <v>1203.9855</v>
      </c>
      <c r="C12" s="47">
        <f>AVERAGEIFS(Table15[Total_Sales],Table15[Region_Code],$A12,Table15[Category],C$11)</f>
        <v>1925.194</v>
      </c>
      <c r="D12" s="47">
        <f>AVERAGEIFS(Table15[Total_Sales],Table15[Region_Code],$A12,Table15[Category],D$11)</f>
        <v>775.69</v>
      </c>
      <c r="E12" s="47">
        <f>AVERAGEIFS(Table15[Total_Sales],Table15[Region_Code],$A12,Table15[Category],E$11)</f>
        <v>997.19703703703715</v>
      </c>
      <c r="F12" s="47">
        <f>IFERROR(AVERAGEIFS(Table15[Total_Sales],Table15[Region_Code],$A12,Table15[Category],F$11),"N/A")</f>
        <v>636.67666666666673</v>
      </c>
      <c r="G12" s="47">
        <f t="shared" ref="G12:G17" si="2">AVERAGE(B12:F12)</f>
        <v>1107.7486407407407</v>
      </c>
      <c r="H12" s="67"/>
      <c r="J12" s="1" t="s">
        <v>21</v>
      </c>
      <c r="K12" s="47">
        <f>AVERAGEIFS(Table15[Profit],Table15[Region_Code],$J12,Table15[Category],K$11)</f>
        <v>329.07849999999996</v>
      </c>
      <c r="L12" s="47">
        <f>AVERAGEIFS(Table15[Profit],Table15[Region_Code],$J12,Table15[Category],L$11)</f>
        <v>623.84400000000005</v>
      </c>
      <c r="M12" s="47">
        <f>AVERAGEIFS(Table15[Profit],Table15[Region_Code],$J12,Table15[Category],M$11)</f>
        <v>191.66689655172414</v>
      </c>
      <c r="N12" s="47">
        <f>AVERAGEIFS(Table15[Profit],Table15[Region_Code],$J12,Table15[Category],N$11)</f>
        <v>295.04037037037045</v>
      </c>
      <c r="O12" s="47">
        <f>IFERROR(AVERAGEIFS(Table15[Profit],Table15[Region_Code],$J12,Table15[Category],O$11),"N/A")</f>
        <v>138.00333333333336</v>
      </c>
      <c r="P12" s="47">
        <f>AVERAGE(K12:O12)</f>
        <v>315.52662005108562</v>
      </c>
    </row>
    <row r="13" spans="1:16" x14ac:dyDescent="0.25">
      <c r="A13" s="1" t="s">
        <v>28</v>
      </c>
      <c r="B13" s="47">
        <f>AVERAGEIFS(Table15[Total_Sales],Table15[Region_Code],$A13,Table15[Category],B$11)</f>
        <v>1056.6234482758621</v>
      </c>
      <c r="C13" s="47">
        <f>AVERAGEIFS(Table15[Total_Sales],Table15[Region_Code],$A13,Table15[Category],C$11)</f>
        <v>1270.3722222222223</v>
      </c>
      <c r="D13" s="47">
        <f>AVERAGEIFS(Table15[Total_Sales],Table15[Region_Code],$A13,Table15[Category],D$11)</f>
        <v>696.83750000000009</v>
      </c>
      <c r="E13" s="47">
        <f>AVERAGEIFS(Table15[Total_Sales],Table15[Region_Code],$A13,Table15[Category],E$11)</f>
        <v>765.58954545454549</v>
      </c>
      <c r="F13" s="47">
        <f>IFERROR(AVERAGEIFS(Table15[Total_Sales],Table15[Region_Code],$A13,Table15[Category],F$11),"N/A")</f>
        <v>897.94374999999991</v>
      </c>
      <c r="G13" s="47">
        <f t="shared" si="2"/>
        <v>937.47329319052585</v>
      </c>
      <c r="H13" s="67"/>
      <c r="J13" s="1" t="s">
        <v>28</v>
      </c>
      <c r="K13" s="47">
        <f>AVERAGEIFS(Table15[Profit],Table15[Region_Code],$J13,Table15[Category],K$11)</f>
        <v>276.57551724137926</v>
      </c>
      <c r="L13" s="47">
        <f>AVERAGEIFS(Table15[Profit],Table15[Region_Code],$J13,Table15[Category],L$11)</f>
        <v>415.03888888888889</v>
      </c>
      <c r="M13" s="47">
        <f>AVERAGEIFS(Table15[Profit],Table15[Region_Code],$J13,Table15[Category],M$11)</f>
        <v>207.16749999999999</v>
      </c>
      <c r="N13" s="47">
        <f>AVERAGEIFS(Table15[Profit],Table15[Region_Code],$J13,Table15[Category],N$11)</f>
        <v>205.18636363636367</v>
      </c>
      <c r="O13" s="47">
        <f>IFERROR(AVERAGEIFS(Table15[Profit],Table15[Region_Code],$J13,Table15[Category],O$11),"N/A")</f>
        <v>243.28</v>
      </c>
      <c r="P13" s="47">
        <f t="shared" ref="P13:P17" si="3">AVERAGE(K13:O13)</f>
        <v>269.44965395332639</v>
      </c>
    </row>
    <row r="14" spans="1:16" x14ac:dyDescent="0.25">
      <c r="A14" s="1" t="s">
        <v>58</v>
      </c>
      <c r="B14" s="47">
        <f>AVERAGEIFS(Table15[Total_Sales],Table15[Region_Code],$A14,Table15[Category],B$11)</f>
        <v>977.22470588235296</v>
      </c>
      <c r="C14" s="47">
        <f>AVERAGEIFS(Table15[Total_Sales],Table15[Region_Code],$A14,Table15[Category],C$11)</f>
        <v>1375.6104545454546</v>
      </c>
      <c r="D14" s="47">
        <f>AVERAGEIFS(Table15[Total_Sales],Table15[Region_Code],$A14,Table15[Category],D$11)</f>
        <v>876.25974358974372</v>
      </c>
      <c r="E14" s="47">
        <f>AVERAGEIFS(Table15[Total_Sales],Table15[Region_Code],$A14,Table15[Category],E$11)</f>
        <v>894.15327586206899</v>
      </c>
      <c r="F14" s="47">
        <f>IFERROR(AVERAGEIFS(Table15[Total_Sales],Table15[Region_Code],$A14,Table15[Category],F$11),"N/A")</f>
        <v>832.47346153846161</v>
      </c>
      <c r="G14" s="47">
        <f t="shared" si="2"/>
        <v>991.14432828361646</v>
      </c>
      <c r="H14" s="67"/>
      <c r="J14" s="1" t="s">
        <v>58</v>
      </c>
      <c r="K14" s="47">
        <f>AVERAGEIFS(Table15[Profit],Table15[Region_Code],$J14,Table15[Category],K$11)</f>
        <v>283.18058823529412</v>
      </c>
      <c r="L14" s="47">
        <f>AVERAGEIFS(Table15[Profit],Table15[Region_Code],$J14,Table15[Category],L$11)</f>
        <v>378.03045454545457</v>
      </c>
      <c r="M14" s="47">
        <f>AVERAGEIFS(Table15[Profit],Table15[Region_Code],$J14,Table15[Category],M$11)</f>
        <v>245.27384615384611</v>
      </c>
      <c r="N14" s="47">
        <f>AVERAGEIFS(Table15[Profit],Table15[Region_Code],$J14,Table15[Category],N$11)</f>
        <v>248.96103448275855</v>
      </c>
      <c r="O14" s="47">
        <f>IFERROR(AVERAGEIFS(Table15[Profit],Table15[Region_Code],$J14,Table15[Category],O$11),"N/A")</f>
        <v>229.4473076923077</v>
      </c>
      <c r="P14" s="47">
        <f t="shared" si="3"/>
        <v>276.97864622193219</v>
      </c>
    </row>
    <row r="15" spans="1:16" x14ac:dyDescent="0.25">
      <c r="A15" s="1" t="s">
        <v>87</v>
      </c>
      <c r="B15" s="47">
        <f>AVERAGEIFS(Table15[Total_Sales],Table15[Region_Code],$A15,Table15[Category],B$11)</f>
        <v>869.55124999999998</v>
      </c>
      <c r="C15" s="47">
        <f>AVERAGEIFS(Table15[Total_Sales],Table15[Region_Code],$A15,Table15[Category],C$11)</f>
        <v>1680.3125</v>
      </c>
      <c r="D15" s="47">
        <f>AVERAGEIFS(Table15[Total_Sales],Table15[Region_Code],$A15,Table15[Category],D$11)</f>
        <v>745.2940000000001</v>
      </c>
      <c r="E15" s="47">
        <f>AVERAGEIFS(Table15[Total_Sales],Table15[Region_Code],$A15,Table15[Category],E$11)</f>
        <v>760.40363636363645</v>
      </c>
      <c r="F15" s="47">
        <f>IFERROR(AVERAGEIFS(Table15[Total_Sales],Table15[Region_Code],$A15,Table15[Category],F$11),0)</f>
        <v>0</v>
      </c>
      <c r="G15" s="47">
        <f t="shared" si="2"/>
        <v>811.1122772727274</v>
      </c>
      <c r="H15" s="67"/>
      <c r="J15" s="1" t="s">
        <v>87</v>
      </c>
      <c r="K15" s="47">
        <f>AVERAGEIFS(Table15[Profit],Table15[Region_Code],$J15,Table15[Category],K$11)</f>
        <v>248.71375</v>
      </c>
      <c r="L15" s="47">
        <f>AVERAGEIFS(Table15[Profit],Table15[Region_Code],$J15,Table15[Category],L$11)</f>
        <v>537.40499999999997</v>
      </c>
      <c r="M15" s="47">
        <f>AVERAGEIFS(Table15[Profit],Table15[Region_Code],$J15,Table15[Category],M$11)</f>
        <v>239.24</v>
      </c>
      <c r="N15" s="47">
        <f>AVERAGEIFS(Table15[Profit],Table15[Region_Code],$J15,Table15[Category],N$11)</f>
        <v>221.41727272727269</v>
      </c>
      <c r="O15" s="47">
        <f>IFERROR(AVERAGEIFS(Table15[Profit],Table15[Region_Code],$J15,Table15[Category],O$11),0)</f>
        <v>0</v>
      </c>
      <c r="P15" s="47">
        <f t="shared" si="3"/>
        <v>249.35520454545448</v>
      </c>
    </row>
    <row r="16" spans="1:16" x14ac:dyDescent="0.25">
      <c r="A16" s="1" t="s">
        <v>39</v>
      </c>
      <c r="B16" s="47">
        <f>AVERAGEIFS(Table15[Total_Sales],Table15[Region_Code],$A16,Table15[Category],B$11)</f>
        <v>1696.1979999999999</v>
      </c>
      <c r="C16" s="47">
        <f>AVERAGEIFS(Table15[Total_Sales],Table15[Region_Code],$A16,Table15[Category],C$11)</f>
        <v>1067.115</v>
      </c>
      <c r="D16" s="47">
        <f>AVERAGEIFS(Table15[Total_Sales],Table15[Region_Code],$A16,Table15[Category],D$11)</f>
        <v>890.93000000000006</v>
      </c>
      <c r="E16" s="47">
        <f>AVERAGEIFS(Table15[Total_Sales],Table15[Region_Code],$A16,Table15[Category],E$11)</f>
        <v>522.23</v>
      </c>
      <c r="F16" s="47">
        <f>IFERROR(AVERAGEIFS(Table15[Total_Sales],Table15[Region_Code],$A16,Table15[Category],F$11),"N/A")</f>
        <v>1046.444</v>
      </c>
      <c r="G16" s="47">
        <f t="shared" si="2"/>
        <v>1044.5834</v>
      </c>
      <c r="H16" s="67"/>
      <c r="J16" s="1" t="s">
        <v>39</v>
      </c>
      <c r="K16" s="47">
        <f>AVERAGEIFS(Table15[Profit],Table15[Region_Code],$J16,Table15[Category],K$11)</f>
        <v>575.68799999999999</v>
      </c>
      <c r="L16" s="47">
        <f>AVERAGEIFS(Table15[Profit],Table15[Region_Code],$J16,Table15[Category],L$11)</f>
        <v>208.16499999999999</v>
      </c>
      <c r="M16" s="47">
        <f>AVERAGEIFS(Table15[Profit],Table15[Region_Code],$J16,Table15[Category],M$11)</f>
        <v>248.50000000000006</v>
      </c>
      <c r="N16" s="47">
        <f>AVERAGEIFS(Table15[Profit],Table15[Region_Code],$J16,Table15[Category],N$11)</f>
        <v>112.8725</v>
      </c>
      <c r="O16" s="47">
        <f>IFERROR(AVERAGEIFS(Table15[Profit],Table15[Region_Code],$J16,Table15[Category],O$11),"N/A")</f>
        <v>373.75400000000002</v>
      </c>
      <c r="P16" s="47">
        <f t="shared" si="3"/>
        <v>303.79589999999996</v>
      </c>
    </row>
    <row r="17" spans="1:16" x14ac:dyDescent="0.25">
      <c r="A17" s="1" t="s">
        <v>130</v>
      </c>
      <c r="B17" s="47">
        <f>AVERAGEIFS(Table15[Total_Sales],Table15[Region_Code],$A17,Table15[Category],B$11)</f>
        <v>1135.01</v>
      </c>
      <c r="C17" s="47">
        <f>AVERAGEIFS(Table15[Total_Sales],Table15[Region_Code],$A17,Table15[Category],C$11)</f>
        <v>2434.828</v>
      </c>
      <c r="D17" s="47">
        <f>AVERAGEIFS(Table15[Total_Sales],Table15[Region_Code],$A17,Table15[Category],D$11)</f>
        <v>889.20100000000002</v>
      </c>
      <c r="E17" s="47">
        <f>AVERAGEIFS(Table15[Total_Sales],Table15[Region_Code],$A17,Table15[Category],E$11)</f>
        <v>774.77</v>
      </c>
      <c r="F17" s="47">
        <f>IFERROR(AVERAGEIFS(Table15[Total_Sales],Table15[Region_Code],$A17,Table15[Category],F$11),"N/A")</f>
        <v>1084.1600000000001</v>
      </c>
      <c r="G17" s="47">
        <f t="shared" si="2"/>
        <v>1263.5937999999999</v>
      </c>
      <c r="H17" s="67"/>
      <c r="J17" s="1" t="s">
        <v>130</v>
      </c>
      <c r="K17" s="47">
        <f>AVERAGEIFS(Table15[Profit],Table15[Region_Code],$J17,Table15[Category],K$11)</f>
        <v>263.08166666666665</v>
      </c>
      <c r="L17" s="47">
        <f>AVERAGEIFS(Table15[Profit],Table15[Region_Code],$J17,Table15[Category],L$11)</f>
        <v>731.31600000000003</v>
      </c>
      <c r="M17" s="47">
        <f>AVERAGEIFS(Table15[Profit],Table15[Region_Code],$J17,Table15[Category],M$11)</f>
        <v>212.65400000000005</v>
      </c>
      <c r="N17" s="47">
        <f>AVERAGEIFS(Table15[Profit],Table15[Region_Code],$J17,Table15[Category],N$11)</f>
        <v>239.58111111111111</v>
      </c>
      <c r="O17" s="47">
        <f>IFERROR(AVERAGEIFS(Table15[Profit],Table15[Region_Code],$J17,Table15[Category],O$11),"N/A")</f>
        <v>322.43</v>
      </c>
      <c r="P17" s="47">
        <f t="shared" si="3"/>
        <v>353.8125555555556</v>
      </c>
    </row>
    <row r="18" spans="1:16" x14ac:dyDescent="0.25">
      <c r="A18" s="20"/>
    </row>
    <row r="20" spans="1:16" ht="18.75" x14ac:dyDescent="0.3">
      <c r="E20" s="20"/>
      <c r="G20" s="123" t="s">
        <v>1057</v>
      </c>
      <c r="H20" s="121"/>
      <c r="I20" s="121"/>
      <c r="J20" s="122"/>
    </row>
    <row r="21" spans="1:16" ht="15.75" x14ac:dyDescent="0.25">
      <c r="E21" s="66"/>
      <c r="G21" s="102" t="s">
        <v>1056</v>
      </c>
      <c r="H21" s="102" t="s">
        <v>1055</v>
      </c>
      <c r="I21" s="102" t="s">
        <v>1058</v>
      </c>
      <c r="J21" s="103" t="s">
        <v>729</v>
      </c>
    </row>
    <row r="22" spans="1:16" x14ac:dyDescent="0.25">
      <c r="G22" s="47">
        <f>SUM(G3:G8)</f>
        <v>474704.62000000005</v>
      </c>
      <c r="H22" s="47">
        <f>SUM(P3:P8)</f>
        <v>133570.40000000002</v>
      </c>
      <c r="I22" s="47">
        <f>SUM(G12:G17)</f>
        <v>6155.6557394876099</v>
      </c>
      <c r="J22" s="47">
        <f>SUM(P12:P17)</f>
        <v>1768.9185803273544</v>
      </c>
    </row>
    <row r="23" spans="1:16" x14ac:dyDescent="0.25">
      <c r="H23" s="20"/>
    </row>
    <row r="24" spans="1:16" x14ac:dyDescent="0.25">
      <c r="H24" s="67"/>
      <c r="J24" s="20"/>
      <c r="K24" s="2"/>
    </row>
    <row r="25" spans="1:16" x14ac:dyDescent="0.25">
      <c r="E25" s="20"/>
      <c r="F25" s="20"/>
      <c r="G25" s="20"/>
      <c r="H25" s="20"/>
      <c r="I25" s="20"/>
      <c r="J25" s="20"/>
    </row>
    <row r="26" spans="1:16" x14ac:dyDescent="0.25">
      <c r="E26" s="20"/>
      <c r="F26" s="20"/>
      <c r="G26" s="20"/>
      <c r="H26" s="20"/>
    </row>
    <row r="27" spans="1:16" x14ac:dyDescent="0.25">
      <c r="A27" s="20"/>
    </row>
    <row r="28" spans="1:16" x14ac:dyDescent="0.25">
      <c r="A28" s="20"/>
    </row>
    <row r="29" spans="1:16" x14ac:dyDescent="0.25">
      <c r="A29" s="20"/>
    </row>
    <row r="30" spans="1:16" x14ac:dyDescent="0.25">
      <c r="A30" s="20"/>
    </row>
    <row r="31" spans="1:16" x14ac:dyDescent="0.25">
      <c r="A31" s="20"/>
    </row>
    <row r="32" spans="1:16" x14ac:dyDescent="0.25">
      <c r="A32" s="20"/>
    </row>
    <row r="33" spans="1:1" x14ac:dyDescent="0.25">
      <c r="A33" s="20"/>
    </row>
    <row r="34" spans="1:1" x14ac:dyDescent="0.25">
      <c r="A34" s="20"/>
    </row>
    <row r="35" spans="1:1" x14ac:dyDescent="0.25">
      <c r="A35" s="20"/>
    </row>
    <row r="36" spans="1:1" x14ac:dyDescent="0.25">
      <c r="A36" s="20"/>
    </row>
    <row r="37" spans="1:1" x14ac:dyDescent="0.25">
      <c r="A37" s="20"/>
    </row>
    <row r="38" spans="1:1" x14ac:dyDescent="0.25">
      <c r="A38" s="20"/>
    </row>
    <row r="39" spans="1:1" x14ac:dyDescent="0.25">
      <c r="A39" s="20"/>
    </row>
    <row r="40" spans="1:1" x14ac:dyDescent="0.25">
      <c r="A40" s="20"/>
    </row>
    <row r="41" spans="1:1" x14ac:dyDescent="0.25">
      <c r="A41" s="20"/>
    </row>
    <row r="42" spans="1:1" x14ac:dyDescent="0.25">
      <c r="A42" s="20"/>
    </row>
    <row r="43" spans="1:1" x14ac:dyDescent="0.25">
      <c r="A43" s="20"/>
    </row>
    <row r="44" spans="1:1" x14ac:dyDescent="0.25">
      <c r="A44" s="20"/>
    </row>
    <row r="45" spans="1:1" x14ac:dyDescent="0.25">
      <c r="A45" s="20"/>
    </row>
    <row r="46" spans="1:1" x14ac:dyDescent="0.25">
      <c r="A46" s="20"/>
    </row>
    <row r="47" spans="1:1" x14ac:dyDescent="0.25">
      <c r="A47" s="20"/>
    </row>
    <row r="48" spans="1:1" x14ac:dyDescent="0.25">
      <c r="A48" s="20"/>
    </row>
    <row r="49" spans="1:1" x14ac:dyDescent="0.25">
      <c r="A49" s="20"/>
    </row>
    <row r="50" spans="1:1" x14ac:dyDescent="0.25">
      <c r="A50" s="20"/>
    </row>
    <row r="51" spans="1:1" x14ac:dyDescent="0.25">
      <c r="A51" s="20"/>
    </row>
    <row r="52" spans="1:1" x14ac:dyDescent="0.25">
      <c r="A52" s="20"/>
    </row>
    <row r="53" spans="1:1" x14ac:dyDescent="0.25">
      <c r="A53" s="20"/>
    </row>
    <row r="54" spans="1:1" x14ac:dyDescent="0.25">
      <c r="A54" s="20"/>
    </row>
    <row r="55" spans="1:1" x14ac:dyDescent="0.25">
      <c r="A55" s="20"/>
    </row>
    <row r="56" spans="1:1" x14ac:dyDescent="0.25">
      <c r="A56" s="20"/>
    </row>
    <row r="57" spans="1:1" x14ac:dyDescent="0.25">
      <c r="A57" s="20"/>
    </row>
    <row r="58" spans="1:1" x14ac:dyDescent="0.25">
      <c r="A58" s="20"/>
    </row>
    <row r="59" spans="1:1" x14ac:dyDescent="0.25">
      <c r="A59" s="20"/>
    </row>
    <row r="60" spans="1:1" x14ac:dyDescent="0.25">
      <c r="A60" s="20"/>
    </row>
    <row r="61" spans="1:1" x14ac:dyDescent="0.25">
      <c r="A61" s="20"/>
    </row>
    <row r="62" spans="1:1" x14ac:dyDescent="0.25">
      <c r="A62" s="20"/>
    </row>
    <row r="63" spans="1:1" x14ac:dyDescent="0.25">
      <c r="A63" s="20"/>
    </row>
    <row r="64" spans="1:1" x14ac:dyDescent="0.25">
      <c r="A64" s="20"/>
    </row>
    <row r="65" spans="1:1" x14ac:dyDescent="0.25">
      <c r="A65" s="20"/>
    </row>
    <row r="66" spans="1:1" x14ac:dyDescent="0.25">
      <c r="A66" s="20"/>
    </row>
    <row r="67" spans="1:1" x14ac:dyDescent="0.25">
      <c r="A67" s="20"/>
    </row>
    <row r="68" spans="1:1" x14ac:dyDescent="0.25">
      <c r="A68" s="20"/>
    </row>
    <row r="69" spans="1:1" x14ac:dyDescent="0.25">
      <c r="A69" s="20"/>
    </row>
    <row r="70" spans="1:1" x14ac:dyDescent="0.25">
      <c r="A70" s="20"/>
    </row>
    <row r="71" spans="1:1" x14ac:dyDescent="0.25">
      <c r="A71" s="20"/>
    </row>
    <row r="72" spans="1:1" x14ac:dyDescent="0.25">
      <c r="A72" s="20"/>
    </row>
    <row r="73" spans="1:1" x14ac:dyDescent="0.25">
      <c r="A73" s="20"/>
    </row>
    <row r="74" spans="1:1" x14ac:dyDescent="0.25">
      <c r="A74" s="20"/>
    </row>
    <row r="75" spans="1:1" x14ac:dyDescent="0.25">
      <c r="A75" s="20"/>
    </row>
    <row r="76" spans="1:1" x14ac:dyDescent="0.25">
      <c r="A76" s="20"/>
    </row>
    <row r="77" spans="1:1" x14ac:dyDescent="0.25">
      <c r="A77" s="20"/>
    </row>
    <row r="78" spans="1:1" x14ac:dyDescent="0.25">
      <c r="A78" s="20"/>
    </row>
    <row r="79" spans="1:1" x14ac:dyDescent="0.25">
      <c r="A79" s="20"/>
    </row>
    <row r="80" spans="1:1" x14ac:dyDescent="0.25">
      <c r="A80" s="20"/>
    </row>
    <row r="81" spans="1:1" x14ac:dyDescent="0.25">
      <c r="A81" s="20"/>
    </row>
    <row r="82" spans="1:1" x14ac:dyDescent="0.25">
      <c r="A82" s="20"/>
    </row>
    <row r="83" spans="1:1" x14ac:dyDescent="0.25">
      <c r="A83" s="20"/>
    </row>
    <row r="84" spans="1:1" x14ac:dyDescent="0.25">
      <c r="A84" s="20"/>
    </row>
    <row r="85" spans="1:1" x14ac:dyDescent="0.25">
      <c r="A85" s="20"/>
    </row>
    <row r="86" spans="1:1" x14ac:dyDescent="0.25">
      <c r="A86" s="20"/>
    </row>
    <row r="87" spans="1:1" x14ac:dyDescent="0.25">
      <c r="A87" s="20"/>
    </row>
    <row r="88" spans="1:1" x14ac:dyDescent="0.25">
      <c r="A88" s="20"/>
    </row>
    <row r="89" spans="1:1" x14ac:dyDescent="0.25">
      <c r="A89" s="20"/>
    </row>
    <row r="90" spans="1:1" x14ac:dyDescent="0.25">
      <c r="A90" s="20"/>
    </row>
    <row r="91" spans="1:1" x14ac:dyDescent="0.25">
      <c r="A91" s="20"/>
    </row>
    <row r="92" spans="1:1" x14ac:dyDescent="0.25">
      <c r="A92" s="20"/>
    </row>
    <row r="93" spans="1:1" x14ac:dyDescent="0.25">
      <c r="A93" s="20"/>
    </row>
    <row r="94" spans="1:1" x14ac:dyDescent="0.25">
      <c r="A94" s="20"/>
    </row>
    <row r="95" spans="1:1" x14ac:dyDescent="0.25">
      <c r="A95" s="20"/>
    </row>
  </sheetData>
  <mergeCells count="13">
    <mergeCell ref="P1:P2"/>
    <mergeCell ref="P10:P11"/>
    <mergeCell ref="G20:J20"/>
    <mergeCell ref="J1:J2"/>
    <mergeCell ref="K1:O1"/>
    <mergeCell ref="J10:J11"/>
    <mergeCell ref="K10:O10"/>
    <mergeCell ref="A1:A2"/>
    <mergeCell ref="B10:F10"/>
    <mergeCell ref="A10:A11"/>
    <mergeCell ref="G1:G2"/>
    <mergeCell ref="G10:G11"/>
    <mergeCell ref="B1:F1"/>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48DDE5-2AA5-4067-9788-E74A1D047D91}">
  <sheetPr codeName="Sheet13"/>
  <dimension ref="A1:S30"/>
  <sheetViews>
    <sheetView topLeftCell="F1" zoomScale="65" zoomScaleNormal="83" workbookViewId="0">
      <selection activeCell="J19" sqref="J19"/>
    </sheetView>
  </sheetViews>
  <sheetFormatPr defaultRowHeight="15" x14ac:dyDescent="0.25"/>
  <cols>
    <col min="1" max="1" width="13.42578125" bestFit="1" customWidth="1"/>
    <col min="2" max="2" width="18.140625" bestFit="1" customWidth="1"/>
    <col min="3" max="3" width="23.140625" bestFit="1" customWidth="1"/>
    <col min="4" max="4" width="18.140625" bestFit="1" customWidth="1"/>
    <col min="5" max="5" width="23.140625" bestFit="1" customWidth="1"/>
    <col min="6" max="6" width="18.140625" bestFit="1" customWidth="1"/>
    <col min="7" max="7" width="23.140625" bestFit="1" customWidth="1"/>
    <col min="8" max="8" width="18.140625" bestFit="1" customWidth="1"/>
    <col min="9" max="10" width="23.140625" bestFit="1" customWidth="1"/>
    <col min="11" max="11" width="28.140625" bestFit="1" customWidth="1"/>
    <col min="12" max="12" width="22.140625" customWidth="1"/>
    <col min="13" max="13" width="15.28515625" customWidth="1"/>
    <col min="14" max="14" width="13.140625" customWidth="1"/>
    <col min="15" max="15" width="13" customWidth="1"/>
    <col min="16" max="16" width="15.42578125" customWidth="1"/>
    <col min="17" max="17" width="19.85546875" customWidth="1"/>
    <col min="18" max="18" width="13.7109375" customWidth="1"/>
    <col min="19" max="19" width="9.28515625" bestFit="1" customWidth="1"/>
  </cols>
  <sheetData>
    <row r="1" spans="1:19" ht="30" x14ac:dyDescent="0.25">
      <c r="A1" s="60" t="s">
        <v>0</v>
      </c>
      <c r="B1" s="60" t="s">
        <v>1</v>
      </c>
      <c r="C1" s="60" t="s">
        <v>2</v>
      </c>
      <c r="D1" s="60" t="s">
        <v>3</v>
      </c>
      <c r="E1" s="60" t="s">
        <v>4</v>
      </c>
      <c r="F1" s="60" t="s">
        <v>5</v>
      </c>
      <c r="G1" s="60" t="s">
        <v>6</v>
      </c>
      <c r="H1" s="60" t="s">
        <v>7</v>
      </c>
      <c r="I1" s="60" t="s">
        <v>8</v>
      </c>
      <c r="J1" s="60" t="s">
        <v>9</v>
      </c>
      <c r="K1" s="60" t="s">
        <v>10</v>
      </c>
      <c r="L1" s="60" t="s">
        <v>11</v>
      </c>
      <c r="M1" s="60" t="s">
        <v>12</v>
      </c>
      <c r="N1" s="60" t="s">
        <v>13</v>
      </c>
      <c r="O1" s="60" t="s">
        <v>658</v>
      </c>
      <c r="P1" s="60" t="s">
        <v>656</v>
      </c>
      <c r="Q1" s="60" t="s">
        <v>657</v>
      </c>
      <c r="R1" s="106" t="s">
        <v>725</v>
      </c>
      <c r="S1" s="60" t="s">
        <v>1086</v>
      </c>
    </row>
    <row r="2" spans="1:19" x14ac:dyDescent="0.25">
      <c r="A2" s="1" t="s">
        <v>14</v>
      </c>
      <c r="B2" s="61">
        <v>45677</v>
      </c>
      <c r="C2" s="1" t="s">
        <v>15</v>
      </c>
      <c r="D2" s="1" t="s">
        <v>16</v>
      </c>
      <c r="E2" s="1" t="s">
        <v>17</v>
      </c>
      <c r="F2" s="1" t="s">
        <v>18</v>
      </c>
      <c r="G2" s="1">
        <v>20</v>
      </c>
      <c r="H2" s="1">
        <v>55.22</v>
      </c>
      <c r="I2" s="1">
        <v>1104.4000000000001</v>
      </c>
      <c r="J2" s="1">
        <v>49.36</v>
      </c>
      <c r="K2" s="1">
        <v>355.04</v>
      </c>
      <c r="L2" s="1" t="s">
        <v>19</v>
      </c>
      <c r="M2" s="1" t="s">
        <v>20</v>
      </c>
      <c r="N2" s="1"/>
      <c r="O2" s="1">
        <v>35</v>
      </c>
      <c r="P2" s="1" t="s">
        <v>676</v>
      </c>
      <c r="Q2" s="1" t="s">
        <v>667</v>
      </c>
      <c r="R2" s="107" t="s">
        <v>708</v>
      </c>
      <c r="S2" s="108">
        <f>K2/I2</f>
        <v>0.32147772546178921</v>
      </c>
    </row>
    <row r="3" spans="1:19" x14ac:dyDescent="0.25">
      <c r="A3" s="1" t="s">
        <v>22</v>
      </c>
      <c r="B3" s="61">
        <v>45702</v>
      </c>
      <c r="C3" s="1" t="s">
        <v>23</v>
      </c>
      <c r="D3" s="1" t="s">
        <v>24</v>
      </c>
      <c r="E3" s="1" t="s">
        <v>25</v>
      </c>
      <c r="F3" s="1" t="s">
        <v>18</v>
      </c>
      <c r="G3" s="1">
        <v>33</v>
      </c>
      <c r="H3" s="1">
        <v>32.03</v>
      </c>
      <c r="I3" s="1">
        <v>1056.99</v>
      </c>
      <c r="J3" s="1">
        <v>59.59</v>
      </c>
      <c r="K3" s="1">
        <v>403.4</v>
      </c>
      <c r="L3" s="1" t="s">
        <v>26</v>
      </c>
      <c r="M3" s="1" t="s">
        <v>27</v>
      </c>
      <c r="N3" s="1" t="s">
        <v>28</v>
      </c>
      <c r="O3" s="1">
        <v>18</v>
      </c>
      <c r="P3" s="1" t="s">
        <v>664</v>
      </c>
      <c r="Q3" s="1" t="s">
        <v>31</v>
      </c>
      <c r="R3" s="107" t="s">
        <v>707</v>
      </c>
      <c r="S3" s="108">
        <f t="shared" ref="S3:S11" si="0">K3/I3</f>
        <v>0.38164977908967918</v>
      </c>
    </row>
    <row r="4" spans="1:19" x14ac:dyDescent="0.25">
      <c r="A4" s="1" t="s">
        <v>29</v>
      </c>
      <c r="B4" s="61">
        <v>45411</v>
      </c>
      <c r="C4" s="1" t="s">
        <v>30</v>
      </c>
      <c r="D4" s="1" t="s">
        <v>31</v>
      </c>
      <c r="E4" s="1" t="s">
        <v>25</v>
      </c>
      <c r="F4" s="1" t="s">
        <v>18</v>
      </c>
      <c r="G4" s="1">
        <v>34</v>
      </c>
      <c r="H4" s="1">
        <v>28.48</v>
      </c>
      <c r="I4" s="1">
        <v>968.32</v>
      </c>
      <c r="J4" s="1">
        <v>73.95</v>
      </c>
      <c r="K4" s="1">
        <v>282.37</v>
      </c>
      <c r="L4" s="1" t="s">
        <v>19</v>
      </c>
      <c r="M4" s="1" t="s">
        <v>32</v>
      </c>
      <c r="N4" s="1" t="s">
        <v>28</v>
      </c>
      <c r="O4" s="1">
        <v>18</v>
      </c>
      <c r="P4" s="1" t="s">
        <v>664</v>
      </c>
      <c r="Q4" s="1" t="s">
        <v>31</v>
      </c>
      <c r="R4" s="107" t="s">
        <v>717</v>
      </c>
      <c r="S4" s="108">
        <f t="shared" si="0"/>
        <v>0.2916081460674157</v>
      </c>
    </row>
    <row r="5" spans="1:19" x14ac:dyDescent="0.25">
      <c r="A5" s="1" t="s">
        <v>33</v>
      </c>
      <c r="B5" s="61">
        <v>45566</v>
      </c>
      <c r="C5" s="1" t="s">
        <v>34</v>
      </c>
      <c r="D5" s="1" t="s">
        <v>35</v>
      </c>
      <c r="E5" s="1" t="s">
        <v>36</v>
      </c>
      <c r="F5" s="1" t="s">
        <v>37</v>
      </c>
      <c r="G5" s="1">
        <v>6</v>
      </c>
      <c r="H5" s="1">
        <v>56.36</v>
      </c>
      <c r="I5" s="1">
        <v>338.16</v>
      </c>
      <c r="J5" s="1">
        <v>11.39</v>
      </c>
      <c r="K5" s="1">
        <v>134.77000000000001</v>
      </c>
      <c r="L5" s="1" t="s">
        <v>38</v>
      </c>
      <c r="M5" s="1" t="s">
        <v>27</v>
      </c>
      <c r="N5" s="1" t="s">
        <v>39</v>
      </c>
      <c r="O5" s="1">
        <v>32</v>
      </c>
      <c r="P5" s="1" t="s">
        <v>660</v>
      </c>
      <c r="Q5" s="1" t="s">
        <v>55</v>
      </c>
      <c r="R5" s="107" t="s">
        <v>711</v>
      </c>
      <c r="S5" s="108">
        <f t="shared" si="0"/>
        <v>0.39853915306363852</v>
      </c>
    </row>
    <row r="6" spans="1:19" x14ac:dyDescent="0.25">
      <c r="A6" s="1" t="s">
        <v>40</v>
      </c>
      <c r="B6" s="61">
        <v>45703</v>
      </c>
      <c r="C6" s="1" t="s">
        <v>41</v>
      </c>
      <c r="D6" s="1" t="s">
        <v>42</v>
      </c>
      <c r="E6" s="1" t="s">
        <v>43</v>
      </c>
      <c r="F6" s="1" t="s">
        <v>44</v>
      </c>
      <c r="G6" s="1">
        <v>17</v>
      </c>
      <c r="H6" s="1">
        <v>69.22</v>
      </c>
      <c r="I6" s="1">
        <v>1176.74</v>
      </c>
      <c r="J6" s="1">
        <v>65.94</v>
      </c>
      <c r="K6" s="1">
        <v>430.8</v>
      </c>
      <c r="L6" s="1" t="s">
        <v>26</v>
      </c>
      <c r="M6" s="1" t="s">
        <v>20</v>
      </c>
      <c r="N6" s="1"/>
      <c r="O6" s="1">
        <v>40</v>
      </c>
      <c r="P6" s="1" t="s">
        <v>679</v>
      </c>
      <c r="Q6" s="1" t="s">
        <v>680</v>
      </c>
      <c r="R6" s="107" t="s">
        <v>707</v>
      </c>
      <c r="S6" s="108">
        <f t="shared" si="0"/>
        <v>0.36609616397844896</v>
      </c>
    </row>
    <row r="7" spans="1:19" x14ac:dyDescent="0.25">
      <c r="A7" s="1" t="s">
        <v>45</v>
      </c>
      <c r="B7" s="61">
        <v>45714</v>
      </c>
      <c r="C7" s="1" t="s">
        <v>46</v>
      </c>
      <c r="D7" s="1" t="s">
        <v>47</v>
      </c>
      <c r="E7" s="1" t="s">
        <v>48</v>
      </c>
      <c r="F7" s="1" t="s">
        <v>37</v>
      </c>
      <c r="G7" s="1">
        <v>13</v>
      </c>
      <c r="H7" s="1">
        <v>27.94</v>
      </c>
      <c r="I7" s="1">
        <v>363.22</v>
      </c>
      <c r="J7" s="1">
        <v>15.36</v>
      </c>
      <c r="K7" s="1">
        <v>87.86</v>
      </c>
      <c r="L7" s="1" t="s">
        <v>26</v>
      </c>
      <c r="M7" s="1" t="s">
        <v>20</v>
      </c>
      <c r="N7" s="1"/>
      <c r="O7" s="1">
        <v>20</v>
      </c>
      <c r="P7" s="1" t="s">
        <v>672</v>
      </c>
      <c r="Q7" s="1" t="s">
        <v>55</v>
      </c>
      <c r="R7" s="107" t="s">
        <v>707</v>
      </c>
      <c r="S7" s="108">
        <f t="shared" si="0"/>
        <v>0.2418919663014151</v>
      </c>
    </row>
    <row r="8" spans="1:19" x14ac:dyDescent="0.25">
      <c r="A8" s="1" t="s">
        <v>49</v>
      </c>
      <c r="B8" s="61">
        <v>45456</v>
      </c>
      <c r="C8" s="1" t="s">
        <v>50</v>
      </c>
      <c r="D8" s="1" t="s">
        <v>24</v>
      </c>
      <c r="E8" s="1" t="s">
        <v>51</v>
      </c>
      <c r="F8" s="1" t="s">
        <v>52</v>
      </c>
      <c r="G8" s="1">
        <v>3</v>
      </c>
      <c r="H8" s="1">
        <v>31.52</v>
      </c>
      <c r="I8" s="1">
        <v>94.56</v>
      </c>
      <c r="J8" s="1">
        <v>6.98</v>
      </c>
      <c r="K8" s="1">
        <v>20.079999999999998</v>
      </c>
      <c r="L8" s="1" t="s">
        <v>19</v>
      </c>
      <c r="M8" s="1" t="s">
        <v>32</v>
      </c>
      <c r="N8" s="1" t="s">
        <v>28</v>
      </c>
      <c r="O8" s="1">
        <v>22.5</v>
      </c>
      <c r="P8" s="1" t="s">
        <v>674</v>
      </c>
      <c r="Q8" s="1" t="s">
        <v>177</v>
      </c>
      <c r="R8" s="107" t="s">
        <v>715</v>
      </c>
      <c r="S8" s="108">
        <f t="shared" si="0"/>
        <v>0.21235194585448391</v>
      </c>
    </row>
    <row r="9" spans="1:19" x14ac:dyDescent="0.25">
      <c r="A9" s="1" t="s">
        <v>53</v>
      </c>
      <c r="B9" s="61">
        <v>45778</v>
      </c>
      <c r="C9" s="1" t="s">
        <v>54</v>
      </c>
      <c r="D9" s="1" t="s">
        <v>55</v>
      </c>
      <c r="E9" s="1" t="s">
        <v>56</v>
      </c>
      <c r="F9" s="1" t="s">
        <v>57</v>
      </c>
      <c r="G9" s="1">
        <v>14</v>
      </c>
      <c r="H9" s="1">
        <v>30.71</v>
      </c>
      <c r="I9" s="1">
        <v>429.94</v>
      </c>
      <c r="J9" s="1">
        <v>13.03</v>
      </c>
      <c r="K9" s="1">
        <v>66.91</v>
      </c>
      <c r="L9" s="1" t="s">
        <v>26</v>
      </c>
      <c r="M9" s="1" t="s">
        <v>20</v>
      </c>
      <c r="N9" s="1" t="s">
        <v>58</v>
      </c>
      <c r="O9" s="1">
        <v>25</v>
      </c>
      <c r="P9" s="1" t="s">
        <v>669</v>
      </c>
      <c r="Q9" s="1" t="s">
        <v>670</v>
      </c>
      <c r="R9" s="107" t="s">
        <v>705</v>
      </c>
      <c r="S9" s="108">
        <f t="shared" si="0"/>
        <v>0.15562636646973996</v>
      </c>
    </row>
    <row r="10" spans="1:19" x14ac:dyDescent="0.25">
      <c r="A10" s="1" t="s">
        <v>59</v>
      </c>
      <c r="B10" s="61">
        <v>45548</v>
      </c>
      <c r="C10" s="1" t="s">
        <v>30</v>
      </c>
      <c r="D10" s="1" t="s">
        <v>16</v>
      </c>
      <c r="E10" s="1" t="s">
        <v>60</v>
      </c>
      <c r="F10" s="1" t="s">
        <v>52</v>
      </c>
      <c r="G10" s="1">
        <v>47</v>
      </c>
      <c r="H10" s="1">
        <v>24.47</v>
      </c>
      <c r="I10" s="1">
        <v>1150.0899999999999</v>
      </c>
      <c r="J10" s="1">
        <v>61.3</v>
      </c>
      <c r="K10" s="1">
        <v>360.29</v>
      </c>
      <c r="L10" s="1" t="s">
        <v>26</v>
      </c>
      <c r="M10" s="1" t="s">
        <v>20</v>
      </c>
      <c r="N10" s="1"/>
      <c r="O10" s="1">
        <v>15.5</v>
      </c>
      <c r="P10" s="1" t="s">
        <v>662</v>
      </c>
      <c r="Q10" s="1" t="s">
        <v>177</v>
      </c>
      <c r="R10" s="107" t="s">
        <v>712</v>
      </c>
      <c r="S10" s="108">
        <f t="shared" si="0"/>
        <v>0.31327113530245465</v>
      </c>
    </row>
    <row r="11" spans="1:19" x14ac:dyDescent="0.25">
      <c r="A11" s="1" t="s">
        <v>61</v>
      </c>
      <c r="B11" s="61">
        <v>45531</v>
      </c>
      <c r="C11" s="1" t="s">
        <v>62</v>
      </c>
      <c r="D11" s="1" t="s">
        <v>31</v>
      </c>
      <c r="E11" s="1" t="s">
        <v>63</v>
      </c>
      <c r="F11" s="1" t="s">
        <v>37</v>
      </c>
      <c r="G11" s="1">
        <v>27</v>
      </c>
      <c r="H11" s="1">
        <v>18.98</v>
      </c>
      <c r="I11" s="1">
        <v>512.46</v>
      </c>
      <c r="J11" s="1">
        <v>28.89</v>
      </c>
      <c r="K11" s="1">
        <v>139.32</v>
      </c>
      <c r="L11" s="1" t="s">
        <v>26</v>
      </c>
      <c r="M11" s="1" t="s">
        <v>32</v>
      </c>
      <c r="N11" s="1" t="s">
        <v>28</v>
      </c>
      <c r="O11" s="1">
        <v>12.75</v>
      </c>
      <c r="P11" s="1" t="s">
        <v>666</v>
      </c>
      <c r="Q11" s="1" t="s">
        <v>667</v>
      </c>
      <c r="R11" s="107" t="s">
        <v>713</v>
      </c>
      <c r="S11" s="108">
        <f t="shared" si="0"/>
        <v>0.27186512118018963</v>
      </c>
    </row>
    <row r="19" spans="1:11" x14ac:dyDescent="0.25">
      <c r="B19" s="52" t="s">
        <v>1081</v>
      </c>
    </row>
    <row r="20" spans="1:11" x14ac:dyDescent="0.25">
      <c r="B20" t="s">
        <v>58</v>
      </c>
      <c r="D20" t="s">
        <v>28</v>
      </c>
      <c r="F20" t="s">
        <v>39</v>
      </c>
      <c r="H20" t="s">
        <v>1054</v>
      </c>
      <c r="J20" t="s">
        <v>732</v>
      </c>
      <c r="K20" t="s">
        <v>1087</v>
      </c>
    </row>
    <row r="21" spans="1:11" x14ac:dyDescent="0.25">
      <c r="A21" s="52" t="s">
        <v>1089</v>
      </c>
      <c r="B21" t="s">
        <v>731</v>
      </c>
      <c r="C21" t="s">
        <v>1088</v>
      </c>
      <c r="D21" t="s">
        <v>731</v>
      </c>
      <c r="E21" t="s">
        <v>1088</v>
      </c>
      <c r="F21" t="s">
        <v>731</v>
      </c>
      <c r="G21" t="s">
        <v>1088</v>
      </c>
      <c r="H21" t="s">
        <v>731</v>
      </c>
      <c r="I21" t="s">
        <v>1088</v>
      </c>
    </row>
    <row r="22" spans="1:11" x14ac:dyDescent="0.25">
      <c r="A22" s="53" t="s">
        <v>1046</v>
      </c>
      <c r="C22" s="28"/>
      <c r="E22" s="28"/>
      <c r="G22" s="28"/>
      <c r="H22">
        <v>1104.4000000000001</v>
      </c>
      <c r="I22" s="28">
        <v>0.32147772546178921</v>
      </c>
      <c r="J22">
        <v>1104.4000000000001</v>
      </c>
      <c r="K22" s="28">
        <v>0.32147772546178921</v>
      </c>
    </row>
    <row r="23" spans="1:11" x14ac:dyDescent="0.25">
      <c r="A23" s="53" t="s">
        <v>1047</v>
      </c>
      <c r="C23" s="28"/>
      <c r="D23">
        <v>1056.99</v>
      </c>
      <c r="E23" s="28">
        <v>0.38164977908967918</v>
      </c>
      <c r="G23" s="28"/>
      <c r="H23">
        <v>1539.96</v>
      </c>
      <c r="I23" s="28">
        <v>0.30399406513993205</v>
      </c>
      <c r="J23">
        <v>2596.9499999999998</v>
      </c>
      <c r="K23" s="28">
        <v>0.32987930312318109</v>
      </c>
    </row>
    <row r="24" spans="1:11" x14ac:dyDescent="0.25">
      <c r="A24" s="53" t="s">
        <v>1048</v>
      </c>
      <c r="C24" s="28"/>
      <c r="D24">
        <v>968.32</v>
      </c>
      <c r="E24" s="28">
        <v>0.2916081460674157</v>
      </c>
      <c r="G24" s="28"/>
      <c r="I24" s="28"/>
      <c r="J24">
        <v>968.32</v>
      </c>
      <c r="K24" s="28">
        <v>0.2916081460674157</v>
      </c>
    </row>
    <row r="25" spans="1:11" x14ac:dyDescent="0.25">
      <c r="A25" s="53" t="s">
        <v>1049</v>
      </c>
      <c r="B25">
        <v>429.94</v>
      </c>
      <c r="C25" s="28">
        <v>0.15562636646973996</v>
      </c>
      <c r="E25" s="28"/>
      <c r="G25" s="28"/>
      <c r="I25" s="28"/>
      <c r="J25">
        <v>429.94</v>
      </c>
      <c r="K25" s="28">
        <v>0.15562636646973996</v>
      </c>
    </row>
    <row r="26" spans="1:11" x14ac:dyDescent="0.25">
      <c r="A26" s="53" t="s">
        <v>1050</v>
      </c>
      <c r="C26" s="28"/>
      <c r="D26">
        <v>94.56</v>
      </c>
      <c r="E26" s="28">
        <v>0.21235194585448391</v>
      </c>
      <c r="G26" s="28"/>
      <c r="I26" s="28"/>
      <c r="J26">
        <v>94.56</v>
      </c>
      <c r="K26" s="28">
        <v>0.21235194585448391</v>
      </c>
    </row>
    <row r="27" spans="1:11" x14ac:dyDescent="0.25">
      <c r="A27" s="53" t="s">
        <v>1051</v>
      </c>
      <c r="C27" s="28"/>
      <c r="D27">
        <v>512.46</v>
      </c>
      <c r="E27" s="28">
        <v>0.27186512118018963</v>
      </c>
      <c r="G27" s="28"/>
      <c r="I27" s="28"/>
      <c r="J27">
        <v>512.46</v>
      </c>
      <c r="K27" s="28">
        <v>0.27186512118018963</v>
      </c>
    </row>
    <row r="28" spans="1:11" x14ac:dyDescent="0.25">
      <c r="A28" s="53" t="s">
        <v>1052</v>
      </c>
      <c r="C28" s="28"/>
      <c r="E28" s="28"/>
      <c r="G28" s="28"/>
      <c r="H28">
        <v>1150.0899999999999</v>
      </c>
      <c r="I28" s="28">
        <v>0.31327113530245465</v>
      </c>
      <c r="J28">
        <v>1150.0899999999999</v>
      </c>
      <c r="K28" s="28">
        <v>0.31327113530245465</v>
      </c>
    </row>
    <row r="29" spans="1:11" x14ac:dyDescent="0.25">
      <c r="A29" s="53" t="s">
        <v>1053</v>
      </c>
      <c r="C29" s="28"/>
      <c r="E29" s="28"/>
      <c r="F29">
        <v>338.16</v>
      </c>
      <c r="G29" s="28">
        <v>0.39853915306363852</v>
      </c>
      <c r="I29" s="28"/>
      <c r="J29">
        <v>338.16</v>
      </c>
      <c r="K29" s="28">
        <v>0.39853915306363852</v>
      </c>
    </row>
    <row r="30" spans="1:11" x14ac:dyDescent="0.25">
      <c r="A30" s="53" t="s">
        <v>730</v>
      </c>
      <c r="B30">
        <v>429.94</v>
      </c>
      <c r="C30" s="28">
        <v>0.15562636646973996</v>
      </c>
      <c r="D30">
        <v>2632.33</v>
      </c>
      <c r="E30" s="28">
        <v>0.2893687480479421</v>
      </c>
      <c r="F30">
        <v>338.16</v>
      </c>
      <c r="G30" s="28">
        <v>0.39853915306363852</v>
      </c>
      <c r="H30">
        <v>3794.4500000000007</v>
      </c>
      <c r="I30" s="28">
        <v>0.31068424776102699</v>
      </c>
      <c r="J30">
        <v>7194.88</v>
      </c>
      <c r="K30" s="28">
        <v>0.29543775027692548</v>
      </c>
    </row>
  </sheetData>
  <conditionalFormatting sqref="N1:N1048576">
    <cfRule type="cellIs" priority="1" operator="equal">
      <formula>""""""</formula>
    </cfRule>
  </conditionalFormatting>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D4DE0C-7E99-4A8B-BC61-7984FE5D7E49}">
  <sheetPr codeName="Sheet11"/>
  <dimension ref="A1:F501"/>
  <sheetViews>
    <sheetView zoomScale="82" zoomScaleNormal="136" workbookViewId="0">
      <selection activeCell="J35" sqref="J35"/>
    </sheetView>
  </sheetViews>
  <sheetFormatPr defaultRowHeight="15" x14ac:dyDescent="0.25"/>
  <cols>
    <col min="1" max="1" width="19.28515625" style="18" customWidth="1"/>
    <col min="2" max="2" width="26.140625" customWidth="1"/>
    <col min="3" max="3" width="19" customWidth="1"/>
    <col min="4" max="4" width="13.140625" customWidth="1"/>
    <col min="5" max="5" width="14.42578125" customWidth="1"/>
    <col min="6" max="6" width="15.5703125" customWidth="1"/>
    <col min="17" max="17" width="13.42578125" bestFit="1" customWidth="1"/>
    <col min="18" max="18" width="18.140625" bestFit="1" customWidth="1"/>
    <col min="19" max="50" width="18.28515625" bestFit="1" customWidth="1"/>
    <col min="51" max="51" width="23.140625" bestFit="1" customWidth="1"/>
    <col min="52" max="52" width="23.28515625" bestFit="1" customWidth="1"/>
  </cols>
  <sheetData>
    <row r="1" spans="1:3" x14ac:dyDescent="0.25">
      <c r="A1" s="20" t="s">
        <v>725</v>
      </c>
      <c r="B1" s="67" t="s">
        <v>1059</v>
      </c>
      <c r="C1" s="20" t="s">
        <v>10</v>
      </c>
    </row>
    <row r="2" spans="1:3" x14ac:dyDescent="0.25">
      <c r="A2" s="20" t="s">
        <v>720</v>
      </c>
      <c r="B2" s="67">
        <v>23642.31</v>
      </c>
      <c r="C2" s="67">
        <v>6054.28</v>
      </c>
    </row>
    <row r="3" spans="1:3" x14ac:dyDescent="0.25">
      <c r="A3" s="20" t="s">
        <v>719</v>
      </c>
      <c r="B3" s="67">
        <v>29912</v>
      </c>
      <c r="C3" s="67">
        <v>9234.0300000000007</v>
      </c>
    </row>
    <row r="4" spans="1:3" x14ac:dyDescent="0.25">
      <c r="A4" s="20" t="s">
        <v>718</v>
      </c>
      <c r="B4" s="67">
        <v>27450.58</v>
      </c>
      <c r="C4" s="67">
        <v>7448.97</v>
      </c>
    </row>
    <row r="5" spans="1:3" x14ac:dyDescent="0.25">
      <c r="A5" s="20" t="s">
        <v>717</v>
      </c>
      <c r="B5" s="67">
        <v>13108.03</v>
      </c>
      <c r="C5" s="67">
        <v>4040.24</v>
      </c>
    </row>
    <row r="6" spans="1:3" x14ac:dyDescent="0.25">
      <c r="A6" s="20" t="s">
        <v>716</v>
      </c>
      <c r="B6" s="67">
        <v>25044.65</v>
      </c>
      <c r="C6" s="67">
        <v>6249.32</v>
      </c>
    </row>
    <row r="7" spans="1:3" x14ac:dyDescent="0.25">
      <c r="A7" s="20" t="s">
        <v>715</v>
      </c>
      <c r="B7" s="67">
        <v>38692.6</v>
      </c>
      <c r="C7" s="67">
        <v>11775.91</v>
      </c>
    </row>
    <row r="8" spans="1:3" x14ac:dyDescent="0.25">
      <c r="A8" s="20" t="s">
        <v>714</v>
      </c>
      <c r="B8" s="67">
        <v>30288.91</v>
      </c>
      <c r="C8" s="67">
        <v>8441.19</v>
      </c>
    </row>
    <row r="9" spans="1:3" x14ac:dyDescent="0.25">
      <c r="A9" s="20" t="s">
        <v>713</v>
      </c>
      <c r="B9" s="67">
        <v>28579.07</v>
      </c>
      <c r="C9" s="67">
        <v>7976.39</v>
      </c>
    </row>
    <row r="10" spans="1:3" x14ac:dyDescent="0.25">
      <c r="A10" s="20" t="s">
        <v>712</v>
      </c>
      <c r="B10" s="67">
        <v>31738.73</v>
      </c>
      <c r="C10" s="67">
        <v>8387.18</v>
      </c>
    </row>
    <row r="11" spans="1:3" x14ac:dyDescent="0.25">
      <c r="A11" s="20" t="s">
        <v>711</v>
      </c>
      <c r="B11" s="67">
        <v>25371.88</v>
      </c>
      <c r="C11" s="67">
        <v>7552.51</v>
      </c>
    </row>
    <row r="12" spans="1:3" x14ac:dyDescent="0.25">
      <c r="A12" s="20" t="s">
        <v>710</v>
      </c>
      <c r="B12" s="67">
        <v>31766.41</v>
      </c>
      <c r="C12" s="67">
        <v>7763.13</v>
      </c>
    </row>
    <row r="13" spans="1:3" x14ac:dyDescent="0.25">
      <c r="A13" s="20" t="s">
        <v>709</v>
      </c>
      <c r="B13" s="67">
        <v>39119.29</v>
      </c>
      <c r="C13" s="67">
        <v>10480.9</v>
      </c>
    </row>
    <row r="14" spans="1:3" x14ac:dyDescent="0.25">
      <c r="A14" s="20" t="s">
        <v>708</v>
      </c>
      <c r="B14" s="67">
        <v>23958.62</v>
      </c>
      <c r="C14" s="67">
        <v>7054.74</v>
      </c>
    </row>
    <row r="15" spans="1:3" x14ac:dyDescent="0.25">
      <c r="A15" s="20" t="s">
        <v>707</v>
      </c>
      <c r="B15" s="67">
        <v>24475.24</v>
      </c>
      <c r="C15" s="67">
        <v>6905.52</v>
      </c>
    </row>
    <row r="16" spans="1:3" x14ac:dyDescent="0.25">
      <c r="A16" s="20" t="s">
        <v>721</v>
      </c>
      <c r="B16" s="67">
        <v>32154.880000000001</v>
      </c>
      <c r="C16" s="67">
        <v>10348.18</v>
      </c>
    </row>
    <row r="17" spans="1:6" x14ac:dyDescent="0.25">
      <c r="A17" s="20" t="s">
        <v>706</v>
      </c>
      <c r="B17" s="67">
        <v>36539.25</v>
      </c>
      <c r="C17" s="67">
        <v>10237.879999999999</v>
      </c>
    </row>
    <row r="18" spans="1:6" x14ac:dyDescent="0.25">
      <c r="A18" s="20" t="s">
        <v>705</v>
      </c>
      <c r="B18" s="67">
        <v>9732.4599999999991</v>
      </c>
      <c r="C18" s="67">
        <v>2579.2199999999998</v>
      </c>
    </row>
    <row r="19" spans="1:6" x14ac:dyDescent="0.25">
      <c r="A19" s="68"/>
    </row>
    <row r="20" spans="1:6" x14ac:dyDescent="0.25">
      <c r="A20" s="68"/>
    </row>
    <row r="21" spans="1:6" x14ac:dyDescent="0.25">
      <c r="A21" s="68"/>
    </row>
    <row r="22" spans="1:6" x14ac:dyDescent="0.25">
      <c r="A22" s="68"/>
    </row>
    <row r="23" spans="1:6" x14ac:dyDescent="0.25">
      <c r="A23" s="68"/>
    </row>
    <row r="24" spans="1:6" x14ac:dyDescent="0.25">
      <c r="A24" s="68"/>
    </row>
    <row r="25" spans="1:6" x14ac:dyDescent="0.25">
      <c r="A25" s="68"/>
    </row>
    <row r="26" spans="1:6" x14ac:dyDescent="0.25">
      <c r="A26" s="68"/>
    </row>
    <row r="27" spans="1:6" x14ac:dyDescent="0.25">
      <c r="B27" s="18"/>
      <c r="C27" s="18"/>
      <c r="D27" s="18"/>
      <c r="E27" s="18"/>
      <c r="F27" s="18"/>
    </row>
    <row r="28" spans="1:6" x14ac:dyDescent="0.25">
      <c r="A28" s="104" t="s">
        <v>13</v>
      </c>
      <c r="B28" s="110" t="s">
        <v>18</v>
      </c>
      <c r="C28" s="110" t="s">
        <v>44</v>
      </c>
      <c r="D28" s="101" t="s">
        <v>37</v>
      </c>
      <c r="E28" s="101" t="s">
        <v>52</v>
      </c>
      <c r="F28" s="111" t="s">
        <v>57</v>
      </c>
    </row>
    <row r="29" spans="1:6" x14ac:dyDescent="0.25">
      <c r="A29" s="109" t="s">
        <v>21</v>
      </c>
      <c r="B29" s="47">
        <v>24079.71</v>
      </c>
      <c r="C29" s="47">
        <v>9625.9699999999993</v>
      </c>
      <c r="D29" s="47">
        <v>22495.010000000002</v>
      </c>
      <c r="E29" s="47">
        <v>26924.320000000003</v>
      </c>
      <c r="F29" s="65">
        <v>3820.0600000000004</v>
      </c>
    </row>
    <row r="30" spans="1:6" x14ac:dyDescent="0.25">
      <c r="A30" s="109" t="s">
        <v>28</v>
      </c>
      <c r="B30" s="47">
        <v>30642.080000000002</v>
      </c>
      <c r="C30" s="47">
        <v>11433.35</v>
      </c>
      <c r="D30" s="47">
        <v>25086.150000000005</v>
      </c>
      <c r="E30" s="47">
        <v>33685.94</v>
      </c>
      <c r="F30" s="65">
        <v>14367.099999999999</v>
      </c>
    </row>
    <row r="31" spans="1:6" x14ac:dyDescent="0.25">
      <c r="A31" s="109" t="s">
        <v>58</v>
      </c>
      <c r="B31" s="47">
        <v>33225.64</v>
      </c>
      <c r="C31" s="47">
        <v>30263.43</v>
      </c>
      <c r="D31" s="47">
        <v>34174.130000000005</v>
      </c>
      <c r="E31" s="47">
        <v>51860.89</v>
      </c>
      <c r="F31" s="65">
        <v>21644.31</v>
      </c>
    </row>
    <row r="32" spans="1:6" x14ac:dyDescent="0.25">
      <c r="A32" s="109" t="s">
        <v>87</v>
      </c>
      <c r="B32" s="47">
        <v>6956.41</v>
      </c>
      <c r="C32" s="47">
        <v>6721.25</v>
      </c>
      <c r="D32" s="47">
        <v>7452.9400000000005</v>
      </c>
      <c r="E32" s="47">
        <v>8364.44</v>
      </c>
      <c r="F32" s="65">
        <v>0</v>
      </c>
    </row>
    <row r="33" spans="1:6" x14ac:dyDescent="0.25">
      <c r="A33" s="109" t="s">
        <v>39</v>
      </c>
      <c r="B33" s="47">
        <v>8480.99</v>
      </c>
      <c r="C33" s="47">
        <v>2134.23</v>
      </c>
      <c r="D33" s="47">
        <v>16927.670000000002</v>
      </c>
      <c r="E33" s="47">
        <v>2088.92</v>
      </c>
      <c r="F33" s="65">
        <v>5232.2199999999993</v>
      </c>
    </row>
    <row r="34" spans="1:6" x14ac:dyDescent="0.25">
      <c r="A34" s="112" t="s">
        <v>130</v>
      </c>
      <c r="B34" s="96">
        <v>6810.06</v>
      </c>
      <c r="C34" s="96">
        <v>12174.14</v>
      </c>
      <c r="D34" s="96">
        <v>8892.01</v>
      </c>
      <c r="E34" s="96">
        <v>6972.93</v>
      </c>
      <c r="F34" s="105">
        <v>2168.3200000000002</v>
      </c>
    </row>
    <row r="35" spans="1:6" x14ac:dyDescent="0.25">
      <c r="A35" s="68"/>
    </row>
    <row r="36" spans="1:6" x14ac:dyDescent="0.25">
      <c r="A36" s="68"/>
    </row>
    <row r="37" spans="1:6" x14ac:dyDescent="0.25">
      <c r="A37" s="68"/>
    </row>
    <row r="38" spans="1:6" x14ac:dyDescent="0.25">
      <c r="A38" s="68"/>
    </row>
    <row r="39" spans="1:6" x14ac:dyDescent="0.25">
      <c r="A39" s="68"/>
    </row>
    <row r="40" spans="1:6" x14ac:dyDescent="0.25">
      <c r="A40" s="68"/>
    </row>
    <row r="41" spans="1:6" x14ac:dyDescent="0.25">
      <c r="A41" s="68"/>
    </row>
    <row r="42" spans="1:6" x14ac:dyDescent="0.25">
      <c r="A42" s="68"/>
    </row>
    <row r="43" spans="1:6" x14ac:dyDescent="0.25">
      <c r="A43" s="68"/>
    </row>
    <row r="44" spans="1:6" x14ac:dyDescent="0.25">
      <c r="A44" s="68"/>
    </row>
    <row r="45" spans="1:6" x14ac:dyDescent="0.25">
      <c r="A45" s="68"/>
    </row>
    <row r="46" spans="1:6" x14ac:dyDescent="0.25">
      <c r="A46" s="68"/>
    </row>
    <row r="47" spans="1:6" x14ac:dyDescent="0.25">
      <c r="A47" s="68"/>
    </row>
    <row r="48" spans="1:6" x14ac:dyDescent="0.25">
      <c r="A48" s="68"/>
    </row>
    <row r="49" spans="1:1" x14ac:dyDescent="0.25">
      <c r="A49" s="68"/>
    </row>
    <row r="50" spans="1:1" x14ac:dyDescent="0.25">
      <c r="A50" s="68"/>
    </row>
    <row r="51" spans="1:1" x14ac:dyDescent="0.25">
      <c r="A51" s="68"/>
    </row>
    <row r="52" spans="1:1" x14ac:dyDescent="0.25">
      <c r="A52" s="68"/>
    </row>
    <row r="53" spans="1:1" x14ac:dyDescent="0.25">
      <c r="A53" s="68"/>
    </row>
    <row r="54" spans="1:1" x14ac:dyDescent="0.25">
      <c r="A54" s="68"/>
    </row>
    <row r="55" spans="1:1" x14ac:dyDescent="0.25">
      <c r="A55" s="68"/>
    </row>
    <row r="56" spans="1:1" x14ac:dyDescent="0.25">
      <c r="A56" s="68"/>
    </row>
    <row r="57" spans="1:1" x14ac:dyDescent="0.25">
      <c r="A57" s="68"/>
    </row>
    <row r="58" spans="1:1" x14ac:dyDescent="0.25">
      <c r="A58" s="68"/>
    </row>
    <row r="59" spans="1:1" x14ac:dyDescent="0.25">
      <c r="A59" s="68"/>
    </row>
    <row r="60" spans="1:1" x14ac:dyDescent="0.25">
      <c r="A60" s="68"/>
    </row>
    <row r="61" spans="1:1" x14ac:dyDescent="0.25">
      <c r="A61" s="68"/>
    </row>
    <row r="62" spans="1:1" x14ac:dyDescent="0.25">
      <c r="A62" s="68"/>
    </row>
    <row r="63" spans="1:1" x14ac:dyDescent="0.25">
      <c r="A63" s="68"/>
    </row>
    <row r="64" spans="1:1" x14ac:dyDescent="0.25">
      <c r="A64" s="68"/>
    </row>
    <row r="65" spans="1:1" x14ac:dyDescent="0.25">
      <c r="A65" s="68"/>
    </row>
    <row r="66" spans="1:1" x14ac:dyDescent="0.25">
      <c r="A66" s="68"/>
    </row>
    <row r="67" spans="1:1" x14ac:dyDescent="0.25">
      <c r="A67" s="68"/>
    </row>
    <row r="68" spans="1:1" x14ac:dyDescent="0.25">
      <c r="A68" s="68"/>
    </row>
    <row r="69" spans="1:1" x14ac:dyDescent="0.25">
      <c r="A69" s="68"/>
    </row>
    <row r="70" spans="1:1" x14ac:dyDescent="0.25">
      <c r="A70" s="68"/>
    </row>
    <row r="71" spans="1:1" x14ac:dyDescent="0.25">
      <c r="A71" s="68"/>
    </row>
    <row r="72" spans="1:1" x14ac:dyDescent="0.25">
      <c r="A72" s="68"/>
    </row>
    <row r="73" spans="1:1" x14ac:dyDescent="0.25">
      <c r="A73" s="68"/>
    </row>
    <row r="74" spans="1:1" x14ac:dyDescent="0.25">
      <c r="A74" s="68"/>
    </row>
    <row r="75" spans="1:1" x14ac:dyDescent="0.25">
      <c r="A75" s="68"/>
    </row>
    <row r="76" spans="1:1" x14ac:dyDescent="0.25">
      <c r="A76" s="68"/>
    </row>
    <row r="77" spans="1:1" x14ac:dyDescent="0.25">
      <c r="A77" s="68"/>
    </row>
    <row r="78" spans="1:1" x14ac:dyDescent="0.25">
      <c r="A78" s="68"/>
    </row>
    <row r="79" spans="1:1" x14ac:dyDescent="0.25">
      <c r="A79" s="68"/>
    </row>
    <row r="80" spans="1:1" x14ac:dyDescent="0.25">
      <c r="A80" s="68"/>
    </row>
    <row r="81" spans="1:1" x14ac:dyDescent="0.25">
      <c r="A81" s="68"/>
    </row>
    <row r="82" spans="1:1" x14ac:dyDescent="0.25">
      <c r="A82" s="68"/>
    </row>
    <row r="83" spans="1:1" x14ac:dyDescent="0.25">
      <c r="A83" s="68"/>
    </row>
    <row r="84" spans="1:1" x14ac:dyDescent="0.25">
      <c r="A84" s="68"/>
    </row>
    <row r="85" spans="1:1" x14ac:dyDescent="0.25">
      <c r="A85" s="68"/>
    </row>
    <row r="86" spans="1:1" x14ac:dyDescent="0.25">
      <c r="A86" s="68"/>
    </row>
    <row r="87" spans="1:1" x14ac:dyDescent="0.25">
      <c r="A87" s="68"/>
    </row>
    <row r="88" spans="1:1" x14ac:dyDescent="0.25">
      <c r="A88" s="68"/>
    </row>
    <row r="89" spans="1:1" x14ac:dyDescent="0.25">
      <c r="A89" s="68"/>
    </row>
    <row r="90" spans="1:1" x14ac:dyDescent="0.25">
      <c r="A90" s="68"/>
    </row>
    <row r="91" spans="1:1" x14ac:dyDescent="0.25">
      <c r="A91" s="68"/>
    </row>
    <row r="92" spans="1:1" x14ac:dyDescent="0.25">
      <c r="A92" s="68"/>
    </row>
    <row r="93" spans="1:1" x14ac:dyDescent="0.25">
      <c r="A93" s="68"/>
    </row>
    <row r="94" spans="1:1" x14ac:dyDescent="0.25">
      <c r="A94" s="68"/>
    </row>
    <row r="95" spans="1:1" x14ac:dyDescent="0.25">
      <c r="A95" s="68"/>
    </row>
    <row r="96" spans="1:1" x14ac:dyDescent="0.25">
      <c r="A96" s="68"/>
    </row>
    <row r="97" spans="1:1" x14ac:dyDescent="0.25">
      <c r="A97" s="68"/>
    </row>
    <row r="98" spans="1:1" x14ac:dyDescent="0.25">
      <c r="A98" s="68"/>
    </row>
    <row r="99" spans="1:1" x14ac:dyDescent="0.25">
      <c r="A99" s="68"/>
    </row>
    <row r="100" spans="1:1" x14ac:dyDescent="0.25">
      <c r="A100" s="68"/>
    </row>
    <row r="101" spans="1:1" x14ac:dyDescent="0.25">
      <c r="A101" s="68"/>
    </row>
    <row r="102" spans="1:1" x14ac:dyDescent="0.25">
      <c r="A102" s="68"/>
    </row>
    <row r="103" spans="1:1" x14ac:dyDescent="0.25">
      <c r="A103" s="68"/>
    </row>
    <row r="104" spans="1:1" x14ac:dyDescent="0.25">
      <c r="A104" s="68"/>
    </row>
    <row r="105" spans="1:1" x14ac:dyDescent="0.25">
      <c r="A105" s="68"/>
    </row>
    <row r="106" spans="1:1" x14ac:dyDescent="0.25">
      <c r="A106" s="68"/>
    </row>
    <row r="107" spans="1:1" x14ac:dyDescent="0.25">
      <c r="A107" s="68"/>
    </row>
    <row r="108" spans="1:1" x14ac:dyDescent="0.25">
      <c r="A108" s="68"/>
    </row>
    <row r="109" spans="1:1" x14ac:dyDescent="0.25">
      <c r="A109" s="68"/>
    </row>
    <row r="110" spans="1:1" x14ac:dyDescent="0.25">
      <c r="A110" s="68"/>
    </row>
    <row r="111" spans="1:1" x14ac:dyDescent="0.25">
      <c r="A111" s="68"/>
    </row>
    <row r="112" spans="1:1" x14ac:dyDescent="0.25">
      <c r="A112" s="68"/>
    </row>
    <row r="113" spans="1:1" x14ac:dyDescent="0.25">
      <c r="A113" s="68"/>
    </row>
    <row r="114" spans="1:1" x14ac:dyDescent="0.25">
      <c r="A114" s="68"/>
    </row>
    <row r="115" spans="1:1" x14ac:dyDescent="0.25">
      <c r="A115" s="68"/>
    </row>
    <row r="116" spans="1:1" x14ac:dyDescent="0.25">
      <c r="A116" s="68"/>
    </row>
    <row r="117" spans="1:1" x14ac:dyDescent="0.25">
      <c r="A117" s="68"/>
    </row>
    <row r="118" spans="1:1" x14ac:dyDescent="0.25">
      <c r="A118" s="68"/>
    </row>
    <row r="119" spans="1:1" x14ac:dyDescent="0.25">
      <c r="A119" s="68"/>
    </row>
    <row r="120" spans="1:1" x14ac:dyDescent="0.25">
      <c r="A120" s="68"/>
    </row>
    <row r="121" spans="1:1" x14ac:dyDescent="0.25">
      <c r="A121" s="68"/>
    </row>
    <row r="122" spans="1:1" x14ac:dyDescent="0.25">
      <c r="A122" s="68"/>
    </row>
    <row r="123" spans="1:1" x14ac:dyDescent="0.25">
      <c r="A123" s="68"/>
    </row>
    <row r="124" spans="1:1" x14ac:dyDescent="0.25">
      <c r="A124" s="68"/>
    </row>
    <row r="125" spans="1:1" x14ac:dyDescent="0.25">
      <c r="A125" s="68"/>
    </row>
    <row r="126" spans="1:1" x14ac:dyDescent="0.25">
      <c r="A126" s="68"/>
    </row>
    <row r="127" spans="1:1" x14ac:dyDescent="0.25">
      <c r="A127" s="68"/>
    </row>
    <row r="128" spans="1:1" x14ac:dyDescent="0.25">
      <c r="A128" s="68"/>
    </row>
    <row r="129" spans="1:1" x14ac:dyDescent="0.25">
      <c r="A129" s="68"/>
    </row>
    <row r="130" spans="1:1" x14ac:dyDescent="0.25">
      <c r="A130" s="68"/>
    </row>
    <row r="131" spans="1:1" x14ac:dyDescent="0.25">
      <c r="A131" s="68"/>
    </row>
    <row r="132" spans="1:1" x14ac:dyDescent="0.25">
      <c r="A132" s="68"/>
    </row>
    <row r="133" spans="1:1" x14ac:dyDescent="0.25">
      <c r="A133" s="68"/>
    </row>
    <row r="134" spans="1:1" x14ac:dyDescent="0.25">
      <c r="A134" s="68"/>
    </row>
    <row r="135" spans="1:1" x14ac:dyDescent="0.25">
      <c r="A135" s="68"/>
    </row>
    <row r="136" spans="1:1" x14ac:dyDescent="0.25">
      <c r="A136" s="68"/>
    </row>
    <row r="137" spans="1:1" x14ac:dyDescent="0.25">
      <c r="A137" s="68"/>
    </row>
    <row r="138" spans="1:1" x14ac:dyDescent="0.25">
      <c r="A138" s="68"/>
    </row>
    <row r="139" spans="1:1" x14ac:dyDescent="0.25">
      <c r="A139" s="68"/>
    </row>
    <row r="140" spans="1:1" x14ac:dyDescent="0.25">
      <c r="A140" s="68"/>
    </row>
    <row r="141" spans="1:1" x14ac:dyDescent="0.25">
      <c r="A141" s="68"/>
    </row>
    <row r="142" spans="1:1" x14ac:dyDescent="0.25">
      <c r="A142" s="68"/>
    </row>
    <row r="143" spans="1:1" x14ac:dyDescent="0.25">
      <c r="A143" s="68"/>
    </row>
    <row r="144" spans="1:1" x14ac:dyDescent="0.25">
      <c r="A144" s="68"/>
    </row>
    <row r="145" spans="1:1" x14ac:dyDescent="0.25">
      <c r="A145" s="68"/>
    </row>
    <row r="146" spans="1:1" x14ac:dyDescent="0.25">
      <c r="A146" s="68"/>
    </row>
    <row r="147" spans="1:1" x14ac:dyDescent="0.25">
      <c r="A147" s="68"/>
    </row>
    <row r="148" spans="1:1" x14ac:dyDescent="0.25">
      <c r="A148" s="68"/>
    </row>
    <row r="149" spans="1:1" x14ac:dyDescent="0.25">
      <c r="A149" s="68"/>
    </row>
    <row r="150" spans="1:1" x14ac:dyDescent="0.25">
      <c r="A150" s="68"/>
    </row>
    <row r="151" spans="1:1" x14ac:dyDescent="0.25">
      <c r="A151" s="68"/>
    </row>
    <row r="152" spans="1:1" x14ac:dyDescent="0.25">
      <c r="A152" s="68"/>
    </row>
    <row r="153" spans="1:1" x14ac:dyDescent="0.25">
      <c r="A153" s="68"/>
    </row>
    <row r="154" spans="1:1" x14ac:dyDescent="0.25">
      <c r="A154" s="68"/>
    </row>
    <row r="155" spans="1:1" x14ac:dyDescent="0.25">
      <c r="A155" s="68"/>
    </row>
    <row r="156" spans="1:1" x14ac:dyDescent="0.25">
      <c r="A156" s="68"/>
    </row>
    <row r="157" spans="1:1" x14ac:dyDescent="0.25">
      <c r="A157" s="68"/>
    </row>
    <row r="158" spans="1:1" x14ac:dyDescent="0.25">
      <c r="A158" s="68"/>
    </row>
    <row r="159" spans="1:1" x14ac:dyDescent="0.25">
      <c r="A159" s="68"/>
    </row>
    <row r="160" spans="1:1" x14ac:dyDescent="0.25">
      <c r="A160" s="68"/>
    </row>
    <row r="161" spans="1:1" x14ac:dyDescent="0.25">
      <c r="A161" s="68"/>
    </row>
    <row r="162" spans="1:1" x14ac:dyDescent="0.25">
      <c r="A162" s="68"/>
    </row>
    <row r="163" spans="1:1" x14ac:dyDescent="0.25">
      <c r="A163" s="68"/>
    </row>
    <row r="164" spans="1:1" x14ac:dyDescent="0.25">
      <c r="A164" s="68"/>
    </row>
    <row r="165" spans="1:1" x14ac:dyDescent="0.25">
      <c r="A165" s="68"/>
    </row>
    <row r="166" spans="1:1" x14ac:dyDescent="0.25">
      <c r="A166" s="68"/>
    </row>
    <row r="167" spans="1:1" x14ac:dyDescent="0.25">
      <c r="A167" s="68"/>
    </row>
    <row r="168" spans="1:1" x14ac:dyDescent="0.25">
      <c r="A168" s="68"/>
    </row>
    <row r="169" spans="1:1" x14ac:dyDescent="0.25">
      <c r="A169" s="68"/>
    </row>
    <row r="170" spans="1:1" x14ac:dyDescent="0.25">
      <c r="A170" s="68"/>
    </row>
    <row r="171" spans="1:1" x14ac:dyDescent="0.25">
      <c r="A171" s="68"/>
    </row>
    <row r="172" spans="1:1" x14ac:dyDescent="0.25">
      <c r="A172" s="68"/>
    </row>
    <row r="173" spans="1:1" x14ac:dyDescent="0.25">
      <c r="A173" s="68"/>
    </row>
    <row r="174" spans="1:1" x14ac:dyDescent="0.25">
      <c r="A174" s="68"/>
    </row>
    <row r="175" spans="1:1" x14ac:dyDescent="0.25">
      <c r="A175" s="68"/>
    </row>
    <row r="176" spans="1:1" x14ac:dyDescent="0.25">
      <c r="A176" s="68"/>
    </row>
    <row r="177" spans="1:1" x14ac:dyDescent="0.25">
      <c r="A177" s="68"/>
    </row>
    <row r="178" spans="1:1" x14ac:dyDescent="0.25">
      <c r="A178" s="68"/>
    </row>
    <row r="179" spans="1:1" x14ac:dyDescent="0.25">
      <c r="A179" s="68"/>
    </row>
    <row r="180" spans="1:1" x14ac:dyDescent="0.25">
      <c r="A180" s="68"/>
    </row>
    <row r="181" spans="1:1" x14ac:dyDescent="0.25">
      <c r="A181" s="68"/>
    </row>
    <row r="182" spans="1:1" x14ac:dyDescent="0.25">
      <c r="A182" s="68"/>
    </row>
    <row r="183" spans="1:1" x14ac:dyDescent="0.25">
      <c r="A183" s="68"/>
    </row>
    <row r="184" spans="1:1" x14ac:dyDescent="0.25">
      <c r="A184" s="68"/>
    </row>
    <row r="185" spans="1:1" x14ac:dyDescent="0.25">
      <c r="A185" s="68"/>
    </row>
    <row r="186" spans="1:1" x14ac:dyDescent="0.25">
      <c r="A186" s="68"/>
    </row>
    <row r="187" spans="1:1" x14ac:dyDescent="0.25">
      <c r="A187" s="68"/>
    </row>
    <row r="188" spans="1:1" x14ac:dyDescent="0.25">
      <c r="A188" s="68"/>
    </row>
    <row r="189" spans="1:1" x14ac:dyDescent="0.25">
      <c r="A189" s="68"/>
    </row>
    <row r="190" spans="1:1" x14ac:dyDescent="0.25">
      <c r="A190" s="68"/>
    </row>
    <row r="191" spans="1:1" x14ac:dyDescent="0.25">
      <c r="A191" s="68"/>
    </row>
    <row r="192" spans="1:1" x14ac:dyDescent="0.25">
      <c r="A192" s="68"/>
    </row>
    <row r="193" spans="1:1" x14ac:dyDescent="0.25">
      <c r="A193" s="68"/>
    </row>
    <row r="194" spans="1:1" x14ac:dyDescent="0.25">
      <c r="A194" s="68"/>
    </row>
    <row r="195" spans="1:1" x14ac:dyDescent="0.25">
      <c r="A195" s="68"/>
    </row>
    <row r="196" spans="1:1" x14ac:dyDescent="0.25">
      <c r="A196" s="68"/>
    </row>
    <row r="197" spans="1:1" x14ac:dyDescent="0.25">
      <c r="A197" s="68"/>
    </row>
    <row r="198" spans="1:1" x14ac:dyDescent="0.25">
      <c r="A198" s="68"/>
    </row>
    <row r="199" spans="1:1" x14ac:dyDescent="0.25">
      <c r="A199" s="68"/>
    </row>
    <row r="200" spans="1:1" x14ac:dyDescent="0.25">
      <c r="A200" s="68"/>
    </row>
    <row r="201" spans="1:1" x14ac:dyDescent="0.25">
      <c r="A201" s="68"/>
    </row>
    <row r="202" spans="1:1" x14ac:dyDescent="0.25">
      <c r="A202" s="68"/>
    </row>
    <row r="203" spans="1:1" x14ac:dyDescent="0.25">
      <c r="A203" s="68"/>
    </row>
    <row r="204" spans="1:1" x14ac:dyDescent="0.25">
      <c r="A204" s="68"/>
    </row>
    <row r="205" spans="1:1" x14ac:dyDescent="0.25">
      <c r="A205" s="68"/>
    </row>
    <row r="206" spans="1:1" x14ac:dyDescent="0.25">
      <c r="A206" s="68"/>
    </row>
    <row r="207" spans="1:1" x14ac:dyDescent="0.25">
      <c r="A207" s="68"/>
    </row>
    <row r="208" spans="1:1" x14ac:dyDescent="0.25">
      <c r="A208" s="68"/>
    </row>
    <row r="209" spans="1:1" x14ac:dyDescent="0.25">
      <c r="A209" s="68"/>
    </row>
    <row r="210" spans="1:1" x14ac:dyDescent="0.25">
      <c r="A210" s="68"/>
    </row>
    <row r="211" spans="1:1" x14ac:dyDescent="0.25">
      <c r="A211" s="68"/>
    </row>
    <row r="212" spans="1:1" x14ac:dyDescent="0.25">
      <c r="A212" s="68"/>
    </row>
    <row r="213" spans="1:1" x14ac:dyDescent="0.25">
      <c r="A213" s="68"/>
    </row>
    <row r="214" spans="1:1" x14ac:dyDescent="0.25">
      <c r="A214" s="68"/>
    </row>
    <row r="215" spans="1:1" x14ac:dyDescent="0.25">
      <c r="A215" s="68"/>
    </row>
    <row r="216" spans="1:1" x14ac:dyDescent="0.25">
      <c r="A216" s="68"/>
    </row>
    <row r="217" spans="1:1" x14ac:dyDescent="0.25">
      <c r="A217" s="68"/>
    </row>
    <row r="218" spans="1:1" x14ac:dyDescent="0.25">
      <c r="A218" s="68"/>
    </row>
    <row r="219" spans="1:1" x14ac:dyDescent="0.25">
      <c r="A219" s="68"/>
    </row>
    <row r="220" spans="1:1" x14ac:dyDescent="0.25">
      <c r="A220" s="68"/>
    </row>
    <row r="221" spans="1:1" x14ac:dyDescent="0.25">
      <c r="A221" s="68"/>
    </row>
    <row r="222" spans="1:1" x14ac:dyDescent="0.25">
      <c r="A222" s="68"/>
    </row>
    <row r="223" spans="1:1" x14ac:dyDescent="0.25">
      <c r="A223" s="68"/>
    </row>
    <row r="224" spans="1:1" x14ac:dyDescent="0.25">
      <c r="A224" s="68"/>
    </row>
    <row r="225" spans="1:1" x14ac:dyDescent="0.25">
      <c r="A225" s="68"/>
    </row>
    <row r="226" spans="1:1" x14ac:dyDescent="0.25">
      <c r="A226" s="68"/>
    </row>
    <row r="227" spans="1:1" x14ac:dyDescent="0.25">
      <c r="A227" s="68"/>
    </row>
    <row r="228" spans="1:1" x14ac:dyDescent="0.25">
      <c r="A228" s="68"/>
    </row>
    <row r="229" spans="1:1" x14ac:dyDescent="0.25">
      <c r="A229" s="68"/>
    </row>
    <row r="230" spans="1:1" x14ac:dyDescent="0.25">
      <c r="A230" s="68"/>
    </row>
    <row r="231" spans="1:1" x14ac:dyDescent="0.25">
      <c r="A231" s="68"/>
    </row>
    <row r="232" spans="1:1" x14ac:dyDescent="0.25">
      <c r="A232" s="68"/>
    </row>
    <row r="233" spans="1:1" x14ac:dyDescent="0.25">
      <c r="A233" s="68"/>
    </row>
    <row r="234" spans="1:1" x14ac:dyDescent="0.25">
      <c r="A234" s="68"/>
    </row>
    <row r="235" spans="1:1" x14ac:dyDescent="0.25">
      <c r="A235" s="68"/>
    </row>
    <row r="236" spans="1:1" x14ac:dyDescent="0.25">
      <c r="A236" s="68"/>
    </row>
    <row r="237" spans="1:1" x14ac:dyDescent="0.25">
      <c r="A237" s="68"/>
    </row>
    <row r="238" spans="1:1" x14ac:dyDescent="0.25">
      <c r="A238" s="68"/>
    </row>
    <row r="239" spans="1:1" x14ac:dyDescent="0.25">
      <c r="A239" s="68"/>
    </row>
    <row r="240" spans="1:1" x14ac:dyDescent="0.25">
      <c r="A240" s="68"/>
    </row>
    <row r="241" spans="1:1" x14ac:dyDescent="0.25">
      <c r="A241" s="68"/>
    </row>
    <row r="242" spans="1:1" x14ac:dyDescent="0.25">
      <c r="A242" s="68"/>
    </row>
    <row r="243" spans="1:1" x14ac:dyDescent="0.25">
      <c r="A243" s="68"/>
    </row>
    <row r="244" spans="1:1" x14ac:dyDescent="0.25">
      <c r="A244" s="68"/>
    </row>
    <row r="245" spans="1:1" x14ac:dyDescent="0.25">
      <c r="A245" s="68"/>
    </row>
    <row r="246" spans="1:1" x14ac:dyDescent="0.25">
      <c r="A246" s="68"/>
    </row>
    <row r="247" spans="1:1" x14ac:dyDescent="0.25">
      <c r="A247" s="68"/>
    </row>
    <row r="248" spans="1:1" x14ac:dyDescent="0.25">
      <c r="A248" s="68"/>
    </row>
    <row r="249" spans="1:1" x14ac:dyDescent="0.25">
      <c r="A249" s="68"/>
    </row>
    <row r="250" spans="1:1" x14ac:dyDescent="0.25">
      <c r="A250" s="68"/>
    </row>
    <row r="251" spans="1:1" x14ac:dyDescent="0.25">
      <c r="A251" s="68"/>
    </row>
    <row r="252" spans="1:1" x14ac:dyDescent="0.25">
      <c r="A252" s="68"/>
    </row>
    <row r="253" spans="1:1" x14ac:dyDescent="0.25">
      <c r="A253" s="68"/>
    </row>
    <row r="254" spans="1:1" x14ac:dyDescent="0.25">
      <c r="A254" s="68"/>
    </row>
    <row r="255" spans="1:1" x14ac:dyDescent="0.25">
      <c r="A255" s="68"/>
    </row>
    <row r="256" spans="1:1" x14ac:dyDescent="0.25">
      <c r="A256" s="68"/>
    </row>
    <row r="257" spans="1:1" x14ac:dyDescent="0.25">
      <c r="A257" s="68"/>
    </row>
    <row r="258" spans="1:1" x14ac:dyDescent="0.25">
      <c r="A258" s="68"/>
    </row>
    <row r="259" spans="1:1" x14ac:dyDescent="0.25">
      <c r="A259" s="68"/>
    </row>
    <row r="260" spans="1:1" x14ac:dyDescent="0.25">
      <c r="A260" s="68"/>
    </row>
    <row r="261" spans="1:1" x14ac:dyDescent="0.25">
      <c r="A261" s="68"/>
    </row>
    <row r="262" spans="1:1" x14ac:dyDescent="0.25">
      <c r="A262" s="68"/>
    </row>
    <row r="263" spans="1:1" x14ac:dyDescent="0.25">
      <c r="A263" s="68"/>
    </row>
    <row r="264" spans="1:1" x14ac:dyDescent="0.25">
      <c r="A264" s="68"/>
    </row>
    <row r="265" spans="1:1" x14ac:dyDescent="0.25">
      <c r="A265" s="68"/>
    </row>
    <row r="266" spans="1:1" x14ac:dyDescent="0.25">
      <c r="A266" s="68"/>
    </row>
    <row r="267" spans="1:1" x14ac:dyDescent="0.25">
      <c r="A267" s="68"/>
    </row>
    <row r="268" spans="1:1" x14ac:dyDescent="0.25">
      <c r="A268" s="68"/>
    </row>
    <row r="269" spans="1:1" x14ac:dyDescent="0.25">
      <c r="A269" s="68"/>
    </row>
    <row r="270" spans="1:1" x14ac:dyDescent="0.25">
      <c r="A270" s="68"/>
    </row>
    <row r="271" spans="1:1" x14ac:dyDescent="0.25">
      <c r="A271" s="68"/>
    </row>
    <row r="272" spans="1:1" x14ac:dyDescent="0.25">
      <c r="A272" s="68"/>
    </row>
    <row r="273" spans="1:1" x14ac:dyDescent="0.25">
      <c r="A273" s="68"/>
    </row>
    <row r="274" spans="1:1" x14ac:dyDescent="0.25">
      <c r="A274" s="68"/>
    </row>
    <row r="275" spans="1:1" x14ac:dyDescent="0.25">
      <c r="A275" s="68"/>
    </row>
    <row r="276" spans="1:1" x14ac:dyDescent="0.25">
      <c r="A276" s="68"/>
    </row>
    <row r="277" spans="1:1" x14ac:dyDescent="0.25">
      <c r="A277" s="68"/>
    </row>
    <row r="278" spans="1:1" x14ac:dyDescent="0.25">
      <c r="A278" s="68"/>
    </row>
    <row r="279" spans="1:1" x14ac:dyDescent="0.25">
      <c r="A279" s="68"/>
    </row>
    <row r="280" spans="1:1" x14ac:dyDescent="0.25">
      <c r="A280" s="68"/>
    </row>
    <row r="281" spans="1:1" x14ac:dyDescent="0.25">
      <c r="A281" s="68"/>
    </row>
    <row r="282" spans="1:1" x14ac:dyDescent="0.25">
      <c r="A282" s="68"/>
    </row>
    <row r="283" spans="1:1" x14ac:dyDescent="0.25">
      <c r="A283" s="68"/>
    </row>
    <row r="284" spans="1:1" x14ac:dyDescent="0.25">
      <c r="A284" s="68"/>
    </row>
    <row r="285" spans="1:1" x14ac:dyDescent="0.25">
      <c r="A285" s="68"/>
    </row>
    <row r="286" spans="1:1" x14ac:dyDescent="0.25">
      <c r="A286" s="68"/>
    </row>
    <row r="287" spans="1:1" x14ac:dyDescent="0.25">
      <c r="A287" s="68"/>
    </row>
    <row r="288" spans="1:1" x14ac:dyDescent="0.25">
      <c r="A288" s="68"/>
    </row>
    <row r="289" spans="1:1" x14ac:dyDescent="0.25">
      <c r="A289" s="68"/>
    </row>
    <row r="290" spans="1:1" x14ac:dyDescent="0.25">
      <c r="A290" s="68"/>
    </row>
    <row r="291" spans="1:1" x14ac:dyDescent="0.25">
      <c r="A291" s="68"/>
    </row>
    <row r="292" spans="1:1" x14ac:dyDescent="0.25">
      <c r="A292" s="68"/>
    </row>
    <row r="293" spans="1:1" x14ac:dyDescent="0.25">
      <c r="A293" s="68"/>
    </row>
    <row r="294" spans="1:1" x14ac:dyDescent="0.25">
      <c r="A294" s="68"/>
    </row>
    <row r="295" spans="1:1" x14ac:dyDescent="0.25">
      <c r="A295" s="68"/>
    </row>
    <row r="296" spans="1:1" x14ac:dyDescent="0.25">
      <c r="A296" s="68"/>
    </row>
    <row r="297" spans="1:1" x14ac:dyDescent="0.25">
      <c r="A297" s="68"/>
    </row>
    <row r="298" spans="1:1" x14ac:dyDescent="0.25">
      <c r="A298" s="68"/>
    </row>
    <row r="299" spans="1:1" x14ac:dyDescent="0.25">
      <c r="A299" s="68"/>
    </row>
    <row r="300" spans="1:1" x14ac:dyDescent="0.25">
      <c r="A300" s="68"/>
    </row>
    <row r="301" spans="1:1" x14ac:dyDescent="0.25">
      <c r="A301" s="68"/>
    </row>
    <row r="302" spans="1:1" x14ac:dyDescent="0.25">
      <c r="A302" s="68"/>
    </row>
    <row r="303" spans="1:1" x14ac:dyDescent="0.25">
      <c r="A303" s="68"/>
    </row>
    <row r="304" spans="1:1" x14ac:dyDescent="0.25">
      <c r="A304" s="68"/>
    </row>
    <row r="305" spans="1:1" x14ac:dyDescent="0.25">
      <c r="A305" s="68"/>
    </row>
    <row r="306" spans="1:1" x14ac:dyDescent="0.25">
      <c r="A306" s="68"/>
    </row>
    <row r="307" spans="1:1" x14ac:dyDescent="0.25">
      <c r="A307" s="68"/>
    </row>
    <row r="308" spans="1:1" x14ac:dyDescent="0.25">
      <c r="A308" s="68"/>
    </row>
    <row r="309" spans="1:1" x14ac:dyDescent="0.25">
      <c r="A309" s="68"/>
    </row>
    <row r="310" spans="1:1" x14ac:dyDescent="0.25">
      <c r="A310" s="68"/>
    </row>
    <row r="311" spans="1:1" x14ac:dyDescent="0.25">
      <c r="A311" s="68"/>
    </row>
    <row r="312" spans="1:1" x14ac:dyDescent="0.25">
      <c r="A312" s="68"/>
    </row>
    <row r="313" spans="1:1" x14ac:dyDescent="0.25">
      <c r="A313" s="68"/>
    </row>
    <row r="314" spans="1:1" x14ac:dyDescent="0.25">
      <c r="A314" s="68"/>
    </row>
    <row r="315" spans="1:1" x14ac:dyDescent="0.25">
      <c r="A315" s="68"/>
    </row>
    <row r="316" spans="1:1" x14ac:dyDescent="0.25">
      <c r="A316" s="68"/>
    </row>
    <row r="317" spans="1:1" x14ac:dyDescent="0.25">
      <c r="A317" s="68"/>
    </row>
    <row r="318" spans="1:1" x14ac:dyDescent="0.25">
      <c r="A318" s="68"/>
    </row>
    <row r="319" spans="1:1" x14ac:dyDescent="0.25">
      <c r="A319" s="68"/>
    </row>
    <row r="320" spans="1:1" x14ac:dyDescent="0.25">
      <c r="A320" s="68"/>
    </row>
    <row r="321" spans="1:1" x14ac:dyDescent="0.25">
      <c r="A321" s="68"/>
    </row>
    <row r="322" spans="1:1" x14ac:dyDescent="0.25">
      <c r="A322" s="68"/>
    </row>
    <row r="323" spans="1:1" x14ac:dyDescent="0.25">
      <c r="A323" s="68"/>
    </row>
    <row r="324" spans="1:1" x14ac:dyDescent="0.25">
      <c r="A324" s="68"/>
    </row>
    <row r="325" spans="1:1" x14ac:dyDescent="0.25">
      <c r="A325" s="68"/>
    </row>
    <row r="326" spans="1:1" x14ac:dyDescent="0.25">
      <c r="A326" s="68"/>
    </row>
    <row r="327" spans="1:1" x14ac:dyDescent="0.25">
      <c r="A327" s="68"/>
    </row>
    <row r="328" spans="1:1" x14ac:dyDescent="0.25">
      <c r="A328" s="68"/>
    </row>
    <row r="329" spans="1:1" x14ac:dyDescent="0.25">
      <c r="A329" s="68"/>
    </row>
    <row r="330" spans="1:1" x14ac:dyDescent="0.25">
      <c r="A330" s="68"/>
    </row>
    <row r="331" spans="1:1" x14ac:dyDescent="0.25">
      <c r="A331" s="68"/>
    </row>
    <row r="332" spans="1:1" x14ac:dyDescent="0.25">
      <c r="A332" s="68"/>
    </row>
    <row r="333" spans="1:1" x14ac:dyDescent="0.25">
      <c r="A333" s="68"/>
    </row>
    <row r="334" spans="1:1" x14ac:dyDescent="0.25">
      <c r="A334" s="68"/>
    </row>
    <row r="335" spans="1:1" x14ac:dyDescent="0.25">
      <c r="A335" s="68"/>
    </row>
    <row r="336" spans="1:1" x14ac:dyDescent="0.25">
      <c r="A336" s="68"/>
    </row>
    <row r="337" spans="1:1" x14ac:dyDescent="0.25">
      <c r="A337" s="68"/>
    </row>
    <row r="338" spans="1:1" x14ac:dyDescent="0.25">
      <c r="A338" s="68"/>
    </row>
    <row r="339" spans="1:1" x14ac:dyDescent="0.25">
      <c r="A339" s="68"/>
    </row>
    <row r="340" spans="1:1" x14ac:dyDescent="0.25">
      <c r="A340" s="68"/>
    </row>
    <row r="341" spans="1:1" x14ac:dyDescent="0.25">
      <c r="A341" s="68"/>
    </row>
    <row r="342" spans="1:1" x14ac:dyDescent="0.25">
      <c r="A342" s="68"/>
    </row>
    <row r="343" spans="1:1" x14ac:dyDescent="0.25">
      <c r="A343" s="68"/>
    </row>
    <row r="344" spans="1:1" x14ac:dyDescent="0.25">
      <c r="A344" s="68"/>
    </row>
    <row r="345" spans="1:1" x14ac:dyDescent="0.25">
      <c r="A345" s="68"/>
    </row>
    <row r="346" spans="1:1" x14ac:dyDescent="0.25">
      <c r="A346" s="68"/>
    </row>
    <row r="347" spans="1:1" x14ac:dyDescent="0.25">
      <c r="A347" s="68"/>
    </row>
    <row r="348" spans="1:1" x14ac:dyDescent="0.25">
      <c r="A348" s="68"/>
    </row>
    <row r="349" spans="1:1" x14ac:dyDescent="0.25">
      <c r="A349" s="68"/>
    </row>
    <row r="350" spans="1:1" x14ac:dyDescent="0.25">
      <c r="A350" s="68"/>
    </row>
    <row r="351" spans="1:1" x14ac:dyDescent="0.25">
      <c r="A351" s="68"/>
    </row>
    <row r="352" spans="1:1" x14ac:dyDescent="0.25">
      <c r="A352" s="68"/>
    </row>
    <row r="353" spans="1:1" x14ac:dyDescent="0.25">
      <c r="A353" s="68"/>
    </row>
    <row r="354" spans="1:1" x14ac:dyDescent="0.25">
      <c r="A354" s="68"/>
    </row>
    <row r="355" spans="1:1" x14ac:dyDescent="0.25">
      <c r="A355" s="68"/>
    </row>
    <row r="356" spans="1:1" x14ac:dyDescent="0.25">
      <c r="A356" s="68"/>
    </row>
    <row r="357" spans="1:1" x14ac:dyDescent="0.25">
      <c r="A357" s="68"/>
    </row>
    <row r="358" spans="1:1" x14ac:dyDescent="0.25">
      <c r="A358" s="68"/>
    </row>
    <row r="359" spans="1:1" x14ac:dyDescent="0.25">
      <c r="A359" s="68"/>
    </row>
    <row r="360" spans="1:1" x14ac:dyDescent="0.25">
      <c r="A360" s="68"/>
    </row>
    <row r="361" spans="1:1" x14ac:dyDescent="0.25">
      <c r="A361" s="68"/>
    </row>
    <row r="362" spans="1:1" x14ac:dyDescent="0.25">
      <c r="A362" s="68"/>
    </row>
    <row r="363" spans="1:1" x14ac:dyDescent="0.25">
      <c r="A363" s="68"/>
    </row>
    <row r="364" spans="1:1" x14ac:dyDescent="0.25">
      <c r="A364" s="68"/>
    </row>
    <row r="365" spans="1:1" x14ac:dyDescent="0.25">
      <c r="A365" s="68"/>
    </row>
    <row r="366" spans="1:1" x14ac:dyDescent="0.25">
      <c r="A366" s="68"/>
    </row>
    <row r="367" spans="1:1" x14ac:dyDescent="0.25">
      <c r="A367" s="68"/>
    </row>
    <row r="368" spans="1:1" x14ac:dyDescent="0.25">
      <c r="A368" s="68"/>
    </row>
    <row r="369" spans="1:1" x14ac:dyDescent="0.25">
      <c r="A369" s="68"/>
    </row>
    <row r="370" spans="1:1" x14ac:dyDescent="0.25">
      <c r="A370" s="68"/>
    </row>
    <row r="371" spans="1:1" x14ac:dyDescent="0.25">
      <c r="A371" s="68"/>
    </row>
    <row r="372" spans="1:1" x14ac:dyDescent="0.25">
      <c r="A372" s="68"/>
    </row>
    <row r="373" spans="1:1" x14ac:dyDescent="0.25">
      <c r="A373" s="68"/>
    </row>
    <row r="374" spans="1:1" x14ac:dyDescent="0.25">
      <c r="A374" s="68"/>
    </row>
    <row r="375" spans="1:1" x14ac:dyDescent="0.25">
      <c r="A375" s="68"/>
    </row>
    <row r="376" spans="1:1" x14ac:dyDescent="0.25">
      <c r="A376" s="68"/>
    </row>
    <row r="377" spans="1:1" x14ac:dyDescent="0.25">
      <c r="A377" s="68"/>
    </row>
    <row r="378" spans="1:1" x14ac:dyDescent="0.25">
      <c r="A378" s="68"/>
    </row>
    <row r="379" spans="1:1" x14ac:dyDescent="0.25">
      <c r="A379" s="68"/>
    </row>
    <row r="380" spans="1:1" x14ac:dyDescent="0.25">
      <c r="A380" s="68"/>
    </row>
    <row r="381" spans="1:1" x14ac:dyDescent="0.25">
      <c r="A381" s="68"/>
    </row>
    <row r="382" spans="1:1" x14ac:dyDescent="0.25">
      <c r="A382" s="68"/>
    </row>
    <row r="383" spans="1:1" x14ac:dyDescent="0.25">
      <c r="A383" s="68"/>
    </row>
    <row r="384" spans="1:1" x14ac:dyDescent="0.25">
      <c r="A384" s="68"/>
    </row>
    <row r="385" spans="1:1" x14ac:dyDescent="0.25">
      <c r="A385" s="68"/>
    </row>
    <row r="386" spans="1:1" x14ac:dyDescent="0.25">
      <c r="A386" s="68"/>
    </row>
    <row r="387" spans="1:1" x14ac:dyDescent="0.25">
      <c r="A387" s="68"/>
    </row>
    <row r="388" spans="1:1" x14ac:dyDescent="0.25">
      <c r="A388" s="68"/>
    </row>
    <row r="389" spans="1:1" x14ac:dyDescent="0.25">
      <c r="A389" s="68"/>
    </row>
    <row r="390" spans="1:1" x14ac:dyDescent="0.25">
      <c r="A390" s="68"/>
    </row>
    <row r="391" spans="1:1" x14ac:dyDescent="0.25">
      <c r="A391" s="68"/>
    </row>
    <row r="392" spans="1:1" x14ac:dyDescent="0.25">
      <c r="A392" s="68"/>
    </row>
    <row r="393" spans="1:1" x14ac:dyDescent="0.25">
      <c r="A393" s="68"/>
    </row>
    <row r="394" spans="1:1" x14ac:dyDescent="0.25">
      <c r="A394" s="68"/>
    </row>
    <row r="395" spans="1:1" x14ac:dyDescent="0.25">
      <c r="A395" s="68"/>
    </row>
    <row r="396" spans="1:1" x14ac:dyDescent="0.25">
      <c r="A396" s="68"/>
    </row>
    <row r="397" spans="1:1" x14ac:dyDescent="0.25">
      <c r="A397" s="68"/>
    </row>
    <row r="398" spans="1:1" x14ac:dyDescent="0.25">
      <c r="A398" s="68"/>
    </row>
    <row r="399" spans="1:1" x14ac:dyDescent="0.25">
      <c r="A399" s="68"/>
    </row>
    <row r="400" spans="1:1" x14ac:dyDescent="0.25">
      <c r="A400" s="68"/>
    </row>
    <row r="401" spans="1:1" x14ac:dyDescent="0.25">
      <c r="A401" s="68"/>
    </row>
    <row r="402" spans="1:1" x14ac:dyDescent="0.25">
      <c r="A402" s="68"/>
    </row>
    <row r="403" spans="1:1" x14ac:dyDescent="0.25">
      <c r="A403" s="68"/>
    </row>
    <row r="404" spans="1:1" x14ac:dyDescent="0.25">
      <c r="A404" s="68"/>
    </row>
    <row r="405" spans="1:1" x14ac:dyDescent="0.25">
      <c r="A405" s="68"/>
    </row>
    <row r="406" spans="1:1" x14ac:dyDescent="0.25">
      <c r="A406" s="68"/>
    </row>
    <row r="407" spans="1:1" x14ac:dyDescent="0.25">
      <c r="A407" s="68"/>
    </row>
    <row r="408" spans="1:1" x14ac:dyDescent="0.25">
      <c r="A408" s="68"/>
    </row>
    <row r="409" spans="1:1" x14ac:dyDescent="0.25">
      <c r="A409" s="68"/>
    </row>
    <row r="410" spans="1:1" x14ac:dyDescent="0.25">
      <c r="A410" s="68"/>
    </row>
    <row r="411" spans="1:1" x14ac:dyDescent="0.25">
      <c r="A411" s="68"/>
    </row>
    <row r="412" spans="1:1" x14ac:dyDescent="0.25">
      <c r="A412" s="68"/>
    </row>
    <row r="413" spans="1:1" x14ac:dyDescent="0.25">
      <c r="A413" s="68"/>
    </row>
    <row r="414" spans="1:1" x14ac:dyDescent="0.25">
      <c r="A414" s="68"/>
    </row>
    <row r="415" spans="1:1" x14ac:dyDescent="0.25">
      <c r="A415" s="68"/>
    </row>
    <row r="416" spans="1:1" x14ac:dyDescent="0.25">
      <c r="A416" s="68"/>
    </row>
    <row r="417" spans="1:1" x14ac:dyDescent="0.25">
      <c r="A417" s="68"/>
    </row>
    <row r="418" spans="1:1" x14ac:dyDescent="0.25">
      <c r="A418" s="68"/>
    </row>
    <row r="419" spans="1:1" x14ac:dyDescent="0.25">
      <c r="A419" s="68"/>
    </row>
    <row r="420" spans="1:1" x14ac:dyDescent="0.25">
      <c r="A420" s="68"/>
    </row>
    <row r="421" spans="1:1" x14ac:dyDescent="0.25">
      <c r="A421" s="68"/>
    </row>
    <row r="422" spans="1:1" x14ac:dyDescent="0.25">
      <c r="A422" s="68"/>
    </row>
    <row r="423" spans="1:1" x14ac:dyDescent="0.25">
      <c r="A423" s="68"/>
    </row>
    <row r="424" spans="1:1" x14ac:dyDescent="0.25">
      <c r="A424" s="68"/>
    </row>
    <row r="425" spans="1:1" x14ac:dyDescent="0.25">
      <c r="A425" s="68"/>
    </row>
    <row r="426" spans="1:1" x14ac:dyDescent="0.25">
      <c r="A426" s="68"/>
    </row>
    <row r="427" spans="1:1" x14ac:dyDescent="0.25">
      <c r="A427" s="68"/>
    </row>
    <row r="428" spans="1:1" x14ac:dyDescent="0.25">
      <c r="A428" s="68"/>
    </row>
    <row r="429" spans="1:1" x14ac:dyDescent="0.25">
      <c r="A429" s="68"/>
    </row>
    <row r="430" spans="1:1" x14ac:dyDescent="0.25">
      <c r="A430" s="68"/>
    </row>
    <row r="431" spans="1:1" x14ac:dyDescent="0.25">
      <c r="A431" s="68"/>
    </row>
    <row r="432" spans="1:1" x14ac:dyDescent="0.25">
      <c r="A432" s="68"/>
    </row>
    <row r="433" spans="1:1" x14ac:dyDescent="0.25">
      <c r="A433" s="68"/>
    </row>
    <row r="434" spans="1:1" x14ac:dyDescent="0.25">
      <c r="A434" s="68"/>
    </row>
    <row r="435" spans="1:1" x14ac:dyDescent="0.25">
      <c r="A435" s="68"/>
    </row>
    <row r="436" spans="1:1" x14ac:dyDescent="0.25">
      <c r="A436" s="68"/>
    </row>
    <row r="437" spans="1:1" x14ac:dyDescent="0.25">
      <c r="A437" s="68"/>
    </row>
    <row r="438" spans="1:1" x14ac:dyDescent="0.25">
      <c r="A438" s="68"/>
    </row>
    <row r="439" spans="1:1" x14ac:dyDescent="0.25">
      <c r="A439" s="68"/>
    </row>
    <row r="440" spans="1:1" x14ac:dyDescent="0.25">
      <c r="A440" s="68"/>
    </row>
    <row r="441" spans="1:1" x14ac:dyDescent="0.25">
      <c r="A441" s="68"/>
    </row>
    <row r="442" spans="1:1" x14ac:dyDescent="0.25">
      <c r="A442" s="68"/>
    </row>
    <row r="443" spans="1:1" x14ac:dyDescent="0.25">
      <c r="A443" s="68"/>
    </row>
    <row r="444" spans="1:1" x14ac:dyDescent="0.25">
      <c r="A444" s="68"/>
    </row>
    <row r="445" spans="1:1" x14ac:dyDescent="0.25">
      <c r="A445" s="68"/>
    </row>
    <row r="446" spans="1:1" x14ac:dyDescent="0.25">
      <c r="A446" s="68"/>
    </row>
    <row r="447" spans="1:1" x14ac:dyDescent="0.25">
      <c r="A447" s="68"/>
    </row>
    <row r="448" spans="1:1" x14ac:dyDescent="0.25">
      <c r="A448" s="68"/>
    </row>
    <row r="449" spans="1:1" x14ac:dyDescent="0.25">
      <c r="A449" s="68"/>
    </row>
    <row r="450" spans="1:1" x14ac:dyDescent="0.25">
      <c r="A450" s="68"/>
    </row>
    <row r="451" spans="1:1" x14ac:dyDescent="0.25">
      <c r="A451" s="68"/>
    </row>
    <row r="452" spans="1:1" x14ac:dyDescent="0.25">
      <c r="A452" s="68"/>
    </row>
    <row r="453" spans="1:1" x14ac:dyDescent="0.25">
      <c r="A453" s="68"/>
    </row>
    <row r="454" spans="1:1" x14ac:dyDescent="0.25">
      <c r="A454" s="68"/>
    </row>
    <row r="455" spans="1:1" x14ac:dyDescent="0.25">
      <c r="A455" s="68"/>
    </row>
    <row r="456" spans="1:1" x14ac:dyDescent="0.25">
      <c r="A456" s="68"/>
    </row>
    <row r="457" spans="1:1" x14ac:dyDescent="0.25">
      <c r="A457" s="68"/>
    </row>
    <row r="458" spans="1:1" x14ac:dyDescent="0.25">
      <c r="A458" s="68"/>
    </row>
    <row r="459" spans="1:1" x14ac:dyDescent="0.25">
      <c r="A459" s="68"/>
    </row>
    <row r="460" spans="1:1" x14ac:dyDescent="0.25">
      <c r="A460" s="68"/>
    </row>
    <row r="461" spans="1:1" x14ac:dyDescent="0.25">
      <c r="A461" s="68"/>
    </row>
    <row r="462" spans="1:1" x14ac:dyDescent="0.25">
      <c r="A462" s="68"/>
    </row>
    <row r="463" spans="1:1" x14ac:dyDescent="0.25">
      <c r="A463" s="68"/>
    </row>
    <row r="464" spans="1:1" x14ac:dyDescent="0.25">
      <c r="A464" s="68"/>
    </row>
    <row r="465" spans="1:1" x14ac:dyDescent="0.25">
      <c r="A465" s="68"/>
    </row>
    <row r="466" spans="1:1" x14ac:dyDescent="0.25">
      <c r="A466" s="68"/>
    </row>
    <row r="467" spans="1:1" x14ac:dyDescent="0.25">
      <c r="A467" s="68"/>
    </row>
    <row r="468" spans="1:1" x14ac:dyDescent="0.25">
      <c r="A468" s="68"/>
    </row>
    <row r="469" spans="1:1" x14ac:dyDescent="0.25">
      <c r="A469" s="68"/>
    </row>
    <row r="470" spans="1:1" x14ac:dyDescent="0.25">
      <c r="A470" s="68"/>
    </row>
    <row r="471" spans="1:1" x14ac:dyDescent="0.25">
      <c r="A471" s="68"/>
    </row>
    <row r="472" spans="1:1" x14ac:dyDescent="0.25">
      <c r="A472" s="68"/>
    </row>
    <row r="473" spans="1:1" x14ac:dyDescent="0.25">
      <c r="A473" s="68"/>
    </row>
    <row r="474" spans="1:1" x14ac:dyDescent="0.25">
      <c r="A474" s="68"/>
    </row>
    <row r="475" spans="1:1" x14ac:dyDescent="0.25">
      <c r="A475" s="68"/>
    </row>
    <row r="476" spans="1:1" x14ac:dyDescent="0.25">
      <c r="A476" s="68"/>
    </row>
    <row r="477" spans="1:1" x14ac:dyDescent="0.25">
      <c r="A477" s="68"/>
    </row>
    <row r="478" spans="1:1" x14ac:dyDescent="0.25">
      <c r="A478" s="68"/>
    </row>
    <row r="479" spans="1:1" x14ac:dyDescent="0.25">
      <c r="A479" s="68"/>
    </row>
    <row r="480" spans="1:1" x14ac:dyDescent="0.25">
      <c r="A480" s="68"/>
    </row>
    <row r="481" spans="1:1" x14ac:dyDescent="0.25">
      <c r="A481" s="68"/>
    </row>
    <row r="482" spans="1:1" x14ac:dyDescent="0.25">
      <c r="A482" s="68"/>
    </row>
    <row r="483" spans="1:1" x14ac:dyDescent="0.25">
      <c r="A483" s="68"/>
    </row>
    <row r="484" spans="1:1" x14ac:dyDescent="0.25">
      <c r="A484" s="68"/>
    </row>
    <row r="485" spans="1:1" x14ac:dyDescent="0.25">
      <c r="A485" s="68"/>
    </row>
    <row r="486" spans="1:1" x14ac:dyDescent="0.25">
      <c r="A486" s="68"/>
    </row>
    <row r="487" spans="1:1" x14ac:dyDescent="0.25">
      <c r="A487" s="68"/>
    </row>
    <row r="488" spans="1:1" x14ac:dyDescent="0.25">
      <c r="A488" s="68"/>
    </row>
    <row r="489" spans="1:1" x14ac:dyDescent="0.25">
      <c r="A489" s="68"/>
    </row>
    <row r="490" spans="1:1" x14ac:dyDescent="0.25">
      <c r="A490" s="68"/>
    </row>
    <row r="491" spans="1:1" x14ac:dyDescent="0.25">
      <c r="A491" s="68"/>
    </row>
    <row r="492" spans="1:1" x14ac:dyDescent="0.25">
      <c r="A492" s="68"/>
    </row>
    <row r="493" spans="1:1" x14ac:dyDescent="0.25">
      <c r="A493" s="68"/>
    </row>
    <row r="494" spans="1:1" x14ac:dyDescent="0.25">
      <c r="A494" s="68"/>
    </row>
    <row r="495" spans="1:1" x14ac:dyDescent="0.25">
      <c r="A495" s="68"/>
    </row>
    <row r="496" spans="1:1" x14ac:dyDescent="0.25">
      <c r="A496" s="68"/>
    </row>
    <row r="497" spans="1:1" x14ac:dyDescent="0.25">
      <c r="A497" s="68"/>
    </row>
    <row r="498" spans="1:1" x14ac:dyDescent="0.25">
      <c r="A498" s="68"/>
    </row>
    <row r="499" spans="1:1" x14ac:dyDescent="0.25">
      <c r="A499" s="68"/>
    </row>
    <row r="500" spans="1:1" x14ac:dyDescent="0.25">
      <c r="A500" s="68"/>
    </row>
    <row r="501" spans="1:1" x14ac:dyDescent="0.25">
      <c r="A501" s="68"/>
    </row>
  </sheetData>
  <pageMargins left="0.7" right="0.7" top="0.75" bottom="0.75" header="0.3" footer="0.3"/>
  <drawing r:id="rId1"/>
  <tableParts count="2">
    <tablePart r:id="rId2"/>
    <tablePart r:id="rId3"/>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03B20F-EEB0-4EA7-B347-1B99358B747A}">
  <sheetPr codeName="Sheet12"/>
  <dimension ref="A1:N501"/>
  <sheetViews>
    <sheetView zoomScale="58" zoomScaleNormal="142" workbookViewId="0">
      <selection activeCell="H48" sqref="H48"/>
    </sheetView>
  </sheetViews>
  <sheetFormatPr defaultRowHeight="15" x14ac:dyDescent="0.25"/>
  <cols>
    <col min="1" max="1" width="14.7109375" bestFit="1" customWidth="1"/>
    <col min="2" max="2" width="17" bestFit="1" customWidth="1"/>
    <col min="3" max="3" width="13.85546875" bestFit="1" customWidth="1"/>
    <col min="4" max="4" width="21.140625" style="28" customWidth="1"/>
    <col min="5" max="5" width="10.7109375" customWidth="1"/>
    <col min="6" max="6" width="13.140625" customWidth="1"/>
    <col min="7" max="7" width="13.7109375" customWidth="1"/>
    <col min="8" max="8" width="20.28515625" customWidth="1"/>
    <col min="9" max="9" width="21.42578125" customWidth="1"/>
    <col min="10" max="10" width="15.5703125" bestFit="1" customWidth="1"/>
    <col min="11" max="11" width="15.7109375" bestFit="1" customWidth="1"/>
    <col min="12" max="12" width="17" bestFit="1" customWidth="1"/>
    <col min="13" max="13" width="28.28515625" customWidth="1"/>
    <col min="14" max="14" width="19.42578125" bestFit="1" customWidth="1"/>
  </cols>
  <sheetData>
    <row r="1" spans="1:14" x14ac:dyDescent="0.25">
      <c r="A1" s="58" t="s">
        <v>0</v>
      </c>
      <c r="B1" s="58" t="s">
        <v>4</v>
      </c>
      <c r="C1" s="58" t="s">
        <v>5</v>
      </c>
      <c r="D1" s="113" t="s">
        <v>686</v>
      </c>
      <c r="J1" s="58"/>
      <c r="K1" s="73" t="s">
        <v>0</v>
      </c>
      <c r="L1" s="74" t="s">
        <v>4</v>
      </c>
      <c r="M1" s="74" t="s">
        <v>5</v>
      </c>
      <c r="N1" s="75" t="s">
        <v>686</v>
      </c>
    </row>
    <row r="2" spans="1:14" x14ac:dyDescent="0.25">
      <c r="A2" s="22" t="s">
        <v>14</v>
      </c>
      <c r="B2" s="22" t="s">
        <v>17</v>
      </c>
      <c r="C2" s="22" t="s">
        <v>18</v>
      </c>
      <c r="D2" s="114">
        <v>0.32147772546178921</v>
      </c>
      <c r="J2" s="22"/>
      <c r="K2" s="7" t="s">
        <v>14</v>
      </c>
      <c r="L2" s="8" t="s">
        <v>17</v>
      </c>
      <c r="M2" s="8" t="s">
        <v>18</v>
      </c>
      <c r="N2" s="72">
        <v>0.32147772546178921</v>
      </c>
    </row>
    <row r="3" spans="1:14" x14ac:dyDescent="0.25">
      <c r="A3" s="22" t="s">
        <v>22</v>
      </c>
      <c r="B3" s="22" t="s">
        <v>25</v>
      </c>
      <c r="C3" s="22" t="s">
        <v>18</v>
      </c>
      <c r="D3" s="114">
        <v>0.38164977908967918</v>
      </c>
      <c r="J3" s="22"/>
      <c r="K3" s="7" t="s">
        <v>22</v>
      </c>
      <c r="L3" s="8" t="s">
        <v>25</v>
      </c>
      <c r="M3" s="8" t="s">
        <v>18</v>
      </c>
      <c r="N3" s="72">
        <v>0.38164977908967918</v>
      </c>
    </row>
    <row r="4" spans="1:14" x14ac:dyDescent="0.25">
      <c r="A4" s="22" t="s">
        <v>29</v>
      </c>
      <c r="B4" s="22" t="s">
        <v>25</v>
      </c>
      <c r="C4" s="22" t="s">
        <v>18</v>
      </c>
      <c r="D4" s="114">
        <v>0.2916081460674157</v>
      </c>
      <c r="J4" s="22"/>
      <c r="K4" s="7" t="s">
        <v>29</v>
      </c>
      <c r="L4" s="8" t="s">
        <v>25</v>
      </c>
      <c r="M4" s="8" t="s">
        <v>18</v>
      </c>
      <c r="N4" s="72">
        <v>0.2916081460674157</v>
      </c>
    </row>
    <row r="5" spans="1:14" x14ac:dyDescent="0.25">
      <c r="A5" s="22" t="s">
        <v>33</v>
      </c>
      <c r="B5" s="22" t="s">
        <v>36</v>
      </c>
      <c r="C5" s="22" t="s">
        <v>37</v>
      </c>
      <c r="D5" s="114">
        <v>0.39853915306363857</v>
      </c>
      <c r="J5" s="22"/>
      <c r="K5" s="7" t="s">
        <v>33</v>
      </c>
      <c r="L5" s="8" t="s">
        <v>36</v>
      </c>
      <c r="M5" s="8" t="s">
        <v>37</v>
      </c>
      <c r="N5" s="72">
        <v>0.39853915306363857</v>
      </c>
    </row>
    <row r="6" spans="1:14" x14ac:dyDescent="0.25">
      <c r="A6" s="22" t="s">
        <v>40</v>
      </c>
      <c r="B6" s="22" t="s">
        <v>43</v>
      </c>
      <c r="C6" s="22" t="s">
        <v>44</v>
      </c>
      <c r="D6" s="114">
        <v>0.36609616397844896</v>
      </c>
      <c r="J6" s="22"/>
      <c r="K6" s="7" t="s">
        <v>40</v>
      </c>
      <c r="L6" s="8" t="s">
        <v>43</v>
      </c>
      <c r="M6" s="8" t="s">
        <v>44</v>
      </c>
      <c r="N6" s="72">
        <v>0.36609616397844896</v>
      </c>
    </row>
    <row r="7" spans="1:14" x14ac:dyDescent="0.25">
      <c r="A7" s="22" t="s">
        <v>45</v>
      </c>
      <c r="B7" s="22" t="s">
        <v>48</v>
      </c>
      <c r="C7" s="22" t="s">
        <v>37</v>
      </c>
      <c r="D7" s="114">
        <v>0.2418919663014151</v>
      </c>
      <c r="J7" s="22"/>
      <c r="K7" s="7" t="s">
        <v>45</v>
      </c>
      <c r="L7" s="8" t="s">
        <v>48</v>
      </c>
      <c r="M7" s="8" t="s">
        <v>37</v>
      </c>
      <c r="N7" s="72">
        <v>0.2418919663014151</v>
      </c>
    </row>
    <row r="8" spans="1:14" x14ac:dyDescent="0.25">
      <c r="A8" s="22" t="s">
        <v>49</v>
      </c>
      <c r="B8" s="22" t="s">
        <v>51</v>
      </c>
      <c r="C8" s="22" t="s">
        <v>52</v>
      </c>
      <c r="D8" s="114">
        <v>0.21235194585448391</v>
      </c>
      <c r="J8" s="22"/>
      <c r="K8" s="7" t="s">
        <v>49</v>
      </c>
      <c r="L8" s="8" t="s">
        <v>51</v>
      </c>
      <c r="M8" s="8" t="s">
        <v>52</v>
      </c>
      <c r="N8" s="72">
        <v>0.21235194585448391</v>
      </c>
    </row>
    <row r="9" spans="1:14" x14ac:dyDescent="0.25">
      <c r="A9" s="22" t="s">
        <v>53</v>
      </c>
      <c r="B9" s="22" t="s">
        <v>56</v>
      </c>
      <c r="C9" s="22" t="s">
        <v>57</v>
      </c>
      <c r="D9" s="114">
        <v>0.15562636646973996</v>
      </c>
      <c r="J9" s="22"/>
      <c r="K9" s="7" t="s">
        <v>53</v>
      </c>
      <c r="L9" s="8" t="s">
        <v>56</v>
      </c>
      <c r="M9" s="8" t="s">
        <v>57</v>
      </c>
      <c r="N9" s="72">
        <v>0.15562636646973996</v>
      </c>
    </row>
    <row r="10" spans="1:14" x14ac:dyDescent="0.25">
      <c r="A10" s="22" t="s">
        <v>59</v>
      </c>
      <c r="B10" s="22" t="s">
        <v>60</v>
      </c>
      <c r="C10" s="22" t="s">
        <v>52</v>
      </c>
      <c r="D10" s="114">
        <v>0.31327113530245465</v>
      </c>
      <c r="J10" s="22"/>
      <c r="K10" s="7" t="s">
        <v>59</v>
      </c>
      <c r="L10" s="8" t="s">
        <v>60</v>
      </c>
      <c r="M10" s="8" t="s">
        <v>52</v>
      </c>
      <c r="N10" s="72">
        <v>0.31327113530245465</v>
      </c>
    </row>
    <row r="11" spans="1:14" x14ac:dyDescent="0.25">
      <c r="A11" s="22" t="s">
        <v>61</v>
      </c>
      <c r="B11" s="22" t="s">
        <v>63</v>
      </c>
      <c r="C11" s="22" t="s">
        <v>37</v>
      </c>
      <c r="D11" s="114">
        <v>0.27186512118018963</v>
      </c>
      <c r="J11" s="22"/>
      <c r="K11" s="7" t="s">
        <v>61</v>
      </c>
      <c r="L11" s="8" t="s">
        <v>63</v>
      </c>
      <c r="M11" s="8" t="s">
        <v>37</v>
      </c>
      <c r="N11" s="72">
        <v>0.27186512118018963</v>
      </c>
    </row>
    <row r="12" spans="1:14" x14ac:dyDescent="0.25">
      <c r="A12" s="22" t="s">
        <v>64</v>
      </c>
      <c r="B12" s="22" t="s">
        <v>17</v>
      </c>
      <c r="C12" s="22" t="s">
        <v>18</v>
      </c>
      <c r="D12" s="114">
        <v>0.36508579702627936</v>
      </c>
      <c r="J12" s="22"/>
      <c r="K12" s="7" t="s">
        <v>64</v>
      </c>
      <c r="L12" s="8" t="s">
        <v>17</v>
      </c>
      <c r="M12" s="8" t="s">
        <v>18</v>
      </c>
      <c r="N12" s="72">
        <v>0.36508579702627936</v>
      </c>
    </row>
    <row r="13" spans="1:14" x14ac:dyDescent="0.25">
      <c r="A13" s="22" t="s">
        <v>66</v>
      </c>
      <c r="B13" s="22" t="s">
        <v>43</v>
      </c>
      <c r="C13" s="22" t="s">
        <v>44</v>
      </c>
      <c r="D13" s="114">
        <v>0.27066426366360735</v>
      </c>
      <c r="J13" s="22"/>
      <c r="K13" s="7" t="s">
        <v>66</v>
      </c>
      <c r="L13" s="8" t="s">
        <v>43</v>
      </c>
      <c r="M13" s="8" t="s">
        <v>44</v>
      </c>
      <c r="N13" s="72">
        <v>0.27066426366360735</v>
      </c>
    </row>
    <row r="14" spans="1:14" x14ac:dyDescent="0.25">
      <c r="A14" s="22" t="s">
        <v>68</v>
      </c>
      <c r="B14" s="22" t="s">
        <v>17</v>
      </c>
      <c r="C14" s="22" t="s">
        <v>18</v>
      </c>
      <c r="D14" s="114">
        <v>0.3277386458350357</v>
      </c>
      <c r="F14" s="118" t="s">
        <v>1060</v>
      </c>
      <c r="G14" s="118"/>
      <c r="H14" s="118"/>
      <c r="I14" s="118"/>
      <c r="J14" s="22"/>
      <c r="K14" s="7" t="s">
        <v>68</v>
      </c>
      <c r="L14" s="8" t="s">
        <v>17</v>
      </c>
      <c r="M14" s="8" t="s">
        <v>18</v>
      </c>
      <c r="N14" s="72">
        <v>0.3277386458350357</v>
      </c>
    </row>
    <row r="15" spans="1:14" x14ac:dyDescent="0.25">
      <c r="A15" s="22" t="s">
        <v>70</v>
      </c>
      <c r="B15" s="22" t="s">
        <v>56</v>
      </c>
      <c r="C15" s="22" t="s">
        <v>57</v>
      </c>
      <c r="D15" s="114">
        <v>0.4030207134637514</v>
      </c>
      <c r="F15" s="141" t="s">
        <v>1061</v>
      </c>
      <c r="G15" s="141"/>
      <c r="H15" s="141"/>
      <c r="I15" s="141"/>
      <c r="J15" s="22"/>
      <c r="K15" s="7" t="s">
        <v>70</v>
      </c>
      <c r="L15" s="8" t="s">
        <v>56</v>
      </c>
      <c r="M15" s="8" t="s">
        <v>57</v>
      </c>
      <c r="N15" s="72">
        <v>0.4030207134637514</v>
      </c>
    </row>
    <row r="16" spans="1:14" x14ac:dyDescent="0.25">
      <c r="A16" s="22" t="s">
        <v>72</v>
      </c>
      <c r="B16" s="22" t="s">
        <v>56</v>
      </c>
      <c r="C16" s="22" t="s">
        <v>57</v>
      </c>
      <c r="D16" s="114">
        <v>0.38112873273709152</v>
      </c>
      <c r="F16" s="142" t="s">
        <v>1066</v>
      </c>
      <c r="G16" s="143"/>
      <c r="H16" s="143"/>
      <c r="I16" s="144"/>
      <c r="J16" s="22"/>
      <c r="K16" s="7" t="s">
        <v>72</v>
      </c>
      <c r="L16" s="8" t="s">
        <v>56</v>
      </c>
      <c r="M16" s="8" t="s">
        <v>57</v>
      </c>
      <c r="N16" s="72">
        <v>0.38112873273709152</v>
      </c>
    </row>
    <row r="17" spans="1:14" x14ac:dyDescent="0.25">
      <c r="A17" s="22" t="s">
        <v>75</v>
      </c>
      <c r="B17" s="22" t="s">
        <v>48</v>
      </c>
      <c r="C17" s="22" t="s">
        <v>37</v>
      </c>
      <c r="D17" s="114">
        <v>0.17054416403785488</v>
      </c>
      <c r="F17" s="138" t="s">
        <v>1063</v>
      </c>
      <c r="G17" s="139"/>
      <c r="H17" s="139"/>
      <c r="I17" s="140"/>
      <c r="J17" s="22"/>
      <c r="K17" s="7" t="s">
        <v>75</v>
      </c>
      <c r="L17" s="8" t="s">
        <v>48</v>
      </c>
      <c r="M17" s="8" t="s">
        <v>37</v>
      </c>
      <c r="N17" s="72">
        <v>0.17054416403785488</v>
      </c>
    </row>
    <row r="18" spans="1:14" x14ac:dyDescent="0.25">
      <c r="A18" s="22" t="s">
        <v>78</v>
      </c>
      <c r="B18" s="22" t="s">
        <v>25</v>
      </c>
      <c r="C18" s="22" t="s">
        <v>18</v>
      </c>
      <c r="D18" s="114">
        <v>0.33051352399955658</v>
      </c>
      <c r="F18" s="138" t="s">
        <v>1064</v>
      </c>
      <c r="G18" s="139"/>
      <c r="H18" s="139"/>
      <c r="I18" s="140"/>
      <c r="J18" s="22"/>
      <c r="K18" s="7" t="s">
        <v>78</v>
      </c>
      <c r="L18" s="8" t="s">
        <v>25</v>
      </c>
      <c r="M18" s="8" t="s">
        <v>18</v>
      </c>
      <c r="N18" s="72">
        <v>0.33051352399955658</v>
      </c>
    </row>
    <row r="19" spans="1:14" x14ac:dyDescent="0.25">
      <c r="A19" s="22" t="s">
        <v>79</v>
      </c>
      <c r="B19" s="22" t="s">
        <v>48</v>
      </c>
      <c r="C19" s="22" t="s">
        <v>37</v>
      </c>
      <c r="D19" s="114">
        <v>0.30344005802507512</v>
      </c>
      <c r="F19" s="138" t="s">
        <v>1065</v>
      </c>
      <c r="G19" s="139"/>
      <c r="H19" s="139"/>
      <c r="I19" s="140"/>
      <c r="J19" s="22"/>
      <c r="K19" s="7" t="s">
        <v>79</v>
      </c>
      <c r="L19" s="8" t="s">
        <v>48</v>
      </c>
      <c r="M19" s="8" t="s">
        <v>37</v>
      </c>
      <c r="N19" s="72">
        <v>0.30344005802507512</v>
      </c>
    </row>
    <row r="20" spans="1:14" x14ac:dyDescent="0.25">
      <c r="A20" s="22" t="s">
        <v>80</v>
      </c>
      <c r="B20" s="22" t="s">
        <v>25</v>
      </c>
      <c r="C20" s="22" t="s">
        <v>18</v>
      </c>
      <c r="D20" s="114">
        <v>0.2192055352784433</v>
      </c>
      <c r="F20" s="138" t="s">
        <v>1070</v>
      </c>
      <c r="G20" s="139"/>
      <c r="H20" s="139"/>
      <c r="I20" s="140"/>
      <c r="J20" s="22"/>
      <c r="K20" s="7" t="s">
        <v>80</v>
      </c>
      <c r="L20" s="8" t="s">
        <v>25</v>
      </c>
      <c r="M20" s="8" t="s">
        <v>18</v>
      </c>
      <c r="N20" s="72">
        <v>0.2192055352784433</v>
      </c>
    </row>
    <row r="21" spans="1:14" x14ac:dyDescent="0.25">
      <c r="A21" s="22" t="s">
        <v>82</v>
      </c>
      <c r="B21" s="22" t="s">
        <v>83</v>
      </c>
      <c r="C21" s="22" t="s">
        <v>52</v>
      </c>
      <c r="D21" s="114">
        <v>0.21030519867729167</v>
      </c>
      <c r="F21" s="145" t="s">
        <v>1062</v>
      </c>
      <c r="G21" s="145"/>
      <c r="H21" s="145"/>
      <c r="I21" s="145"/>
      <c r="J21" s="22"/>
      <c r="K21" s="7" t="s">
        <v>82</v>
      </c>
      <c r="L21" s="8" t="s">
        <v>83</v>
      </c>
      <c r="M21" s="8" t="s">
        <v>52</v>
      </c>
      <c r="N21" s="72">
        <v>0.21030519867729167</v>
      </c>
    </row>
    <row r="22" spans="1:14" x14ac:dyDescent="0.25">
      <c r="A22" s="22" t="s">
        <v>84</v>
      </c>
      <c r="B22" s="22" t="s">
        <v>43</v>
      </c>
      <c r="C22" s="22" t="s">
        <v>44</v>
      </c>
      <c r="D22" s="114">
        <v>0.37671465270709126</v>
      </c>
      <c r="F22" s="145" t="s">
        <v>1067</v>
      </c>
      <c r="G22" s="145"/>
      <c r="H22" s="145"/>
      <c r="I22" s="145"/>
      <c r="J22" s="22"/>
      <c r="K22" s="7" t="s">
        <v>84</v>
      </c>
      <c r="L22" s="8" t="s">
        <v>43</v>
      </c>
      <c r="M22" s="8" t="s">
        <v>44</v>
      </c>
      <c r="N22" s="72">
        <v>0.37671465270709126</v>
      </c>
    </row>
    <row r="23" spans="1:14" x14ac:dyDescent="0.25">
      <c r="A23" s="22" t="s">
        <v>88</v>
      </c>
      <c r="B23" s="22" t="s">
        <v>63</v>
      </c>
      <c r="C23" s="22" t="s">
        <v>37</v>
      </c>
      <c r="D23" s="114">
        <v>0.2634234234234234</v>
      </c>
      <c r="F23" s="137" t="s">
        <v>1068</v>
      </c>
      <c r="G23" s="137"/>
      <c r="H23" s="137"/>
      <c r="I23" s="137"/>
      <c r="J23" s="22"/>
      <c r="K23" s="7" t="s">
        <v>88</v>
      </c>
      <c r="L23" s="8" t="s">
        <v>63</v>
      </c>
      <c r="M23" s="8" t="s">
        <v>37</v>
      </c>
      <c r="N23" s="72">
        <v>0.2634234234234234</v>
      </c>
    </row>
    <row r="24" spans="1:14" x14ac:dyDescent="0.25">
      <c r="A24" s="22" t="s">
        <v>90</v>
      </c>
      <c r="B24" s="22" t="s">
        <v>51</v>
      </c>
      <c r="C24" s="22" t="s">
        <v>52</v>
      </c>
      <c r="D24" s="114">
        <v>0.17172065963502428</v>
      </c>
      <c r="F24" s="127" t="s">
        <v>1069</v>
      </c>
      <c r="G24" s="128"/>
      <c r="H24" s="128"/>
      <c r="I24" s="129"/>
      <c r="J24" s="22"/>
      <c r="K24" s="7" t="s">
        <v>90</v>
      </c>
      <c r="L24" s="8" t="s">
        <v>51</v>
      </c>
      <c r="M24" s="8" t="s">
        <v>52</v>
      </c>
      <c r="N24" s="72">
        <v>0.17172065963502428</v>
      </c>
    </row>
    <row r="25" spans="1:14" x14ac:dyDescent="0.25">
      <c r="A25" s="22" t="s">
        <v>92</v>
      </c>
      <c r="B25" s="22" t="s">
        <v>51</v>
      </c>
      <c r="C25" s="22" t="s">
        <v>52</v>
      </c>
      <c r="D25" s="114">
        <v>0.28874744385696655</v>
      </c>
      <c r="F25" s="124"/>
      <c r="G25" s="125"/>
      <c r="H25" s="125"/>
      <c r="I25" s="126"/>
      <c r="J25" s="22"/>
      <c r="K25" s="7" t="s">
        <v>92</v>
      </c>
      <c r="L25" s="8" t="s">
        <v>51</v>
      </c>
      <c r="M25" s="8" t="s">
        <v>52</v>
      </c>
      <c r="N25" s="72">
        <v>0.28874744385696655</v>
      </c>
    </row>
    <row r="26" spans="1:14" x14ac:dyDescent="0.25">
      <c r="A26" s="22" t="s">
        <v>94</v>
      </c>
      <c r="B26" s="22" t="s">
        <v>48</v>
      </c>
      <c r="C26" s="22" t="s">
        <v>37</v>
      </c>
      <c r="D26" s="114">
        <v>0.29493823249920809</v>
      </c>
      <c r="F26" s="118" t="s">
        <v>1094</v>
      </c>
      <c r="G26" s="133"/>
      <c r="H26" s="133"/>
      <c r="I26" s="133"/>
      <c r="J26" s="22"/>
      <c r="K26" s="7" t="s">
        <v>94</v>
      </c>
      <c r="L26" s="8" t="s">
        <v>48</v>
      </c>
      <c r="M26" s="8" t="s">
        <v>37</v>
      </c>
      <c r="N26" s="72">
        <v>0.29493823249920809</v>
      </c>
    </row>
    <row r="27" spans="1:14" x14ac:dyDescent="0.25">
      <c r="A27" s="22" t="s">
        <v>96</v>
      </c>
      <c r="B27" s="22" t="s">
        <v>60</v>
      </c>
      <c r="C27" s="22" t="s">
        <v>52</v>
      </c>
      <c r="D27" s="114">
        <v>0.39829077864528378</v>
      </c>
      <c r="F27" s="127" t="s">
        <v>1093</v>
      </c>
      <c r="G27" s="128"/>
      <c r="H27" s="128"/>
      <c r="I27" s="129"/>
      <c r="J27" s="22"/>
      <c r="K27" s="7" t="s">
        <v>96</v>
      </c>
      <c r="L27" s="8" t="s">
        <v>60</v>
      </c>
      <c r="M27" s="8" t="s">
        <v>52</v>
      </c>
      <c r="N27" s="72">
        <v>0.39829077864528378</v>
      </c>
    </row>
    <row r="28" spans="1:14" x14ac:dyDescent="0.25">
      <c r="A28" s="22" t="s">
        <v>98</v>
      </c>
      <c r="B28" s="22" t="s">
        <v>83</v>
      </c>
      <c r="C28" s="22" t="s">
        <v>52</v>
      </c>
      <c r="D28" s="114">
        <v>0.16098963324331386</v>
      </c>
      <c r="F28" s="130" t="s">
        <v>1095</v>
      </c>
      <c r="G28" s="131"/>
      <c r="H28" s="131"/>
      <c r="I28" s="132"/>
      <c r="J28" s="22"/>
      <c r="K28" s="7" t="s">
        <v>98</v>
      </c>
      <c r="L28" s="8" t="s">
        <v>83</v>
      </c>
      <c r="M28" s="8" t="s">
        <v>52</v>
      </c>
      <c r="N28" s="72">
        <v>0.16098963324331386</v>
      </c>
    </row>
    <row r="29" spans="1:14" x14ac:dyDescent="0.25">
      <c r="A29" s="22" t="s">
        <v>99</v>
      </c>
      <c r="B29" s="22" t="s">
        <v>51</v>
      </c>
      <c r="C29" s="22" t="s">
        <v>52</v>
      </c>
      <c r="D29" s="114">
        <v>0.39826730591302884</v>
      </c>
      <c r="F29" s="134" t="s">
        <v>1096</v>
      </c>
      <c r="G29" s="135"/>
      <c r="H29" s="135"/>
      <c r="I29" s="136"/>
      <c r="J29" s="22"/>
      <c r="K29" s="7" t="s">
        <v>99</v>
      </c>
      <c r="L29" s="8" t="s">
        <v>51</v>
      </c>
      <c r="M29" s="8" t="s">
        <v>52</v>
      </c>
      <c r="N29" s="72">
        <v>0.39826730591302884</v>
      </c>
    </row>
    <row r="30" spans="1:14" x14ac:dyDescent="0.25">
      <c r="A30" s="22" t="s">
        <v>101</v>
      </c>
      <c r="B30" s="22" t="s">
        <v>43</v>
      </c>
      <c r="C30" s="22" t="s">
        <v>44</v>
      </c>
      <c r="D30" s="114">
        <v>0.35395142949967512</v>
      </c>
      <c r="J30" s="22"/>
      <c r="K30" s="7" t="s">
        <v>101</v>
      </c>
      <c r="L30" s="8" t="s">
        <v>43</v>
      </c>
      <c r="M30" s="8" t="s">
        <v>44</v>
      </c>
      <c r="N30" s="72">
        <v>0.35395142949967512</v>
      </c>
    </row>
    <row r="31" spans="1:14" x14ac:dyDescent="0.25">
      <c r="A31" s="22" t="s">
        <v>103</v>
      </c>
      <c r="B31" s="22" t="s">
        <v>56</v>
      </c>
      <c r="C31" s="22" t="s">
        <v>57</v>
      </c>
      <c r="D31" s="114">
        <v>0.38172521120498004</v>
      </c>
      <c r="J31" s="22"/>
      <c r="K31" s="7" t="s">
        <v>103</v>
      </c>
      <c r="L31" s="8" t="s">
        <v>56</v>
      </c>
      <c r="M31" s="8" t="s">
        <v>57</v>
      </c>
      <c r="N31" s="72">
        <v>0.38172521120498004</v>
      </c>
    </row>
    <row r="32" spans="1:14" x14ac:dyDescent="0.25">
      <c r="A32" s="22" t="s">
        <v>104</v>
      </c>
      <c r="B32" s="22" t="s">
        <v>83</v>
      </c>
      <c r="C32" s="22" t="s">
        <v>52</v>
      </c>
      <c r="D32" s="114">
        <v>0.22239886945769299</v>
      </c>
      <c r="J32" s="22"/>
      <c r="K32" s="7" t="s">
        <v>104</v>
      </c>
      <c r="L32" s="8" t="s">
        <v>83</v>
      </c>
      <c r="M32" s="8" t="s">
        <v>52</v>
      </c>
      <c r="N32" s="72">
        <v>0.22239886945769299</v>
      </c>
    </row>
    <row r="33" spans="1:14" x14ac:dyDescent="0.25">
      <c r="A33" s="22" t="s">
        <v>107</v>
      </c>
      <c r="B33" s="22" t="s">
        <v>56</v>
      </c>
      <c r="C33" s="22" t="s">
        <v>57</v>
      </c>
      <c r="D33" s="114">
        <v>0.32885259631490787</v>
      </c>
      <c r="J33" s="22"/>
      <c r="K33" s="7" t="s">
        <v>107</v>
      </c>
      <c r="L33" s="8" t="s">
        <v>56</v>
      </c>
      <c r="M33" s="8" t="s">
        <v>57</v>
      </c>
      <c r="N33" s="72">
        <v>0.32885259631490787</v>
      </c>
    </row>
    <row r="34" spans="1:14" x14ac:dyDescent="0.25">
      <c r="A34" s="22" t="s">
        <v>109</v>
      </c>
      <c r="B34" s="22" t="s">
        <v>36</v>
      </c>
      <c r="C34" s="22" t="s">
        <v>37</v>
      </c>
      <c r="D34" s="114">
        <v>0.20888272033310201</v>
      </c>
      <c r="J34" s="22"/>
      <c r="K34" s="7" t="s">
        <v>109</v>
      </c>
      <c r="L34" s="8" t="s">
        <v>36</v>
      </c>
      <c r="M34" s="8" t="s">
        <v>37</v>
      </c>
      <c r="N34" s="72">
        <v>0.20888272033310201</v>
      </c>
    </row>
    <row r="35" spans="1:14" x14ac:dyDescent="0.25">
      <c r="A35" s="22" t="s">
        <v>111</v>
      </c>
      <c r="B35" s="22" t="s">
        <v>43</v>
      </c>
      <c r="C35" s="22" t="s">
        <v>44</v>
      </c>
      <c r="D35" s="114">
        <v>0.32508999982266046</v>
      </c>
      <c r="J35" s="22"/>
      <c r="K35" s="7" t="s">
        <v>111</v>
      </c>
      <c r="L35" s="8" t="s">
        <v>43</v>
      </c>
      <c r="M35" s="8" t="s">
        <v>44</v>
      </c>
      <c r="N35" s="72">
        <v>0.32508999982266046</v>
      </c>
    </row>
    <row r="36" spans="1:14" x14ac:dyDescent="0.25">
      <c r="A36" s="22" t="s">
        <v>112</v>
      </c>
      <c r="B36" s="22" t="s">
        <v>56</v>
      </c>
      <c r="C36" s="22" t="s">
        <v>57</v>
      </c>
      <c r="D36" s="114">
        <v>0.21324180690876884</v>
      </c>
      <c r="J36" s="22"/>
      <c r="K36" s="7" t="s">
        <v>112</v>
      </c>
      <c r="L36" s="8" t="s">
        <v>56</v>
      </c>
      <c r="M36" s="8" t="s">
        <v>57</v>
      </c>
      <c r="N36" s="72">
        <v>0.21324180690876884</v>
      </c>
    </row>
    <row r="37" spans="1:14" x14ac:dyDescent="0.25">
      <c r="A37" s="22" t="s">
        <v>114</v>
      </c>
      <c r="B37" s="22" t="s">
        <v>43</v>
      </c>
      <c r="C37" s="22" t="s">
        <v>44</v>
      </c>
      <c r="D37" s="114">
        <v>0.35361175560711527</v>
      </c>
      <c r="J37" s="22"/>
      <c r="K37" s="7" t="s">
        <v>114</v>
      </c>
      <c r="L37" s="8" t="s">
        <v>43</v>
      </c>
      <c r="M37" s="8" t="s">
        <v>44</v>
      </c>
      <c r="N37" s="72">
        <v>0.35361175560711527</v>
      </c>
    </row>
    <row r="38" spans="1:14" x14ac:dyDescent="0.25">
      <c r="A38" s="22" t="s">
        <v>116</v>
      </c>
      <c r="B38" s="22" t="s">
        <v>51</v>
      </c>
      <c r="C38" s="22" t="s">
        <v>52</v>
      </c>
      <c r="D38" s="114">
        <v>0.17850699142986018</v>
      </c>
      <c r="J38" s="22"/>
      <c r="K38" s="7" t="s">
        <v>116</v>
      </c>
      <c r="L38" s="8" t="s">
        <v>51</v>
      </c>
      <c r="M38" s="8" t="s">
        <v>52</v>
      </c>
      <c r="N38" s="72">
        <v>0.17850699142986018</v>
      </c>
    </row>
    <row r="39" spans="1:14" x14ac:dyDescent="0.25">
      <c r="A39" s="22" t="s">
        <v>118</v>
      </c>
      <c r="B39" s="22" t="s">
        <v>56</v>
      </c>
      <c r="C39" s="22" t="s">
        <v>57</v>
      </c>
      <c r="D39" s="114">
        <v>0.23175904977375567</v>
      </c>
      <c r="J39" s="22"/>
      <c r="K39" s="7" t="s">
        <v>118</v>
      </c>
      <c r="L39" s="8" t="s">
        <v>56</v>
      </c>
      <c r="M39" s="8" t="s">
        <v>57</v>
      </c>
      <c r="N39" s="72">
        <v>0.23175904977375567</v>
      </c>
    </row>
    <row r="40" spans="1:14" x14ac:dyDescent="0.25">
      <c r="A40" s="22" t="s">
        <v>120</v>
      </c>
      <c r="B40" s="22" t="s">
        <v>48</v>
      </c>
      <c r="C40" s="22" t="s">
        <v>37</v>
      </c>
      <c r="D40" s="114">
        <v>0.28466854596708191</v>
      </c>
      <c r="J40" s="22"/>
      <c r="K40" s="7" t="s">
        <v>120</v>
      </c>
      <c r="L40" s="8" t="s">
        <v>48</v>
      </c>
      <c r="M40" s="8" t="s">
        <v>37</v>
      </c>
      <c r="N40" s="72">
        <v>0.28466854596708191</v>
      </c>
    </row>
    <row r="41" spans="1:14" x14ac:dyDescent="0.25">
      <c r="A41" s="22" t="s">
        <v>122</v>
      </c>
      <c r="B41" s="22" t="s">
        <v>17</v>
      </c>
      <c r="C41" s="22" t="s">
        <v>18</v>
      </c>
      <c r="D41" s="114">
        <v>0.3348434584283641</v>
      </c>
      <c r="J41" s="22"/>
      <c r="K41" s="7" t="s">
        <v>122</v>
      </c>
      <c r="L41" s="8" t="s">
        <v>17</v>
      </c>
      <c r="M41" s="8" t="s">
        <v>18</v>
      </c>
      <c r="N41" s="72">
        <v>0.3348434584283641</v>
      </c>
    </row>
    <row r="42" spans="1:14" x14ac:dyDescent="0.25">
      <c r="A42" s="22" t="s">
        <v>124</v>
      </c>
      <c r="B42" s="22" t="s">
        <v>51</v>
      </c>
      <c r="C42" s="22" t="s">
        <v>52</v>
      </c>
      <c r="D42" s="114">
        <v>0.31316383287580662</v>
      </c>
      <c r="J42" s="22"/>
      <c r="K42" s="7" t="s">
        <v>124</v>
      </c>
      <c r="L42" s="8" t="s">
        <v>51</v>
      </c>
      <c r="M42" s="8" t="s">
        <v>52</v>
      </c>
      <c r="N42" s="72">
        <v>0.31316383287580662</v>
      </c>
    </row>
    <row r="43" spans="1:14" x14ac:dyDescent="0.25">
      <c r="A43" s="22" t="s">
        <v>126</v>
      </c>
      <c r="B43" s="22" t="s">
        <v>51</v>
      </c>
      <c r="C43" s="22" t="s">
        <v>52</v>
      </c>
      <c r="D43" s="114">
        <v>0.33636481915170435</v>
      </c>
      <c r="J43" s="22"/>
      <c r="K43" s="7" t="s">
        <v>126</v>
      </c>
      <c r="L43" s="8" t="s">
        <v>51</v>
      </c>
      <c r="M43" s="8" t="s">
        <v>52</v>
      </c>
      <c r="N43" s="72">
        <v>0.33636481915170435</v>
      </c>
    </row>
    <row r="44" spans="1:14" x14ac:dyDescent="0.25">
      <c r="A44" s="22" t="s">
        <v>127</v>
      </c>
      <c r="B44" s="22" t="s">
        <v>56</v>
      </c>
      <c r="C44" s="22" t="s">
        <v>57</v>
      </c>
      <c r="D44" s="114">
        <v>0.26081997495691844</v>
      </c>
      <c r="J44" s="22"/>
      <c r="K44" s="7" t="s">
        <v>127</v>
      </c>
      <c r="L44" s="8" t="s">
        <v>56</v>
      </c>
      <c r="M44" s="8" t="s">
        <v>57</v>
      </c>
      <c r="N44" s="72">
        <v>0.26081997495691844</v>
      </c>
    </row>
    <row r="45" spans="1:14" x14ac:dyDescent="0.25">
      <c r="A45" s="22" t="s">
        <v>128</v>
      </c>
      <c r="B45" s="22" t="s">
        <v>43</v>
      </c>
      <c r="C45" s="22" t="s">
        <v>44</v>
      </c>
      <c r="D45" s="114">
        <v>0.37337625979843225</v>
      </c>
      <c r="J45" s="22"/>
      <c r="K45" s="7" t="s">
        <v>128</v>
      </c>
      <c r="L45" s="8" t="s">
        <v>43</v>
      </c>
      <c r="M45" s="8" t="s">
        <v>44</v>
      </c>
      <c r="N45" s="72">
        <v>0.37337625979843225</v>
      </c>
    </row>
    <row r="46" spans="1:14" x14ac:dyDescent="0.25">
      <c r="A46" s="22" t="s">
        <v>131</v>
      </c>
      <c r="B46" s="22" t="s">
        <v>25</v>
      </c>
      <c r="C46" s="22" t="s">
        <v>18</v>
      </c>
      <c r="D46" s="114">
        <v>0.26229279357878205</v>
      </c>
      <c r="J46" s="22"/>
      <c r="K46" s="7" t="s">
        <v>131</v>
      </c>
      <c r="L46" s="8" t="s">
        <v>25</v>
      </c>
      <c r="M46" s="8" t="s">
        <v>18</v>
      </c>
      <c r="N46" s="72">
        <v>0.26229279357878205</v>
      </c>
    </row>
    <row r="47" spans="1:14" x14ac:dyDescent="0.25">
      <c r="A47" s="22" t="s">
        <v>132</v>
      </c>
      <c r="B47" s="22" t="s">
        <v>60</v>
      </c>
      <c r="C47" s="22" t="s">
        <v>52</v>
      </c>
      <c r="D47" s="114">
        <v>0.35071974698814817</v>
      </c>
      <c r="J47" s="22"/>
      <c r="K47" s="7" t="s">
        <v>132</v>
      </c>
      <c r="L47" s="8" t="s">
        <v>60</v>
      </c>
      <c r="M47" s="8" t="s">
        <v>52</v>
      </c>
      <c r="N47" s="72">
        <v>0.35071974698814817</v>
      </c>
    </row>
    <row r="48" spans="1:14" x14ac:dyDescent="0.25">
      <c r="A48" s="22" t="s">
        <v>133</v>
      </c>
      <c r="B48" s="22" t="s">
        <v>83</v>
      </c>
      <c r="C48" s="22" t="s">
        <v>52</v>
      </c>
      <c r="D48" s="114">
        <v>0.30217086834733892</v>
      </c>
      <c r="J48" s="22"/>
      <c r="K48" s="7" t="s">
        <v>133</v>
      </c>
      <c r="L48" s="8" t="s">
        <v>83</v>
      </c>
      <c r="M48" s="8" t="s">
        <v>52</v>
      </c>
      <c r="N48" s="72">
        <v>0.30217086834733892</v>
      </c>
    </row>
    <row r="49" spans="1:14" x14ac:dyDescent="0.25">
      <c r="A49" s="22" t="s">
        <v>134</v>
      </c>
      <c r="B49" s="22" t="s">
        <v>25</v>
      </c>
      <c r="C49" s="22" t="s">
        <v>18</v>
      </c>
      <c r="D49" s="114">
        <v>0.39570519046077485</v>
      </c>
      <c r="J49" s="22"/>
      <c r="K49" s="7" t="s">
        <v>134</v>
      </c>
      <c r="L49" s="8" t="s">
        <v>25</v>
      </c>
      <c r="M49" s="8" t="s">
        <v>18</v>
      </c>
      <c r="N49" s="72">
        <v>0.39570519046077485</v>
      </c>
    </row>
    <row r="50" spans="1:14" x14ac:dyDescent="0.25">
      <c r="A50" s="22" t="s">
        <v>136</v>
      </c>
      <c r="B50" s="22" t="s">
        <v>17</v>
      </c>
      <c r="C50" s="22" t="s">
        <v>18</v>
      </c>
      <c r="D50" s="114">
        <v>0.25850210337903529</v>
      </c>
      <c r="J50" s="22"/>
      <c r="K50" s="7" t="s">
        <v>136</v>
      </c>
      <c r="L50" s="8" t="s">
        <v>17</v>
      </c>
      <c r="M50" s="8" t="s">
        <v>18</v>
      </c>
      <c r="N50" s="72">
        <v>0.25850210337903529</v>
      </c>
    </row>
    <row r="51" spans="1:14" x14ac:dyDescent="0.25">
      <c r="A51" s="22" t="s">
        <v>138</v>
      </c>
      <c r="B51" s="22" t="s">
        <v>83</v>
      </c>
      <c r="C51" s="22" t="s">
        <v>52</v>
      </c>
      <c r="D51" s="114">
        <v>0.25426257459505541</v>
      </c>
      <c r="J51" s="22"/>
      <c r="K51" s="7" t="s">
        <v>138</v>
      </c>
      <c r="L51" s="8" t="s">
        <v>83</v>
      </c>
      <c r="M51" s="8" t="s">
        <v>52</v>
      </c>
      <c r="N51" s="72">
        <v>0.25426257459505541</v>
      </c>
    </row>
    <row r="52" spans="1:14" x14ac:dyDescent="0.25">
      <c r="A52" s="22" t="s">
        <v>140</v>
      </c>
      <c r="B52" s="22" t="s">
        <v>25</v>
      </c>
      <c r="C52" s="22" t="s">
        <v>18</v>
      </c>
      <c r="D52" s="114">
        <v>0.23470053622599044</v>
      </c>
      <c r="J52" s="22"/>
      <c r="K52" s="7" t="s">
        <v>140</v>
      </c>
      <c r="L52" s="8" t="s">
        <v>25</v>
      </c>
      <c r="M52" s="8" t="s">
        <v>18</v>
      </c>
      <c r="N52" s="72">
        <v>0.23470053622599044</v>
      </c>
    </row>
    <row r="53" spans="1:14" x14ac:dyDescent="0.25">
      <c r="A53" s="22" t="s">
        <v>141</v>
      </c>
      <c r="B53" s="22" t="s">
        <v>83</v>
      </c>
      <c r="C53" s="22" t="s">
        <v>52</v>
      </c>
      <c r="D53" s="114">
        <v>0.27172024455474308</v>
      </c>
      <c r="J53" s="22"/>
      <c r="K53" s="7" t="s">
        <v>141</v>
      </c>
      <c r="L53" s="8" t="s">
        <v>83</v>
      </c>
      <c r="M53" s="8" t="s">
        <v>52</v>
      </c>
      <c r="N53" s="72">
        <v>0.27172024455474308</v>
      </c>
    </row>
    <row r="54" spans="1:14" x14ac:dyDescent="0.25">
      <c r="A54" s="22" t="s">
        <v>143</v>
      </c>
      <c r="B54" s="22" t="s">
        <v>43</v>
      </c>
      <c r="C54" s="22" t="s">
        <v>44</v>
      </c>
      <c r="D54" s="114">
        <v>0.20292198071971737</v>
      </c>
      <c r="J54" s="22"/>
      <c r="K54" s="7" t="s">
        <v>143</v>
      </c>
      <c r="L54" s="8" t="s">
        <v>43</v>
      </c>
      <c r="M54" s="8" t="s">
        <v>44</v>
      </c>
      <c r="N54" s="72">
        <v>0.20292198071971737</v>
      </c>
    </row>
    <row r="55" spans="1:14" x14ac:dyDescent="0.25">
      <c r="A55" s="22" t="s">
        <v>144</v>
      </c>
      <c r="B55" s="22" t="s">
        <v>43</v>
      </c>
      <c r="C55" s="22" t="s">
        <v>44</v>
      </c>
      <c r="D55" s="114">
        <v>0.15915296070593887</v>
      </c>
      <c r="J55" s="22"/>
      <c r="K55" s="7" t="s">
        <v>144</v>
      </c>
      <c r="L55" s="8" t="s">
        <v>43</v>
      </c>
      <c r="M55" s="8" t="s">
        <v>44</v>
      </c>
      <c r="N55" s="72">
        <v>0.15915296070593887</v>
      </c>
    </row>
    <row r="56" spans="1:14" x14ac:dyDescent="0.25">
      <c r="A56" s="22" t="s">
        <v>146</v>
      </c>
      <c r="B56" s="22" t="s">
        <v>60</v>
      </c>
      <c r="C56" s="22" t="s">
        <v>52</v>
      </c>
      <c r="D56" s="114">
        <v>0.38780096308186196</v>
      </c>
      <c r="J56" s="22"/>
      <c r="K56" s="7" t="s">
        <v>146</v>
      </c>
      <c r="L56" s="8" t="s">
        <v>60</v>
      </c>
      <c r="M56" s="8" t="s">
        <v>52</v>
      </c>
      <c r="N56" s="72">
        <v>0.38780096308186196</v>
      </c>
    </row>
    <row r="57" spans="1:14" x14ac:dyDescent="0.25">
      <c r="A57" s="22" t="s">
        <v>148</v>
      </c>
      <c r="B57" s="22" t="s">
        <v>25</v>
      </c>
      <c r="C57" s="22" t="s">
        <v>18</v>
      </c>
      <c r="D57" s="114">
        <v>0.30151502071823205</v>
      </c>
      <c r="J57" s="22"/>
      <c r="K57" s="7" t="s">
        <v>148</v>
      </c>
      <c r="L57" s="8" t="s">
        <v>25</v>
      </c>
      <c r="M57" s="8" t="s">
        <v>18</v>
      </c>
      <c r="N57" s="72">
        <v>0.30151502071823205</v>
      </c>
    </row>
    <row r="58" spans="1:14" x14ac:dyDescent="0.25">
      <c r="A58" s="22" t="s">
        <v>150</v>
      </c>
      <c r="B58" s="22" t="s">
        <v>25</v>
      </c>
      <c r="C58" s="22" t="s">
        <v>18</v>
      </c>
      <c r="D58" s="114">
        <v>0.1721066878539555</v>
      </c>
      <c r="J58" s="22"/>
      <c r="K58" s="7" t="s">
        <v>150</v>
      </c>
      <c r="L58" s="8" t="s">
        <v>25</v>
      </c>
      <c r="M58" s="8" t="s">
        <v>18</v>
      </c>
      <c r="N58" s="72">
        <v>0.1721066878539555</v>
      </c>
    </row>
    <row r="59" spans="1:14" x14ac:dyDescent="0.25">
      <c r="A59" s="22" t="s">
        <v>152</v>
      </c>
      <c r="B59" s="22" t="s">
        <v>17</v>
      </c>
      <c r="C59" s="22" t="s">
        <v>18</v>
      </c>
      <c r="D59" s="114">
        <v>0.22442090301374731</v>
      </c>
      <c r="J59" s="22"/>
      <c r="K59" s="7" t="s">
        <v>152</v>
      </c>
      <c r="L59" s="8" t="s">
        <v>17</v>
      </c>
      <c r="M59" s="8" t="s">
        <v>18</v>
      </c>
      <c r="N59" s="72">
        <v>0.22442090301374731</v>
      </c>
    </row>
    <row r="60" spans="1:14" x14ac:dyDescent="0.25">
      <c r="A60" s="22" t="s">
        <v>153</v>
      </c>
      <c r="B60" s="22" t="s">
        <v>56</v>
      </c>
      <c r="C60" s="22" t="s">
        <v>57</v>
      </c>
      <c r="D60" s="114">
        <v>0.17574220865540838</v>
      </c>
      <c r="J60" s="22"/>
      <c r="K60" s="7" t="s">
        <v>153</v>
      </c>
      <c r="L60" s="8" t="s">
        <v>56</v>
      </c>
      <c r="M60" s="8" t="s">
        <v>57</v>
      </c>
      <c r="N60" s="72">
        <v>0.17574220865540838</v>
      </c>
    </row>
    <row r="61" spans="1:14" x14ac:dyDescent="0.25">
      <c r="A61" s="22" t="s">
        <v>155</v>
      </c>
      <c r="B61" s="22" t="s">
        <v>36</v>
      </c>
      <c r="C61" s="22" t="s">
        <v>37</v>
      </c>
      <c r="D61" s="114">
        <v>0.32001228585079516</v>
      </c>
      <c r="J61" s="22"/>
      <c r="K61" s="7" t="s">
        <v>155</v>
      </c>
      <c r="L61" s="8" t="s">
        <v>36</v>
      </c>
      <c r="M61" s="8" t="s">
        <v>37</v>
      </c>
      <c r="N61" s="72">
        <v>0.32001228585079516</v>
      </c>
    </row>
    <row r="62" spans="1:14" x14ac:dyDescent="0.25">
      <c r="A62" s="22" t="s">
        <v>157</v>
      </c>
      <c r="B62" s="22" t="s">
        <v>43</v>
      </c>
      <c r="C62" s="22" t="s">
        <v>44</v>
      </c>
      <c r="D62" s="114">
        <v>0.3820328858233773</v>
      </c>
      <c r="J62" s="22"/>
      <c r="K62" s="7" t="s">
        <v>157</v>
      </c>
      <c r="L62" s="8" t="s">
        <v>43</v>
      </c>
      <c r="M62" s="8" t="s">
        <v>44</v>
      </c>
      <c r="N62" s="72">
        <v>0.3820328858233773</v>
      </c>
    </row>
    <row r="63" spans="1:14" x14ac:dyDescent="0.25">
      <c r="A63" s="22" t="s">
        <v>159</v>
      </c>
      <c r="B63" s="22" t="s">
        <v>43</v>
      </c>
      <c r="C63" s="22" t="s">
        <v>44</v>
      </c>
      <c r="D63" s="114">
        <v>0.18004747626186909</v>
      </c>
      <c r="J63" s="22"/>
      <c r="K63" s="7" t="s">
        <v>159</v>
      </c>
      <c r="L63" s="8" t="s">
        <v>43</v>
      </c>
      <c r="M63" s="8" t="s">
        <v>44</v>
      </c>
      <c r="N63" s="72">
        <v>0.18004747626186909</v>
      </c>
    </row>
    <row r="64" spans="1:14" x14ac:dyDescent="0.25">
      <c r="A64" s="22" t="s">
        <v>160</v>
      </c>
      <c r="B64" s="22" t="s">
        <v>36</v>
      </c>
      <c r="C64" s="22" t="s">
        <v>37</v>
      </c>
      <c r="D64" s="114">
        <v>0.11745792694587874</v>
      </c>
      <c r="J64" s="22"/>
      <c r="K64" s="7" t="s">
        <v>160</v>
      </c>
      <c r="L64" s="8" t="s">
        <v>36</v>
      </c>
      <c r="M64" s="8" t="s">
        <v>37</v>
      </c>
      <c r="N64" s="72">
        <v>0.11745792694587874</v>
      </c>
    </row>
    <row r="65" spans="1:14" x14ac:dyDescent="0.25">
      <c r="A65" s="22" t="s">
        <v>162</v>
      </c>
      <c r="B65" s="22" t="s">
        <v>56</v>
      </c>
      <c r="C65" s="22" t="s">
        <v>57</v>
      </c>
      <c r="D65" s="114">
        <v>0.28812201743588017</v>
      </c>
      <c r="J65" s="22"/>
      <c r="K65" s="7" t="s">
        <v>162</v>
      </c>
      <c r="L65" s="8" t="s">
        <v>56</v>
      </c>
      <c r="M65" s="8" t="s">
        <v>57</v>
      </c>
      <c r="N65" s="72">
        <v>0.28812201743588017</v>
      </c>
    </row>
    <row r="66" spans="1:14" x14ac:dyDescent="0.25">
      <c r="A66" s="22" t="s">
        <v>163</v>
      </c>
      <c r="B66" s="22" t="s">
        <v>60</v>
      </c>
      <c r="C66" s="22" t="s">
        <v>52</v>
      </c>
      <c r="D66" s="114">
        <v>0.27414465136422694</v>
      </c>
      <c r="J66" s="22"/>
      <c r="K66" s="7" t="s">
        <v>163</v>
      </c>
      <c r="L66" s="8" t="s">
        <v>60</v>
      </c>
      <c r="M66" s="8" t="s">
        <v>52</v>
      </c>
      <c r="N66" s="72">
        <v>0.27414465136422694</v>
      </c>
    </row>
    <row r="67" spans="1:14" x14ac:dyDescent="0.25">
      <c r="A67" s="22" t="s">
        <v>164</v>
      </c>
      <c r="B67" s="22" t="s">
        <v>36</v>
      </c>
      <c r="C67" s="22" t="s">
        <v>37</v>
      </c>
      <c r="D67" s="114">
        <v>0.29341486861781668</v>
      </c>
      <c r="J67" s="22"/>
      <c r="K67" s="7" t="s">
        <v>164</v>
      </c>
      <c r="L67" s="8" t="s">
        <v>36</v>
      </c>
      <c r="M67" s="8" t="s">
        <v>37</v>
      </c>
      <c r="N67" s="72">
        <v>0.29341486861781668</v>
      </c>
    </row>
    <row r="68" spans="1:14" x14ac:dyDescent="0.25">
      <c r="A68" s="22" t="s">
        <v>165</v>
      </c>
      <c r="B68" s="22" t="s">
        <v>36</v>
      </c>
      <c r="C68" s="22" t="s">
        <v>37</v>
      </c>
      <c r="D68" s="114">
        <v>0.39176725421488684</v>
      </c>
      <c r="J68" s="22"/>
      <c r="K68" s="7" t="s">
        <v>165</v>
      </c>
      <c r="L68" s="8" t="s">
        <v>36</v>
      </c>
      <c r="M68" s="8" t="s">
        <v>37</v>
      </c>
      <c r="N68" s="72">
        <v>0.39176725421488684</v>
      </c>
    </row>
    <row r="69" spans="1:14" x14ac:dyDescent="0.25">
      <c r="A69" s="22" t="s">
        <v>167</v>
      </c>
      <c r="B69" s="22" t="s">
        <v>63</v>
      </c>
      <c r="C69" s="22" t="s">
        <v>37</v>
      </c>
      <c r="D69" s="114">
        <v>0.37579847053531268</v>
      </c>
      <c r="J69" s="22"/>
      <c r="K69" s="7" t="s">
        <v>167</v>
      </c>
      <c r="L69" s="8" t="s">
        <v>63</v>
      </c>
      <c r="M69" s="8" t="s">
        <v>37</v>
      </c>
      <c r="N69" s="72">
        <v>0.37579847053531268</v>
      </c>
    </row>
    <row r="70" spans="1:14" x14ac:dyDescent="0.25">
      <c r="A70" s="22" t="s">
        <v>169</v>
      </c>
      <c r="B70" s="22" t="s">
        <v>60</v>
      </c>
      <c r="C70" s="22" t="s">
        <v>52</v>
      </c>
      <c r="D70" s="114">
        <v>0.12386895475819032</v>
      </c>
      <c r="J70" s="22"/>
      <c r="K70" s="7" t="s">
        <v>169</v>
      </c>
      <c r="L70" s="8" t="s">
        <v>60</v>
      </c>
      <c r="M70" s="8" t="s">
        <v>52</v>
      </c>
      <c r="N70" s="72">
        <v>0.12386895475819032</v>
      </c>
    </row>
    <row r="71" spans="1:14" x14ac:dyDescent="0.25">
      <c r="A71" s="22" t="s">
        <v>171</v>
      </c>
      <c r="B71" s="22" t="s">
        <v>83</v>
      </c>
      <c r="C71" s="22" t="s">
        <v>52</v>
      </c>
      <c r="D71" s="114">
        <v>0.36141465808984996</v>
      </c>
      <c r="J71" s="22"/>
      <c r="K71" s="7" t="s">
        <v>171</v>
      </c>
      <c r="L71" s="8" t="s">
        <v>83</v>
      </c>
      <c r="M71" s="8" t="s">
        <v>52</v>
      </c>
      <c r="N71" s="72">
        <v>0.36141465808984996</v>
      </c>
    </row>
    <row r="72" spans="1:14" x14ac:dyDescent="0.25">
      <c r="A72" s="22" t="s">
        <v>172</v>
      </c>
      <c r="B72" s="22" t="s">
        <v>43</v>
      </c>
      <c r="C72" s="22" t="s">
        <v>44</v>
      </c>
      <c r="D72" s="114">
        <v>0.32083831426348647</v>
      </c>
      <c r="J72" s="22"/>
      <c r="K72" s="7" t="s">
        <v>172</v>
      </c>
      <c r="L72" s="8" t="s">
        <v>43</v>
      </c>
      <c r="M72" s="8" t="s">
        <v>44</v>
      </c>
      <c r="N72" s="72">
        <v>0.32083831426348647</v>
      </c>
    </row>
    <row r="73" spans="1:14" x14ac:dyDescent="0.25">
      <c r="A73" s="22" t="s">
        <v>174</v>
      </c>
      <c r="B73" s="22" t="s">
        <v>25</v>
      </c>
      <c r="C73" s="22" t="s">
        <v>18</v>
      </c>
      <c r="D73" s="114">
        <v>0.2394374734800267</v>
      </c>
      <c r="J73" s="22"/>
      <c r="K73" s="7" t="s">
        <v>174</v>
      </c>
      <c r="L73" s="8" t="s">
        <v>25</v>
      </c>
      <c r="M73" s="8" t="s">
        <v>18</v>
      </c>
      <c r="N73" s="72">
        <v>0.2394374734800267</v>
      </c>
    </row>
    <row r="74" spans="1:14" x14ac:dyDescent="0.25">
      <c r="A74" s="22" t="s">
        <v>175</v>
      </c>
      <c r="B74" s="22" t="s">
        <v>56</v>
      </c>
      <c r="C74" s="22" t="s">
        <v>57</v>
      </c>
      <c r="D74" s="114">
        <v>0.28578758337609034</v>
      </c>
      <c r="J74" s="22"/>
      <c r="K74" s="7" t="s">
        <v>175</v>
      </c>
      <c r="L74" s="8" t="s">
        <v>56</v>
      </c>
      <c r="M74" s="8" t="s">
        <v>57</v>
      </c>
      <c r="N74" s="72">
        <v>0.28578758337609034</v>
      </c>
    </row>
    <row r="75" spans="1:14" x14ac:dyDescent="0.25">
      <c r="A75" s="22" t="s">
        <v>178</v>
      </c>
      <c r="B75" s="22" t="s">
        <v>48</v>
      </c>
      <c r="C75" s="22" t="s">
        <v>37</v>
      </c>
      <c r="D75" s="114">
        <v>0.3623416460839774</v>
      </c>
      <c r="J75" s="22"/>
      <c r="K75" s="7" t="s">
        <v>178</v>
      </c>
      <c r="L75" s="8" t="s">
        <v>48</v>
      </c>
      <c r="M75" s="8" t="s">
        <v>37</v>
      </c>
      <c r="N75" s="72">
        <v>0.3623416460839774</v>
      </c>
    </row>
    <row r="76" spans="1:14" x14ac:dyDescent="0.25">
      <c r="A76" s="22" t="s">
        <v>180</v>
      </c>
      <c r="B76" s="22" t="s">
        <v>60</v>
      </c>
      <c r="C76" s="22" t="s">
        <v>52</v>
      </c>
      <c r="D76" s="114">
        <v>0.21167381318460934</v>
      </c>
      <c r="J76" s="22"/>
      <c r="K76" s="7" t="s">
        <v>180</v>
      </c>
      <c r="L76" s="8" t="s">
        <v>60</v>
      </c>
      <c r="M76" s="8" t="s">
        <v>52</v>
      </c>
      <c r="N76" s="72">
        <v>0.21167381318460934</v>
      </c>
    </row>
    <row r="77" spans="1:14" x14ac:dyDescent="0.25">
      <c r="A77" s="22" t="s">
        <v>182</v>
      </c>
      <c r="B77" s="22" t="s">
        <v>25</v>
      </c>
      <c r="C77" s="22" t="s">
        <v>18</v>
      </c>
      <c r="D77" s="114">
        <v>0.2126964746012365</v>
      </c>
      <c r="J77" s="22"/>
      <c r="K77" s="7" t="s">
        <v>182</v>
      </c>
      <c r="L77" s="8" t="s">
        <v>25</v>
      </c>
      <c r="M77" s="8" t="s">
        <v>18</v>
      </c>
      <c r="N77" s="72">
        <v>0.2126964746012365</v>
      </c>
    </row>
    <row r="78" spans="1:14" x14ac:dyDescent="0.25">
      <c r="A78" s="22" t="s">
        <v>184</v>
      </c>
      <c r="B78" s="22" t="s">
        <v>25</v>
      </c>
      <c r="C78" s="22" t="s">
        <v>18</v>
      </c>
      <c r="D78" s="114">
        <v>0.27772063732654861</v>
      </c>
      <c r="J78" s="22"/>
      <c r="K78" s="7" t="s">
        <v>184</v>
      </c>
      <c r="L78" s="8" t="s">
        <v>25</v>
      </c>
      <c r="M78" s="8" t="s">
        <v>18</v>
      </c>
      <c r="N78" s="72">
        <v>0.27772063732654861</v>
      </c>
    </row>
    <row r="79" spans="1:14" x14ac:dyDescent="0.25">
      <c r="A79" s="22" t="s">
        <v>185</v>
      </c>
      <c r="B79" s="22" t="s">
        <v>48</v>
      </c>
      <c r="C79" s="22" t="s">
        <v>37</v>
      </c>
      <c r="D79" s="114">
        <v>0.26217961654894045</v>
      </c>
      <c r="J79" s="22"/>
      <c r="K79" s="7" t="s">
        <v>185</v>
      </c>
      <c r="L79" s="8" t="s">
        <v>48</v>
      </c>
      <c r="M79" s="8" t="s">
        <v>37</v>
      </c>
      <c r="N79" s="72">
        <v>0.26217961654894045</v>
      </c>
    </row>
    <row r="80" spans="1:14" x14ac:dyDescent="0.25">
      <c r="A80" s="22" t="s">
        <v>186</v>
      </c>
      <c r="B80" s="22" t="s">
        <v>60</v>
      </c>
      <c r="C80" s="22" t="s">
        <v>52</v>
      </c>
      <c r="D80" s="114">
        <v>0.1917963683527886</v>
      </c>
      <c r="J80" s="22"/>
      <c r="K80" s="7" t="s">
        <v>186</v>
      </c>
      <c r="L80" s="8" t="s">
        <v>60</v>
      </c>
      <c r="M80" s="8" t="s">
        <v>52</v>
      </c>
      <c r="N80" s="72">
        <v>0.1917963683527886</v>
      </c>
    </row>
    <row r="81" spans="1:14" x14ac:dyDescent="0.25">
      <c r="A81" s="22" t="s">
        <v>187</v>
      </c>
      <c r="B81" s="22" t="s">
        <v>60</v>
      </c>
      <c r="C81" s="22" t="s">
        <v>52</v>
      </c>
      <c r="D81" s="114">
        <v>0.29392446633825947</v>
      </c>
      <c r="J81" s="22"/>
      <c r="K81" s="7" t="s">
        <v>187</v>
      </c>
      <c r="L81" s="8" t="s">
        <v>60</v>
      </c>
      <c r="M81" s="8" t="s">
        <v>52</v>
      </c>
      <c r="N81" s="72">
        <v>0.29392446633825947</v>
      </c>
    </row>
    <row r="82" spans="1:14" x14ac:dyDescent="0.25">
      <c r="A82" s="22" t="s">
        <v>188</v>
      </c>
      <c r="B82" s="22" t="s">
        <v>51</v>
      </c>
      <c r="C82" s="22" t="s">
        <v>52</v>
      </c>
      <c r="D82" s="114">
        <v>0.16136851520572451</v>
      </c>
      <c r="J82" s="22"/>
      <c r="K82" s="7" t="s">
        <v>188</v>
      </c>
      <c r="L82" s="8" t="s">
        <v>51</v>
      </c>
      <c r="M82" s="8" t="s">
        <v>52</v>
      </c>
      <c r="N82" s="72">
        <v>0.16136851520572451</v>
      </c>
    </row>
    <row r="83" spans="1:14" x14ac:dyDescent="0.25">
      <c r="A83" s="22" t="s">
        <v>190</v>
      </c>
      <c r="B83" s="22" t="s">
        <v>83</v>
      </c>
      <c r="C83" s="22" t="s">
        <v>52</v>
      </c>
      <c r="D83" s="114">
        <v>0.26492020047630899</v>
      </c>
      <c r="J83" s="22"/>
      <c r="K83" s="7" t="s">
        <v>190</v>
      </c>
      <c r="L83" s="8" t="s">
        <v>83</v>
      </c>
      <c r="M83" s="8" t="s">
        <v>52</v>
      </c>
      <c r="N83" s="72">
        <v>0.26492020047630899</v>
      </c>
    </row>
    <row r="84" spans="1:14" x14ac:dyDescent="0.25">
      <c r="A84" s="22" t="s">
        <v>191</v>
      </c>
      <c r="B84" s="22" t="s">
        <v>63</v>
      </c>
      <c r="C84" s="22" t="s">
        <v>37</v>
      </c>
      <c r="D84" s="114">
        <v>0.15949886945687783</v>
      </c>
      <c r="J84" s="22"/>
      <c r="K84" s="7" t="s">
        <v>191</v>
      </c>
      <c r="L84" s="8" t="s">
        <v>63</v>
      </c>
      <c r="M84" s="8" t="s">
        <v>37</v>
      </c>
      <c r="N84" s="72">
        <v>0.15949886945687783</v>
      </c>
    </row>
    <row r="85" spans="1:14" x14ac:dyDescent="0.25">
      <c r="A85" s="22" t="s">
        <v>192</v>
      </c>
      <c r="B85" s="22" t="s">
        <v>36</v>
      </c>
      <c r="C85" s="22" t="s">
        <v>37</v>
      </c>
      <c r="D85" s="114">
        <v>0.15767162573937982</v>
      </c>
      <c r="J85" s="22"/>
      <c r="K85" s="7" t="s">
        <v>192</v>
      </c>
      <c r="L85" s="8" t="s">
        <v>36</v>
      </c>
      <c r="M85" s="8" t="s">
        <v>37</v>
      </c>
      <c r="N85" s="72">
        <v>0.15767162573937982</v>
      </c>
    </row>
    <row r="86" spans="1:14" x14ac:dyDescent="0.25">
      <c r="A86" s="22" t="s">
        <v>194</v>
      </c>
      <c r="B86" s="22" t="s">
        <v>63</v>
      </c>
      <c r="C86" s="22" t="s">
        <v>37</v>
      </c>
      <c r="D86" s="114">
        <v>0.13694560279246992</v>
      </c>
      <c r="J86" s="22"/>
      <c r="K86" s="7" t="s">
        <v>194</v>
      </c>
      <c r="L86" s="8" t="s">
        <v>63</v>
      </c>
      <c r="M86" s="8" t="s">
        <v>37</v>
      </c>
      <c r="N86" s="72">
        <v>0.13694560279246992</v>
      </c>
    </row>
    <row r="87" spans="1:14" x14ac:dyDescent="0.25">
      <c r="A87" s="22" t="s">
        <v>195</v>
      </c>
      <c r="B87" s="22" t="s">
        <v>43</v>
      </c>
      <c r="C87" s="22" t="s">
        <v>44</v>
      </c>
      <c r="D87" s="114">
        <v>0.20805570362473347</v>
      </c>
      <c r="J87" s="22"/>
      <c r="K87" s="7" t="s">
        <v>195</v>
      </c>
      <c r="L87" s="8" t="s">
        <v>43</v>
      </c>
      <c r="M87" s="8" t="s">
        <v>44</v>
      </c>
      <c r="N87" s="72">
        <v>0.20805570362473347</v>
      </c>
    </row>
    <row r="88" spans="1:14" x14ac:dyDescent="0.25">
      <c r="A88" s="22" t="s">
        <v>196</v>
      </c>
      <c r="B88" s="22" t="s">
        <v>83</v>
      </c>
      <c r="C88" s="22" t="s">
        <v>52</v>
      </c>
      <c r="D88" s="114">
        <v>0.2701015622363937</v>
      </c>
      <c r="J88" s="22"/>
      <c r="K88" s="7" t="s">
        <v>196</v>
      </c>
      <c r="L88" s="8" t="s">
        <v>83</v>
      </c>
      <c r="M88" s="8" t="s">
        <v>52</v>
      </c>
      <c r="N88" s="72">
        <v>0.2701015622363937</v>
      </c>
    </row>
    <row r="89" spans="1:14" x14ac:dyDescent="0.25">
      <c r="A89" s="22" t="s">
        <v>197</v>
      </c>
      <c r="B89" s="22" t="s">
        <v>17</v>
      </c>
      <c r="C89" s="22" t="s">
        <v>18</v>
      </c>
      <c r="D89" s="114">
        <v>0.15889346136259716</v>
      </c>
      <c r="J89" s="22"/>
      <c r="K89" s="7" t="s">
        <v>197</v>
      </c>
      <c r="L89" s="8" t="s">
        <v>17</v>
      </c>
      <c r="M89" s="8" t="s">
        <v>18</v>
      </c>
      <c r="N89" s="72">
        <v>0.15889346136259716</v>
      </c>
    </row>
    <row r="90" spans="1:14" x14ac:dyDescent="0.25">
      <c r="A90" s="22" t="s">
        <v>198</v>
      </c>
      <c r="B90" s="22" t="s">
        <v>60</v>
      </c>
      <c r="C90" s="22" t="s">
        <v>52</v>
      </c>
      <c r="D90" s="114">
        <v>0.30964947895520373</v>
      </c>
      <c r="J90" s="22"/>
      <c r="K90" s="7" t="s">
        <v>198</v>
      </c>
      <c r="L90" s="8" t="s">
        <v>60</v>
      </c>
      <c r="M90" s="8" t="s">
        <v>52</v>
      </c>
      <c r="N90" s="72">
        <v>0.30964947895520373</v>
      </c>
    </row>
    <row r="91" spans="1:14" x14ac:dyDescent="0.25">
      <c r="A91" s="22" t="s">
        <v>200</v>
      </c>
      <c r="B91" s="22" t="s">
        <v>60</v>
      </c>
      <c r="C91" s="22" t="s">
        <v>52</v>
      </c>
      <c r="D91" s="114">
        <v>0.22938656876242922</v>
      </c>
      <c r="J91" s="22"/>
      <c r="K91" s="7" t="s">
        <v>200</v>
      </c>
      <c r="L91" s="8" t="s">
        <v>60</v>
      </c>
      <c r="M91" s="8" t="s">
        <v>52</v>
      </c>
      <c r="N91" s="72">
        <v>0.22938656876242922</v>
      </c>
    </row>
    <row r="92" spans="1:14" x14ac:dyDescent="0.25">
      <c r="A92" s="22" t="s">
        <v>201</v>
      </c>
      <c r="B92" s="22" t="s">
        <v>17</v>
      </c>
      <c r="C92" s="22" t="s">
        <v>18</v>
      </c>
      <c r="D92" s="114">
        <v>0.37217331775666163</v>
      </c>
      <c r="J92" s="22"/>
      <c r="K92" s="7" t="s">
        <v>201</v>
      </c>
      <c r="L92" s="8" t="s">
        <v>17</v>
      </c>
      <c r="M92" s="8" t="s">
        <v>18</v>
      </c>
      <c r="N92" s="72">
        <v>0.37217331775666163</v>
      </c>
    </row>
    <row r="93" spans="1:14" x14ac:dyDescent="0.25">
      <c r="A93" s="22" t="s">
        <v>203</v>
      </c>
      <c r="B93" s="22" t="s">
        <v>43</v>
      </c>
      <c r="C93" s="22" t="s">
        <v>44</v>
      </c>
      <c r="D93" s="114">
        <v>0.33623463669612441</v>
      </c>
      <c r="J93" s="22"/>
      <c r="K93" s="7" t="s">
        <v>203</v>
      </c>
      <c r="L93" s="8" t="s">
        <v>43</v>
      </c>
      <c r="M93" s="8" t="s">
        <v>44</v>
      </c>
      <c r="N93" s="72">
        <v>0.33623463669612441</v>
      </c>
    </row>
    <row r="94" spans="1:14" x14ac:dyDescent="0.25">
      <c r="A94" s="22" t="s">
        <v>205</v>
      </c>
      <c r="B94" s="22" t="s">
        <v>25</v>
      </c>
      <c r="C94" s="22" t="s">
        <v>18</v>
      </c>
      <c r="D94" s="114">
        <v>0.22801432550736175</v>
      </c>
      <c r="J94" s="22"/>
      <c r="K94" s="7" t="s">
        <v>205</v>
      </c>
      <c r="L94" s="8" t="s">
        <v>25</v>
      </c>
      <c r="M94" s="8" t="s">
        <v>18</v>
      </c>
      <c r="N94" s="72">
        <v>0.22801432550736175</v>
      </c>
    </row>
    <row r="95" spans="1:14" x14ac:dyDescent="0.25">
      <c r="A95" s="22" t="s">
        <v>206</v>
      </c>
      <c r="B95" s="22" t="s">
        <v>60</v>
      </c>
      <c r="C95" s="22" t="s">
        <v>52</v>
      </c>
      <c r="D95" s="114">
        <v>0.14583167607986636</v>
      </c>
      <c r="J95" s="22"/>
      <c r="K95" s="7" t="s">
        <v>206</v>
      </c>
      <c r="L95" s="8" t="s">
        <v>60</v>
      </c>
      <c r="M95" s="8" t="s">
        <v>52</v>
      </c>
      <c r="N95" s="72">
        <v>0.14583167607986636</v>
      </c>
    </row>
    <row r="96" spans="1:14" x14ac:dyDescent="0.25">
      <c r="A96" s="22" t="s">
        <v>208</v>
      </c>
      <c r="B96" s="22" t="s">
        <v>48</v>
      </c>
      <c r="C96" s="22" t="s">
        <v>37</v>
      </c>
      <c r="D96" s="114">
        <v>0.37591562305329407</v>
      </c>
      <c r="J96" s="22"/>
      <c r="K96" s="7" t="s">
        <v>208</v>
      </c>
      <c r="L96" s="8" t="s">
        <v>48</v>
      </c>
      <c r="M96" s="8" t="s">
        <v>37</v>
      </c>
      <c r="N96" s="72">
        <v>0.37591562305329407</v>
      </c>
    </row>
    <row r="97" spans="1:14" x14ac:dyDescent="0.25">
      <c r="A97" s="22" t="s">
        <v>210</v>
      </c>
      <c r="B97" s="22" t="s">
        <v>51</v>
      </c>
      <c r="C97" s="22" t="s">
        <v>52</v>
      </c>
      <c r="D97" s="114">
        <v>0.38080338518386081</v>
      </c>
      <c r="J97" s="22"/>
      <c r="K97" s="7" t="s">
        <v>210</v>
      </c>
      <c r="L97" s="8" t="s">
        <v>51</v>
      </c>
      <c r="M97" s="8" t="s">
        <v>52</v>
      </c>
      <c r="N97" s="72">
        <v>0.38080338518386081</v>
      </c>
    </row>
    <row r="98" spans="1:14" x14ac:dyDescent="0.25">
      <c r="A98" s="22" t="s">
        <v>212</v>
      </c>
      <c r="B98" s="22" t="s">
        <v>17</v>
      </c>
      <c r="C98" s="22" t="s">
        <v>18</v>
      </c>
      <c r="D98" s="114">
        <v>0.24026979212737729</v>
      </c>
      <c r="J98" s="22"/>
      <c r="K98" s="7" t="s">
        <v>212</v>
      </c>
      <c r="L98" s="8" t="s">
        <v>17</v>
      </c>
      <c r="M98" s="8" t="s">
        <v>18</v>
      </c>
      <c r="N98" s="72">
        <v>0.24026979212737729</v>
      </c>
    </row>
    <row r="99" spans="1:14" x14ac:dyDescent="0.25">
      <c r="A99" s="22" t="s">
        <v>213</v>
      </c>
      <c r="B99" s="22" t="s">
        <v>83</v>
      </c>
      <c r="C99" s="22" t="s">
        <v>52</v>
      </c>
      <c r="D99" s="114">
        <v>0.3616928446771378</v>
      </c>
      <c r="J99" s="22"/>
      <c r="K99" s="7" t="s">
        <v>213</v>
      </c>
      <c r="L99" s="8" t="s">
        <v>83</v>
      </c>
      <c r="M99" s="8" t="s">
        <v>52</v>
      </c>
      <c r="N99" s="72">
        <v>0.3616928446771378</v>
      </c>
    </row>
    <row r="100" spans="1:14" x14ac:dyDescent="0.25">
      <c r="A100" s="22" t="s">
        <v>214</v>
      </c>
      <c r="B100" s="22" t="s">
        <v>25</v>
      </c>
      <c r="C100" s="22" t="s">
        <v>18</v>
      </c>
      <c r="D100" s="114">
        <v>0.26879271070615035</v>
      </c>
      <c r="J100" s="22"/>
      <c r="K100" s="7" t="s">
        <v>214</v>
      </c>
      <c r="L100" s="8" t="s">
        <v>25</v>
      </c>
      <c r="M100" s="8" t="s">
        <v>18</v>
      </c>
      <c r="N100" s="72">
        <v>0.26879271070615035</v>
      </c>
    </row>
    <row r="101" spans="1:14" x14ac:dyDescent="0.25">
      <c r="A101" s="22" t="s">
        <v>215</v>
      </c>
      <c r="B101" s="22" t="s">
        <v>56</v>
      </c>
      <c r="C101" s="22" t="s">
        <v>57</v>
      </c>
      <c r="D101" s="114">
        <v>0.25705005032482386</v>
      </c>
      <c r="J101" s="22"/>
      <c r="K101" s="7" t="s">
        <v>215</v>
      </c>
      <c r="L101" s="8" t="s">
        <v>56</v>
      </c>
      <c r="M101" s="8" t="s">
        <v>57</v>
      </c>
      <c r="N101" s="72">
        <v>0.25705005032482386</v>
      </c>
    </row>
    <row r="102" spans="1:14" x14ac:dyDescent="0.25">
      <c r="A102" s="22" t="s">
        <v>216</v>
      </c>
      <c r="B102" s="22" t="s">
        <v>63</v>
      </c>
      <c r="C102" s="22" t="s">
        <v>37</v>
      </c>
      <c r="D102" s="114">
        <v>0.36157261886943071</v>
      </c>
      <c r="J102" s="22"/>
      <c r="K102" s="7" t="s">
        <v>216</v>
      </c>
      <c r="L102" s="8" t="s">
        <v>63</v>
      </c>
      <c r="M102" s="8" t="s">
        <v>37</v>
      </c>
      <c r="N102" s="72">
        <v>0.36157261886943071</v>
      </c>
    </row>
    <row r="103" spans="1:14" x14ac:dyDescent="0.25">
      <c r="A103" s="22" t="s">
        <v>217</v>
      </c>
      <c r="B103" s="22" t="s">
        <v>60</v>
      </c>
      <c r="C103" s="22" t="s">
        <v>52</v>
      </c>
      <c r="D103" s="114">
        <v>0.37508693837807761</v>
      </c>
      <c r="J103" s="22"/>
      <c r="K103" s="7" t="s">
        <v>217</v>
      </c>
      <c r="L103" s="8" t="s">
        <v>60</v>
      </c>
      <c r="M103" s="8" t="s">
        <v>52</v>
      </c>
      <c r="N103" s="72">
        <v>0.37508693837807761</v>
      </c>
    </row>
    <row r="104" spans="1:14" x14ac:dyDescent="0.25">
      <c r="A104" s="22" t="s">
        <v>218</v>
      </c>
      <c r="B104" s="22" t="s">
        <v>60</v>
      </c>
      <c r="C104" s="22" t="s">
        <v>52</v>
      </c>
      <c r="D104" s="114">
        <v>0.2792098382879829</v>
      </c>
      <c r="J104" s="22"/>
      <c r="K104" s="7" t="s">
        <v>218</v>
      </c>
      <c r="L104" s="8" t="s">
        <v>60</v>
      </c>
      <c r="M104" s="8" t="s">
        <v>52</v>
      </c>
      <c r="N104" s="72">
        <v>0.2792098382879829</v>
      </c>
    </row>
    <row r="105" spans="1:14" x14ac:dyDescent="0.25">
      <c r="A105" s="22" t="s">
        <v>219</v>
      </c>
      <c r="B105" s="22" t="s">
        <v>60</v>
      </c>
      <c r="C105" s="22" t="s">
        <v>52</v>
      </c>
      <c r="D105" s="114">
        <v>0.25572275421796625</v>
      </c>
      <c r="J105" s="22"/>
      <c r="K105" s="7" t="s">
        <v>219</v>
      </c>
      <c r="L105" s="8" t="s">
        <v>60</v>
      </c>
      <c r="M105" s="8" t="s">
        <v>52</v>
      </c>
      <c r="N105" s="72">
        <v>0.25572275421796625</v>
      </c>
    </row>
    <row r="106" spans="1:14" x14ac:dyDescent="0.25">
      <c r="A106" s="22" t="s">
        <v>220</v>
      </c>
      <c r="B106" s="22" t="s">
        <v>63</v>
      </c>
      <c r="C106" s="22" t="s">
        <v>37</v>
      </c>
      <c r="D106" s="114">
        <v>0.36407231369886267</v>
      </c>
      <c r="J106" s="22"/>
      <c r="K106" s="7" t="s">
        <v>220</v>
      </c>
      <c r="L106" s="8" t="s">
        <v>63</v>
      </c>
      <c r="M106" s="8" t="s">
        <v>37</v>
      </c>
      <c r="N106" s="72">
        <v>0.36407231369886267</v>
      </c>
    </row>
    <row r="107" spans="1:14" x14ac:dyDescent="0.25">
      <c r="A107" s="22" t="s">
        <v>222</v>
      </c>
      <c r="B107" s="22" t="s">
        <v>43</v>
      </c>
      <c r="C107" s="22" t="s">
        <v>44</v>
      </c>
      <c r="D107" s="114">
        <v>0.24355096957836686</v>
      </c>
      <c r="J107" s="22"/>
      <c r="K107" s="7" t="s">
        <v>222</v>
      </c>
      <c r="L107" s="8" t="s">
        <v>43</v>
      </c>
      <c r="M107" s="8" t="s">
        <v>44</v>
      </c>
      <c r="N107" s="72">
        <v>0.24355096957836686</v>
      </c>
    </row>
    <row r="108" spans="1:14" x14ac:dyDescent="0.25">
      <c r="A108" s="22" t="s">
        <v>223</v>
      </c>
      <c r="B108" s="22" t="s">
        <v>63</v>
      </c>
      <c r="C108" s="22" t="s">
        <v>37</v>
      </c>
      <c r="D108" s="114">
        <v>0.13555895745014915</v>
      </c>
      <c r="J108" s="22"/>
      <c r="K108" s="7" t="s">
        <v>223</v>
      </c>
      <c r="L108" s="8" t="s">
        <v>63</v>
      </c>
      <c r="M108" s="8" t="s">
        <v>37</v>
      </c>
      <c r="N108" s="72">
        <v>0.13555895745014915</v>
      </c>
    </row>
    <row r="109" spans="1:14" x14ac:dyDescent="0.25">
      <c r="A109" s="22" t="s">
        <v>224</v>
      </c>
      <c r="B109" s="22" t="s">
        <v>60</v>
      </c>
      <c r="C109" s="22" t="s">
        <v>52</v>
      </c>
      <c r="D109" s="114">
        <v>0.26646394439617721</v>
      </c>
      <c r="J109" s="22"/>
      <c r="K109" s="7" t="s">
        <v>224</v>
      </c>
      <c r="L109" s="8" t="s">
        <v>60</v>
      </c>
      <c r="M109" s="8" t="s">
        <v>52</v>
      </c>
      <c r="N109" s="72">
        <v>0.26646394439617721</v>
      </c>
    </row>
    <row r="110" spans="1:14" x14ac:dyDescent="0.25">
      <c r="A110" s="22" t="s">
        <v>225</v>
      </c>
      <c r="B110" s="22" t="s">
        <v>63</v>
      </c>
      <c r="C110" s="22" t="s">
        <v>37</v>
      </c>
      <c r="D110" s="114">
        <v>0.18547912992357435</v>
      </c>
      <c r="J110" s="22"/>
      <c r="K110" s="7" t="s">
        <v>225</v>
      </c>
      <c r="L110" s="8" t="s">
        <v>63</v>
      </c>
      <c r="M110" s="8" t="s">
        <v>37</v>
      </c>
      <c r="N110" s="72">
        <v>0.18547912992357435</v>
      </c>
    </row>
    <row r="111" spans="1:14" x14ac:dyDescent="0.25">
      <c r="A111" s="22" t="s">
        <v>227</v>
      </c>
      <c r="B111" s="22" t="s">
        <v>25</v>
      </c>
      <c r="C111" s="22" t="s">
        <v>18</v>
      </c>
      <c r="D111" s="114">
        <v>0.28251322251605593</v>
      </c>
      <c r="J111" s="22"/>
      <c r="K111" s="7" t="s">
        <v>227</v>
      </c>
      <c r="L111" s="8" t="s">
        <v>25</v>
      </c>
      <c r="M111" s="8" t="s">
        <v>18</v>
      </c>
      <c r="N111" s="72">
        <v>0.28251322251605593</v>
      </c>
    </row>
    <row r="112" spans="1:14" x14ac:dyDescent="0.25">
      <c r="A112" s="22" t="s">
        <v>228</v>
      </c>
      <c r="B112" s="22" t="s">
        <v>36</v>
      </c>
      <c r="C112" s="22" t="s">
        <v>37</v>
      </c>
      <c r="D112" s="114">
        <v>0.19483846688281614</v>
      </c>
      <c r="J112" s="22"/>
      <c r="K112" s="7" t="s">
        <v>228</v>
      </c>
      <c r="L112" s="8" t="s">
        <v>36</v>
      </c>
      <c r="M112" s="8" t="s">
        <v>37</v>
      </c>
      <c r="N112" s="72">
        <v>0.19483846688281614</v>
      </c>
    </row>
    <row r="113" spans="1:14" x14ac:dyDescent="0.25">
      <c r="A113" s="22" t="s">
        <v>229</v>
      </c>
      <c r="B113" s="22" t="s">
        <v>60</v>
      </c>
      <c r="C113" s="22" t="s">
        <v>52</v>
      </c>
      <c r="D113" s="114">
        <v>0.15353516875514497</v>
      </c>
      <c r="J113" s="22"/>
      <c r="K113" s="7" t="s">
        <v>229</v>
      </c>
      <c r="L113" s="8" t="s">
        <v>60</v>
      </c>
      <c r="M113" s="8" t="s">
        <v>52</v>
      </c>
      <c r="N113" s="72">
        <v>0.15353516875514497</v>
      </c>
    </row>
    <row r="114" spans="1:14" x14ac:dyDescent="0.25">
      <c r="A114" s="22" t="s">
        <v>230</v>
      </c>
      <c r="B114" s="22" t="s">
        <v>43</v>
      </c>
      <c r="C114" s="22" t="s">
        <v>44</v>
      </c>
      <c r="D114" s="114">
        <v>0.31898291925465838</v>
      </c>
      <c r="J114" s="22"/>
      <c r="K114" s="7" t="s">
        <v>230</v>
      </c>
      <c r="L114" s="8" t="s">
        <v>43</v>
      </c>
      <c r="M114" s="8" t="s">
        <v>44</v>
      </c>
      <c r="N114" s="72">
        <v>0.31898291925465838</v>
      </c>
    </row>
    <row r="115" spans="1:14" x14ac:dyDescent="0.25">
      <c r="A115" s="22" t="s">
        <v>232</v>
      </c>
      <c r="B115" s="22" t="s">
        <v>60</v>
      </c>
      <c r="C115" s="22" t="s">
        <v>52</v>
      </c>
      <c r="D115" s="114">
        <v>0.181942310974569</v>
      </c>
      <c r="J115" s="22"/>
      <c r="K115" s="7" t="s">
        <v>232</v>
      </c>
      <c r="L115" s="8" t="s">
        <v>60</v>
      </c>
      <c r="M115" s="8" t="s">
        <v>52</v>
      </c>
      <c r="N115" s="72">
        <v>0.181942310974569</v>
      </c>
    </row>
    <row r="116" spans="1:14" x14ac:dyDescent="0.25">
      <c r="A116" s="22" t="s">
        <v>234</v>
      </c>
      <c r="B116" s="22" t="s">
        <v>48</v>
      </c>
      <c r="C116" s="22" t="s">
        <v>37</v>
      </c>
      <c r="D116" s="114">
        <v>0.19727020686713584</v>
      </c>
      <c r="J116" s="22"/>
      <c r="K116" s="7" t="s">
        <v>234</v>
      </c>
      <c r="L116" s="8" t="s">
        <v>48</v>
      </c>
      <c r="M116" s="8" t="s">
        <v>37</v>
      </c>
      <c r="N116" s="72">
        <v>0.19727020686713584</v>
      </c>
    </row>
    <row r="117" spans="1:14" x14ac:dyDescent="0.25">
      <c r="A117" s="22" t="s">
        <v>235</v>
      </c>
      <c r="B117" s="22" t="s">
        <v>36</v>
      </c>
      <c r="C117" s="22" t="s">
        <v>37</v>
      </c>
      <c r="D117" s="114">
        <v>0.30117683242683246</v>
      </c>
      <c r="J117" s="22"/>
      <c r="K117" s="7" t="s">
        <v>235</v>
      </c>
      <c r="L117" s="8" t="s">
        <v>36</v>
      </c>
      <c r="M117" s="8" t="s">
        <v>37</v>
      </c>
      <c r="N117" s="72">
        <v>0.30117683242683246</v>
      </c>
    </row>
    <row r="118" spans="1:14" x14ac:dyDescent="0.25">
      <c r="A118" s="22" t="s">
        <v>236</v>
      </c>
      <c r="B118" s="22" t="s">
        <v>25</v>
      </c>
      <c r="C118" s="22" t="s">
        <v>18</v>
      </c>
      <c r="D118" s="114">
        <v>0.28469534336219626</v>
      </c>
      <c r="J118" s="22"/>
      <c r="K118" s="7" t="s">
        <v>236</v>
      </c>
      <c r="L118" s="8" t="s">
        <v>25</v>
      </c>
      <c r="M118" s="8" t="s">
        <v>18</v>
      </c>
      <c r="N118" s="72">
        <v>0.28469534336219626</v>
      </c>
    </row>
    <row r="119" spans="1:14" x14ac:dyDescent="0.25">
      <c r="A119" s="22" t="s">
        <v>237</v>
      </c>
      <c r="B119" s="22" t="s">
        <v>63</v>
      </c>
      <c r="C119" s="22" t="s">
        <v>37</v>
      </c>
      <c r="D119" s="114">
        <v>0.22180876880763631</v>
      </c>
      <c r="J119" s="22"/>
      <c r="K119" s="7" t="s">
        <v>237</v>
      </c>
      <c r="L119" s="8" t="s">
        <v>63</v>
      </c>
      <c r="M119" s="8" t="s">
        <v>37</v>
      </c>
      <c r="N119" s="72">
        <v>0.22180876880763631</v>
      </c>
    </row>
    <row r="120" spans="1:14" x14ac:dyDescent="0.25">
      <c r="A120" s="22" t="s">
        <v>238</v>
      </c>
      <c r="B120" s="22" t="s">
        <v>17</v>
      </c>
      <c r="C120" s="22" t="s">
        <v>18</v>
      </c>
      <c r="D120" s="114">
        <v>0.25161314413741598</v>
      </c>
      <c r="J120" s="22"/>
      <c r="K120" s="7" t="s">
        <v>238</v>
      </c>
      <c r="L120" s="8" t="s">
        <v>17</v>
      </c>
      <c r="M120" s="8" t="s">
        <v>18</v>
      </c>
      <c r="N120" s="72">
        <v>0.25161314413741598</v>
      </c>
    </row>
    <row r="121" spans="1:14" x14ac:dyDescent="0.25">
      <c r="A121" s="22" t="s">
        <v>239</v>
      </c>
      <c r="B121" s="22" t="s">
        <v>60</v>
      </c>
      <c r="C121" s="22" t="s">
        <v>52</v>
      </c>
      <c r="D121" s="114">
        <v>0.35705185185185184</v>
      </c>
      <c r="J121" s="22"/>
      <c r="K121" s="7" t="s">
        <v>239</v>
      </c>
      <c r="L121" s="8" t="s">
        <v>60</v>
      </c>
      <c r="M121" s="8" t="s">
        <v>52</v>
      </c>
      <c r="N121" s="72">
        <v>0.35705185185185184</v>
      </c>
    </row>
    <row r="122" spans="1:14" x14ac:dyDescent="0.25">
      <c r="A122" s="22" t="s">
        <v>241</v>
      </c>
      <c r="B122" s="22" t="s">
        <v>63</v>
      </c>
      <c r="C122" s="22" t="s">
        <v>37</v>
      </c>
      <c r="D122" s="114">
        <v>0.27921052631578946</v>
      </c>
      <c r="J122" s="22"/>
      <c r="K122" s="7" t="s">
        <v>241</v>
      </c>
      <c r="L122" s="8" t="s">
        <v>63</v>
      </c>
      <c r="M122" s="8" t="s">
        <v>37</v>
      </c>
      <c r="N122" s="72">
        <v>0.27921052631578946</v>
      </c>
    </row>
    <row r="123" spans="1:14" x14ac:dyDescent="0.25">
      <c r="A123" s="22" t="s">
        <v>242</v>
      </c>
      <c r="B123" s="22" t="s">
        <v>60</v>
      </c>
      <c r="C123" s="22" t="s">
        <v>52</v>
      </c>
      <c r="D123" s="114">
        <v>0.36800600826135937</v>
      </c>
      <c r="J123" s="22"/>
      <c r="K123" s="7" t="s">
        <v>242</v>
      </c>
      <c r="L123" s="8" t="s">
        <v>60</v>
      </c>
      <c r="M123" s="8" t="s">
        <v>52</v>
      </c>
      <c r="N123" s="72">
        <v>0.36800600826135937</v>
      </c>
    </row>
    <row r="124" spans="1:14" x14ac:dyDescent="0.25">
      <c r="A124" s="22" t="s">
        <v>243</v>
      </c>
      <c r="B124" s="22" t="s">
        <v>56</v>
      </c>
      <c r="C124" s="22" t="s">
        <v>57</v>
      </c>
      <c r="D124" s="114">
        <v>0.37762561962840124</v>
      </c>
      <c r="J124" s="22"/>
      <c r="K124" s="7" t="s">
        <v>243</v>
      </c>
      <c r="L124" s="8" t="s">
        <v>56</v>
      </c>
      <c r="M124" s="8" t="s">
        <v>57</v>
      </c>
      <c r="N124" s="72">
        <v>0.37762561962840124</v>
      </c>
    </row>
    <row r="125" spans="1:14" x14ac:dyDescent="0.25">
      <c r="A125" s="22" t="s">
        <v>244</v>
      </c>
      <c r="B125" s="22" t="s">
        <v>56</v>
      </c>
      <c r="C125" s="22" t="s">
        <v>57</v>
      </c>
      <c r="D125" s="114">
        <v>0.11531199002042054</v>
      </c>
      <c r="J125" s="22"/>
      <c r="K125" s="7" t="s">
        <v>244</v>
      </c>
      <c r="L125" s="8" t="s">
        <v>56</v>
      </c>
      <c r="M125" s="8" t="s">
        <v>57</v>
      </c>
      <c r="N125" s="72">
        <v>0.11531199002042054</v>
      </c>
    </row>
    <row r="126" spans="1:14" x14ac:dyDescent="0.25">
      <c r="A126" s="22" t="s">
        <v>245</v>
      </c>
      <c r="B126" s="22" t="s">
        <v>51</v>
      </c>
      <c r="C126" s="22" t="s">
        <v>52</v>
      </c>
      <c r="D126" s="114">
        <v>0.25557329926541045</v>
      </c>
      <c r="J126" s="22"/>
      <c r="K126" s="7" t="s">
        <v>245</v>
      </c>
      <c r="L126" s="8" t="s">
        <v>51</v>
      </c>
      <c r="M126" s="8" t="s">
        <v>52</v>
      </c>
      <c r="N126" s="72">
        <v>0.25557329926541045</v>
      </c>
    </row>
    <row r="127" spans="1:14" x14ac:dyDescent="0.25">
      <c r="A127" s="22" t="s">
        <v>247</v>
      </c>
      <c r="B127" s="22" t="s">
        <v>83</v>
      </c>
      <c r="C127" s="22" t="s">
        <v>52</v>
      </c>
      <c r="D127" s="114">
        <v>0.19436819382692183</v>
      </c>
      <c r="J127" s="22"/>
      <c r="K127" s="7" t="s">
        <v>247</v>
      </c>
      <c r="L127" s="8" t="s">
        <v>83</v>
      </c>
      <c r="M127" s="8" t="s">
        <v>52</v>
      </c>
      <c r="N127" s="72">
        <v>0.19436819382692183</v>
      </c>
    </row>
    <row r="128" spans="1:14" x14ac:dyDescent="0.25">
      <c r="A128" s="22" t="s">
        <v>248</v>
      </c>
      <c r="B128" s="22" t="s">
        <v>43</v>
      </c>
      <c r="C128" s="22" t="s">
        <v>44</v>
      </c>
      <c r="D128" s="114">
        <v>0.25709333178393667</v>
      </c>
      <c r="J128" s="22"/>
      <c r="K128" s="7" t="s">
        <v>248</v>
      </c>
      <c r="L128" s="8" t="s">
        <v>43</v>
      </c>
      <c r="M128" s="8" t="s">
        <v>44</v>
      </c>
      <c r="N128" s="72">
        <v>0.25709333178393667</v>
      </c>
    </row>
    <row r="129" spans="1:14" x14ac:dyDescent="0.25">
      <c r="A129" s="22" t="s">
        <v>250</v>
      </c>
      <c r="B129" s="22" t="s">
        <v>83</v>
      </c>
      <c r="C129" s="22" t="s">
        <v>52</v>
      </c>
      <c r="D129" s="114">
        <v>0.23159244936248419</v>
      </c>
      <c r="J129" s="22"/>
      <c r="K129" s="7" t="s">
        <v>250</v>
      </c>
      <c r="L129" s="8" t="s">
        <v>83</v>
      </c>
      <c r="M129" s="8" t="s">
        <v>52</v>
      </c>
      <c r="N129" s="72">
        <v>0.23159244936248419</v>
      </c>
    </row>
    <row r="130" spans="1:14" x14ac:dyDescent="0.25">
      <c r="A130" s="22" t="s">
        <v>251</v>
      </c>
      <c r="B130" s="22" t="s">
        <v>36</v>
      </c>
      <c r="C130" s="22" t="s">
        <v>37</v>
      </c>
      <c r="D130" s="114">
        <v>0.13961900832129842</v>
      </c>
      <c r="J130" s="22"/>
      <c r="K130" s="7" t="s">
        <v>251</v>
      </c>
      <c r="L130" s="8" t="s">
        <v>36</v>
      </c>
      <c r="M130" s="8" t="s">
        <v>37</v>
      </c>
      <c r="N130" s="72">
        <v>0.13961900832129842</v>
      </c>
    </row>
    <row r="131" spans="1:14" x14ac:dyDescent="0.25">
      <c r="A131" s="22" t="s">
        <v>252</v>
      </c>
      <c r="B131" s="22" t="s">
        <v>36</v>
      </c>
      <c r="C131" s="22" t="s">
        <v>37</v>
      </c>
      <c r="D131" s="114">
        <v>0.19136675002718279</v>
      </c>
      <c r="J131" s="22"/>
      <c r="K131" s="7" t="s">
        <v>252</v>
      </c>
      <c r="L131" s="8" t="s">
        <v>36</v>
      </c>
      <c r="M131" s="8" t="s">
        <v>37</v>
      </c>
      <c r="N131" s="72">
        <v>0.19136675002718279</v>
      </c>
    </row>
    <row r="132" spans="1:14" x14ac:dyDescent="0.25">
      <c r="A132" s="22" t="s">
        <v>253</v>
      </c>
      <c r="B132" s="22" t="s">
        <v>17</v>
      </c>
      <c r="C132" s="22" t="s">
        <v>18</v>
      </c>
      <c r="D132" s="114">
        <v>0.38768477898912684</v>
      </c>
      <c r="J132" s="22"/>
      <c r="K132" s="7" t="s">
        <v>253</v>
      </c>
      <c r="L132" s="8" t="s">
        <v>17</v>
      </c>
      <c r="M132" s="8" t="s">
        <v>18</v>
      </c>
      <c r="N132" s="72">
        <v>0.38768477898912684</v>
      </c>
    </row>
    <row r="133" spans="1:14" x14ac:dyDescent="0.25">
      <c r="A133" s="22" t="s">
        <v>254</v>
      </c>
      <c r="B133" s="22" t="s">
        <v>43</v>
      </c>
      <c r="C133" s="22" t="s">
        <v>44</v>
      </c>
      <c r="D133" s="114">
        <v>0.24707387321138585</v>
      </c>
      <c r="J133" s="22"/>
      <c r="K133" s="7" t="s">
        <v>254</v>
      </c>
      <c r="L133" s="8" t="s">
        <v>43</v>
      </c>
      <c r="M133" s="8" t="s">
        <v>44</v>
      </c>
      <c r="N133" s="72">
        <v>0.24707387321138585</v>
      </c>
    </row>
    <row r="134" spans="1:14" x14ac:dyDescent="0.25">
      <c r="A134" s="22" t="s">
        <v>255</v>
      </c>
      <c r="B134" s="22" t="s">
        <v>43</v>
      </c>
      <c r="C134" s="22" t="s">
        <v>44</v>
      </c>
      <c r="D134" s="114">
        <v>0.29390865246511344</v>
      </c>
      <c r="J134" s="22"/>
      <c r="K134" s="7" t="s">
        <v>255</v>
      </c>
      <c r="L134" s="8" t="s">
        <v>43</v>
      </c>
      <c r="M134" s="8" t="s">
        <v>44</v>
      </c>
      <c r="N134" s="72">
        <v>0.29390865246511344</v>
      </c>
    </row>
    <row r="135" spans="1:14" x14ac:dyDescent="0.25">
      <c r="A135" s="22" t="s">
        <v>256</v>
      </c>
      <c r="B135" s="22" t="s">
        <v>56</v>
      </c>
      <c r="C135" s="22" t="s">
        <v>57</v>
      </c>
      <c r="D135" s="114">
        <v>0.34694043552023057</v>
      </c>
      <c r="J135" s="22"/>
      <c r="K135" s="7" t="s">
        <v>256</v>
      </c>
      <c r="L135" s="8" t="s">
        <v>56</v>
      </c>
      <c r="M135" s="8" t="s">
        <v>57</v>
      </c>
      <c r="N135" s="72">
        <v>0.34694043552023057</v>
      </c>
    </row>
    <row r="136" spans="1:14" x14ac:dyDescent="0.25">
      <c r="A136" s="22" t="s">
        <v>258</v>
      </c>
      <c r="B136" s="22" t="s">
        <v>43</v>
      </c>
      <c r="C136" s="22" t="s">
        <v>44</v>
      </c>
      <c r="D136" s="114">
        <v>0.19091371591371589</v>
      </c>
      <c r="J136" s="22"/>
      <c r="K136" s="7" t="s">
        <v>258</v>
      </c>
      <c r="L136" s="8" t="s">
        <v>43</v>
      </c>
      <c r="M136" s="8" t="s">
        <v>44</v>
      </c>
      <c r="N136" s="72">
        <v>0.19091371591371589</v>
      </c>
    </row>
    <row r="137" spans="1:14" x14ac:dyDescent="0.25">
      <c r="A137" s="22" t="s">
        <v>259</v>
      </c>
      <c r="B137" s="22" t="s">
        <v>60</v>
      </c>
      <c r="C137" s="22" t="s">
        <v>52</v>
      </c>
      <c r="D137" s="114">
        <v>0.41324117861040377</v>
      </c>
      <c r="J137" s="22"/>
      <c r="K137" s="7" t="s">
        <v>259</v>
      </c>
      <c r="L137" s="8" t="s">
        <v>60</v>
      </c>
      <c r="M137" s="8" t="s">
        <v>52</v>
      </c>
      <c r="N137" s="72">
        <v>0.41324117861040377</v>
      </c>
    </row>
    <row r="138" spans="1:14" x14ac:dyDescent="0.25">
      <c r="A138" s="22" t="s">
        <v>260</v>
      </c>
      <c r="B138" s="22" t="s">
        <v>36</v>
      </c>
      <c r="C138" s="22" t="s">
        <v>37</v>
      </c>
      <c r="D138" s="114">
        <v>0.17508635368523473</v>
      </c>
      <c r="J138" s="22"/>
      <c r="K138" s="7" t="s">
        <v>260</v>
      </c>
      <c r="L138" s="8" t="s">
        <v>36</v>
      </c>
      <c r="M138" s="8" t="s">
        <v>37</v>
      </c>
      <c r="N138" s="72">
        <v>0.17508635368523473</v>
      </c>
    </row>
    <row r="139" spans="1:14" x14ac:dyDescent="0.25">
      <c r="A139" s="22" t="s">
        <v>262</v>
      </c>
      <c r="B139" s="22" t="s">
        <v>60</v>
      </c>
      <c r="C139" s="22" t="s">
        <v>52</v>
      </c>
      <c r="D139" s="114">
        <v>0.33433394239972158</v>
      </c>
      <c r="J139" s="22"/>
      <c r="K139" s="7" t="s">
        <v>262</v>
      </c>
      <c r="L139" s="8" t="s">
        <v>60</v>
      </c>
      <c r="M139" s="8" t="s">
        <v>52</v>
      </c>
      <c r="N139" s="72">
        <v>0.33433394239972158</v>
      </c>
    </row>
    <row r="140" spans="1:14" x14ac:dyDescent="0.25">
      <c r="A140" s="22" t="s">
        <v>263</v>
      </c>
      <c r="B140" s="22" t="s">
        <v>83</v>
      </c>
      <c r="C140" s="22" t="s">
        <v>52</v>
      </c>
      <c r="D140" s="114">
        <v>0.35695496632996626</v>
      </c>
      <c r="J140" s="22"/>
      <c r="K140" s="7" t="s">
        <v>263</v>
      </c>
      <c r="L140" s="8" t="s">
        <v>83</v>
      </c>
      <c r="M140" s="8" t="s">
        <v>52</v>
      </c>
      <c r="N140" s="72">
        <v>0.35695496632996626</v>
      </c>
    </row>
    <row r="141" spans="1:14" x14ac:dyDescent="0.25">
      <c r="A141" s="22" t="s">
        <v>264</v>
      </c>
      <c r="B141" s="22" t="s">
        <v>56</v>
      </c>
      <c r="C141" s="22" t="s">
        <v>57</v>
      </c>
      <c r="D141" s="114">
        <v>0.14228663227441399</v>
      </c>
      <c r="J141" s="22"/>
      <c r="K141" s="7" t="s">
        <v>264</v>
      </c>
      <c r="L141" s="8" t="s">
        <v>56</v>
      </c>
      <c r="M141" s="8" t="s">
        <v>57</v>
      </c>
      <c r="N141" s="72">
        <v>0.14228663227441399</v>
      </c>
    </row>
    <row r="142" spans="1:14" x14ac:dyDescent="0.25">
      <c r="A142" s="22" t="s">
        <v>265</v>
      </c>
      <c r="B142" s="22" t="s">
        <v>43</v>
      </c>
      <c r="C142" s="22" t="s">
        <v>44</v>
      </c>
      <c r="D142" s="114">
        <v>0.12798688746297399</v>
      </c>
      <c r="J142" s="22"/>
      <c r="K142" s="7" t="s">
        <v>265</v>
      </c>
      <c r="L142" s="8" t="s">
        <v>43</v>
      </c>
      <c r="M142" s="8" t="s">
        <v>44</v>
      </c>
      <c r="N142" s="72">
        <v>0.12798688746297399</v>
      </c>
    </row>
    <row r="143" spans="1:14" x14ac:dyDescent="0.25">
      <c r="A143" s="22" t="s">
        <v>266</v>
      </c>
      <c r="B143" s="22" t="s">
        <v>56</v>
      </c>
      <c r="C143" s="22" t="s">
        <v>57</v>
      </c>
      <c r="D143" s="114">
        <v>0.2936961408767329</v>
      </c>
      <c r="J143" s="22"/>
      <c r="K143" s="7" t="s">
        <v>266</v>
      </c>
      <c r="L143" s="8" t="s">
        <v>56</v>
      </c>
      <c r="M143" s="8" t="s">
        <v>57</v>
      </c>
      <c r="N143" s="72">
        <v>0.2936961408767329</v>
      </c>
    </row>
    <row r="144" spans="1:14" x14ac:dyDescent="0.25">
      <c r="A144" s="22" t="s">
        <v>267</v>
      </c>
      <c r="B144" s="22" t="s">
        <v>56</v>
      </c>
      <c r="C144" s="22" t="s">
        <v>57</v>
      </c>
      <c r="D144" s="114">
        <v>0.30510342488979314</v>
      </c>
      <c r="J144" s="22"/>
      <c r="K144" s="7" t="s">
        <v>267</v>
      </c>
      <c r="L144" s="8" t="s">
        <v>56</v>
      </c>
      <c r="M144" s="8" t="s">
        <v>57</v>
      </c>
      <c r="N144" s="72">
        <v>0.30510342488979314</v>
      </c>
    </row>
    <row r="145" spans="1:14" x14ac:dyDescent="0.25">
      <c r="A145" s="22" t="s">
        <v>269</v>
      </c>
      <c r="B145" s="22" t="s">
        <v>63</v>
      </c>
      <c r="C145" s="22" t="s">
        <v>37</v>
      </c>
      <c r="D145" s="114">
        <v>0.23916666666666664</v>
      </c>
      <c r="J145" s="22"/>
      <c r="K145" s="7" t="s">
        <v>269</v>
      </c>
      <c r="L145" s="8" t="s">
        <v>63</v>
      </c>
      <c r="M145" s="8" t="s">
        <v>37</v>
      </c>
      <c r="N145" s="72">
        <v>0.23916666666666664</v>
      </c>
    </row>
    <row r="146" spans="1:14" x14ac:dyDescent="0.25">
      <c r="A146" s="22" t="s">
        <v>270</v>
      </c>
      <c r="B146" s="22" t="s">
        <v>51</v>
      </c>
      <c r="C146" s="22" t="s">
        <v>52</v>
      </c>
      <c r="D146" s="114">
        <v>0.33944551194070821</v>
      </c>
      <c r="J146" s="22"/>
      <c r="K146" s="7" t="s">
        <v>270</v>
      </c>
      <c r="L146" s="8" t="s">
        <v>51</v>
      </c>
      <c r="M146" s="8" t="s">
        <v>52</v>
      </c>
      <c r="N146" s="72">
        <v>0.33944551194070821</v>
      </c>
    </row>
    <row r="147" spans="1:14" x14ac:dyDescent="0.25">
      <c r="A147" s="22" t="s">
        <v>271</v>
      </c>
      <c r="B147" s="22" t="s">
        <v>51</v>
      </c>
      <c r="C147" s="22" t="s">
        <v>52</v>
      </c>
      <c r="D147" s="114">
        <v>0.38631781038657831</v>
      </c>
      <c r="J147" s="22"/>
      <c r="K147" s="7" t="s">
        <v>271</v>
      </c>
      <c r="L147" s="8" t="s">
        <v>51</v>
      </c>
      <c r="M147" s="8" t="s">
        <v>52</v>
      </c>
      <c r="N147" s="72">
        <v>0.38631781038657831</v>
      </c>
    </row>
    <row r="148" spans="1:14" x14ac:dyDescent="0.25">
      <c r="A148" s="22" t="s">
        <v>272</v>
      </c>
      <c r="B148" s="22" t="s">
        <v>83</v>
      </c>
      <c r="C148" s="22" t="s">
        <v>52</v>
      </c>
      <c r="D148" s="114">
        <v>0.37694736842105264</v>
      </c>
      <c r="J148" s="22"/>
      <c r="K148" s="7" t="s">
        <v>272</v>
      </c>
      <c r="L148" s="8" t="s">
        <v>83</v>
      </c>
      <c r="M148" s="8" t="s">
        <v>52</v>
      </c>
      <c r="N148" s="72">
        <v>0.37694736842105264</v>
      </c>
    </row>
    <row r="149" spans="1:14" x14ac:dyDescent="0.25">
      <c r="A149" s="22" t="s">
        <v>273</v>
      </c>
      <c r="B149" s="22" t="s">
        <v>36</v>
      </c>
      <c r="C149" s="22" t="s">
        <v>37</v>
      </c>
      <c r="D149" s="114">
        <v>0.29111119599679131</v>
      </c>
      <c r="J149" s="22"/>
      <c r="K149" s="7" t="s">
        <v>273</v>
      </c>
      <c r="L149" s="8" t="s">
        <v>36</v>
      </c>
      <c r="M149" s="8" t="s">
        <v>37</v>
      </c>
      <c r="N149" s="72">
        <v>0.29111119599679131</v>
      </c>
    </row>
    <row r="150" spans="1:14" x14ac:dyDescent="0.25">
      <c r="A150" s="22" t="s">
        <v>275</v>
      </c>
      <c r="B150" s="22" t="s">
        <v>83</v>
      </c>
      <c r="C150" s="22" t="s">
        <v>52</v>
      </c>
      <c r="D150" s="114">
        <v>0.27848419992446177</v>
      </c>
      <c r="J150" s="22"/>
      <c r="K150" s="7" t="s">
        <v>275</v>
      </c>
      <c r="L150" s="8" t="s">
        <v>83</v>
      </c>
      <c r="M150" s="8" t="s">
        <v>52</v>
      </c>
      <c r="N150" s="72">
        <v>0.27848419992446177</v>
      </c>
    </row>
    <row r="151" spans="1:14" x14ac:dyDescent="0.25">
      <c r="A151" s="22" t="s">
        <v>277</v>
      </c>
      <c r="B151" s="22" t="s">
        <v>56</v>
      </c>
      <c r="C151" s="22" t="s">
        <v>57</v>
      </c>
      <c r="D151" s="114">
        <v>0.31930649939013767</v>
      </c>
      <c r="J151" s="22"/>
      <c r="K151" s="7" t="s">
        <v>277</v>
      </c>
      <c r="L151" s="8" t="s">
        <v>56</v>
      </c>
      <c r="M151" s="8" t="s">
        <v>57</v>
      </c>
      <c r="N151" s="72">
        <v>0.31930649939013767</v>
      </c>
    </row>
    <row r="152" spans="1:14" x14ac:dyDescent="0.25">
      <c r="A152" s="22" t="s">
        <v>279</v>
      </c>
      <c r="B152" s="22" t="s">
        <v>83</v>
      </c>
      <c r="C152" s="22" t="s">
        <v>52</v>
      </c>
      <c r="D152" s="114">
        <v>0.32439196382893415</v>
      </c>
      <c r="J152" s="22"/>
      <c r="K152" s="7" t="s">
        <v>279</v>
      </c>
      <c r="L152" s="8" t="s">
        <v>83</v>
      </c>
      <c r="M152" s="8" t="s">
        <v>52</v>
      </c>
      <c r="N152" s="72">
        <v>0.32439196382893415</v>
      </c>
    </row>
    <row r="153" spans="1:14" x14ac:dyDescent="0.25">
      <c r="A153" s="22" t="s">
        <v>280</v>
      </c>
      <c r="B153" s="22" t="s">
        <v>36</v>
      </c>
      <c r="C153" s="22" t="s">
        <v>37</v>
      </c>
      <c r="D153" s="114">
        <v>0.34120862576147126</v>
      </c>
      <c r="J153" s="22"/>
      <c r="K153" s="7" t="s">
        <v>280</v>
      </c>
      <c r="L153" s="8" t="s">
        <v>36</v>
      </c>
      <c r="M153" s="8" t="s">
        <v>37</v>
      </c>
      <c r="N153" s="72">
        <v>0.34120862576147126</v>
      </c>
    </row>
    <row r="154" spans="1:14" x14ac:dyDescent="0.25">
      <c r="A154" s="22" t="s">
        <v>282</v>
      </c>
      <c r="B154" s="22" t="s">
        <v>25</v>
      </c>
      <c r="C154" s="22" t="s">
        <v>18</v>
      </c>
      <c r="D154" s="114">
        <v>0.1811404614802673</v>
      </c>
      <c r="J154" s="22"/>
      <c r="K154" s="7" t="s">
        <v>282</v>
      </c>
      <c r="L154" s="8" t="s">
        <v>25</v>
      </c>
      <c r="M154" s="8" t="s">
        <v>18</v>
      </c>
      <c r="N154" s="72">
        <v>0.1811404614802673</v>
      </c>
    </row>
    <row r="155" spans="1:14" x14ac:dyDescent="0.25">
      <c r="A155" s="22" t="s">
        <v>283</v>
      </c>
      <c r="B155" s="22" t="s">
        <v>60</v>
      </c>
      <c r="C155" s="22" t="s">
        <v>52</v>
      </c>
      <c r="D155" s="114">
        <v>0.35685912777556172</v>
      </c>
      <c r="J155" s="22"/>
      <c r="K155" s="7" t="s">
        <v>283</v>
      </c>
      <c r="L155" s="8" t="s">
        <v>60</v>
      </c>
      <c r="M155" s="8" t="s">
        <v>52</v>
      </c>
      <c r="N155" s="72">
        <v>0.35685912777556172</v>
      </c>
    </row>
    <row r="156" spans="1:14" x14ac:dyDescent="0.25">
      <c r="A156" s="22" t="s">
        <v>284</v>
      </c>
      <c r="B156" s="22" t="s">
        <v>25</v>
      </c>
      <c r="C156" s="22" t="s">
        <v>18</v>
      </c>
      <c r="D156" s="114">
        <v>0.33418213708356659</v>
      </c>
      <c r="J156" s="22"/>
      <c r="K156" s="7" t="s">
        <v>284</v>
      </c>
      <c r="L156" s="8" t="s">
        <v>25</v>
      </c>
      <c r="M156" s="8" t="s">
        <v>18</v>
      </c>
      <c r="N156" s="72">
        <v>0.33418213708356659</v>
      </c>
    </row>
    <row r="157" spans="1:14" x14ac:dyDescent="0.25">
      <c r="A157" s="22" t="s">
        <v>285</v>
      </c>
      <c r="B157" s="22" t="s">
        <v>51</v>
      </c>
      <c r="C157" s="22" t="s">
        <v>52</v>
      </c>
      <c r="D157" s="114">
        <v>0.21169110459433041</v>
      </c>
      <c r="J157" s="22"/>
      <c r="K157" s="7" t="s">
        <v>285</v>
      </c>
      <c r="L157" s="8" t="s">
        <v>51</v>
      </c>
      <c r="M157" s="8" t="s">
        <v>52</v>
      </c>
      <c r="N157" s="72">
        <v>0.21169110459433041</v>
      </c>
    </row>
    <row r="158" spans="1:14" x14ac:dyDescent="0.25">
      <c r="A158" s="22" t="s">
        <v>287</v>
      </c>
      <c r="B158" s="22" t="s">
        <v>60</v>
      </c>
      <c r="C158" s="22" t="s">
        <v>52</v>
      </c>
      <c r="D158" s="114">
        <v>0.22456255992329818</v>
      </c>
      <c r="J158" s="22"/>
      <c r="K158" s="7" t="s">
        <v>287</v>
      </c>
      <c r="L158" s="8" t="s">
        <v>60</v>
      </c>
      <c r="M158" s="8" t="s">
        <v>52</v>
      </c>
      <c r="N158" s="72">
        <v>0.22456255992329818</v>
      </c>
    </row>
    <row r="159" spans="1:14" x14ac:dyDescent="0.25">
      <c r="A159" s="22" t="s">
        <v>288</v>
      </c>
      <c r="B159" s="22" t="s">
        <v>48</v>
      </c>
      <c r="C159" s="22" t="s">
        <v>37</v>
      </c>
      <c r="D159" s="114">
        <v>0.12639396812497178</v>
      </c>
      <c r="J159" s="22"/>
      <c r="K159" s="7" t="s">
        <v>288</v>
      </c>
      <c r="L159" s="8" t="s">
        <v>48</v>
      </c>
      <c r="M159" s="8" t="s">
        <v>37</v>
      </c>
      <c r="N159" s="72">
        <v>0.12639396812497178</v>
      </c>
    </row>
    <row r="160" spans="1:14" x14ac:dyDescent="0.25">
      <c r="A160" s="22" t="s">
        <v>289</v>
      </c>
      <c r="B160" s="22" t="s">
        <v>43</v>
      </c>
      <c r="C160" s="22" t="s">
        <v>44</v>
      </c>
      <c r="D160" s="114">
        <v>0.35362572197370901</v>
      </c>
      <c r="J160" s="22"/>
      <c r="K160" s="7" t="s">
        <v>289</v>
      </c>
      <c r="L160" s="8" t="s">
        <v>43</v>
      </c>
      <c r="M160" s="8" t="s">
        <v>44</v>
      </c>
      <c r="N160" s="72">
        <v>0.35362572197370901</v>
      </c>
    </row>
    <row r="161" spans="1:14" x14ac:dyDescent="0.25">
      <c r="A161" s="22" t="s">
        <v>290</v>
      </c>
      <c r="B161" s="22" t="s">
        <v>48</v>
      </c>
      <c r="C161" s="22" t="s">
        <v>37</v>
      </c>
      <c r="D161" s="114">
        <v>0.25011061335103146</v>
      </c>
      <c r="J161" s="22"/>
      <c r="K161" s="7" t="s">
        <v>290</v>
      </c>
      <c r="L161" s="8" t="s">
        <v>48</v>
      </c>
      <c r="M161" s="8" t="s">
        <v>37</v>
      </c>
      <c r="N161" s="72">
        <v>0.25011061335103146</v>
      </c>
    </row>
    <row r="162" spans="1:14" x14ac:dyDescent="0.25">
      <c r="A162" s="22" t="s">
        <v>292</v>
      </c>
      <c r="B162" s="22" t="s">
        <v>48</v>
      </c>
      <c r="C162" s="22" t="s">
        <v>37</v>
      </c>
      <c r="D162" s="114">
        <v>0.21358024691358024</v>
      </c>
      <c r="J162" s="22"/>
      <c r="K162" s="7" t="s">
        <v>292</v>
      </c>
      <c r="L162" s="8" t="s">
        <v>48</v>
      </c>
      <c r="M162" s="8" t="s">
        <v>37</v>
      </c>
      <c r="N162" s="72">
        <v>0.21358024691358024</v>
      </c>
    </row>
    <row r="163" spans="1:14" x14ac:dyDescent="0.25">
      <c r="A163" s="22" t="s">
        <v>294</v>
      </c>
      <c r="B163" s="22" t="s">
        <v>36</v>
      </c>
      <c r="C163" s="22" t="s">
        <v>37</v>
      </c>
      <c r="D163" s="114">
        <v>0.38183654729109273</v>
      </c>
      <c r="J163" s="22"/>
      <c r="K163" s="7" t="s">
        <v>294</v>
      </c>
      <c r="L163" s="8" t="s">
        <v>36</v>
      </c>
      <c r="M163" s="8" t="s">
        <v>37</v>
      </c>
      <c r="N163" s="72">
        <v>0.38183654729109273</v>
      </c>
    </row>
    <row r="164" spans="1:14" x14ac:dyDescent="0.25">
      <c r="A164" s="22" t="s">
        <v>295</v>
      </c>
      <c r="B164" s="22" t="s">
        <v>25</v>
      </c>
      <c r="C164" s="22" t="s">
        <v>18</v>
      </c>
      <c r="D164" s="114">
        <v>0.34538893228036677</v>
      </c>
      <c r="J164" s="22"/>
      <c r="K164" s="7" t="s">
        <v>295</v>
      </c>
      <c r="L164" s="8" t="s">
        <v>25</v>
      </c>
      <c r="M164" s="8" t="s">
        <v>18</v>
      </c>
      <c r="N164" s="72">
        <v>0.34538893228036677</v>
      </c>
    </row>
    <row r="165" spans="1:14" x14ac:dyDescent="0.25">
      <c r="A165" s="22" t="s">
        <v>296</v>
      </c>
      <c r="B165" s="22" t="s">
        <v>60</v>
      </c>
      <c r="C165" s="22" t="s">
        <v>52</v>
      </c>
      <c r="D165" s="114">
        <v>0.23005576208178438</v>
      </c>
      <c r="J165" s="22"/>
      <c r="K165" s="7" t="s">
        <v>296</v>
      </c>
      <c r="L165" s="8" t="s">
        <v>60</v>
      </c>
      <c r="M165" s="8" t="s">
        <v>52</v>
      </c>
      <c r="N165" s="72">
        <v>0.23005576208178438</v>
      </c>
    </row>
    <row r="166" spans="1:14" x14ac:dyDescent="0.25">
      <c r="A166" s="22" t="s">
        <v>298</v>
      </c>
      <c r="B166" s="22" t="s">
        <v>25</v>
      </c>
      <c r="C166" s="22" t="s">
        <v>18</v>
      </c>
      <c r="D166" s="114">
        <v>0.28876190476190478</v>
      </c>
      <c r="J166" s="22"/>
      <c r="K166" s="7" t="s">
        <v>298</v>
      </c>
      <c r="L166" s="8" t="s">
        <v>25</v>
      </c>
      <c r="M166" s="8" t="s">
        <v>18</v>
      </c>
      <c r="N166" s="72">
        <v>0.28876190476190478</v>
      </c>
    </row>
    <row r="167" spans="1:14" x14ac:dyDescent="0.25">
      <c r="A167" s="22" t="s">
        <v>299</v>
      </c>
      <c r="B167" s="22" t="s">
        <v>56</v>
      </c>
      <c r="C167" s="22" t="s">
        <v>57</v>
      </c>
      <c r="D167" s="114">
        <v>0.17334815756035576</v>
      </c>
      <c r="J167" s="22"/>
      <c r="K167" s="7" t="s">
        <v>299</v>
      </c>
      <c r="L167" s="8" t="s">
        <v>56</v>
      </c>
      <c r="M167" s="8" t="s">
        <v>57</v>
      </c>
      <c r="N167" s="72">
        <v>0.17334815756035576</v>
      </c>
    </row>
    <row r="168" spans="1:14" x14ac:dyDescent="0.25">
      <c r="A168" s="22" t="s">
        <v>301</v>
      </c>
      <c r="B168" s="22" t="s">
        <v>48</v>
      </c>
      <c r="C168" s="22" t="s">
        <v>37</v>
      </c>
      <c r="D168" s="114">
        <v>0.29377147170741474</v>
      </c>
      <c r="J168" s="22"/>
      <c r="K168" s="7" t="s">
        <v>301</v>
      </c>
      <c r="L168" s="8" t="s">
        <v>48</v>
      </c>
      <c r="M168" s="8" t="s">
        <v>37</v>
      </c>
      <c r="N168" s="72">
        <v>0.29377147170741474</v>
      </c>
    </row>
    <row r="169" spans="1:14" x14ac:dyDescent="0.25">
      <c r="A169" s="22" t="s">
        <v>302</v>
      </c>
      <c r="B169" s="22" t="s">
        <v>63</v>
      </c>
      <c r="C169" s="22" t="s">
        <v>37</v>
      </c>
      <c r="D169" s="114">
        <v>0.28502884453820732</v>
      </c>
      <c r="J169" s="22"/>
      <c r="K169" s="7" t="s">
        <v>302</v>
      </c>
      <c r="L169" s="8" t="s">
        <v>63</v>
      </c>
      <c r="M169" s="8" t="s">
        <v>37</v>
      </c>
      <c r="N169" s="72">
        <v>0.28502884453820732</v>
      </c>
    </row>
    <row r="170" spans="1:14" x14ac:dyDescent="0.25">
      <c r="A170" s="22" t="s">
        <v>304</v>
      </c>
      <c r="B170" s="22" t="s">
        <v>17</v>
      </c>
      <c r="C170" s="22" t="s">
        <v>18</v>
      </c>
      <c r="D170" s="114">
        <v>0.1760313562055022</v>
      </c>
      <c r="J170" s="22"/>
      <c r="K170" s="7" t="s">
        <v>304</v>
      </c>
      <c r="L170" s="8" t="s">
        <v>17</v>
      </c>
      <c r="M170" s="8" t="s">
        <v>18</v>
      </c>
      <c r="N170" s="72">
        <v>0.1760313562055022</v>
      </c>
    </row>
    <row r="171" spans="1:14" x14ac:dyDescent="0.25">
      <c r="A171" s="22" t="s">
        <v>305</v>
      </c>
      <c r="B171" s="22" t="s">
        <v>60</v>
      </c>
      <c r="C171" s="22" t="s">
        <v>52</v>
      </c>
      <c r="D171" s="114">
        <v>0.1320254506892895</v>
      </c>
      <c r="J171" s="22"/>
      <c r="K171" s="7" t="s">
        <v>305</v>
      </c>
      <c r="L171" s="8" t="s">
        <v>60</v>
      </c>
      <c r="M171" s="8" t="s">
        <v>52</v>
      </c>
      <c r="N171" s="72">
        <v>0.1320254506892895</v>
      </c>
    </row>
    <row r="172" spans="1:14" x14ac:dyDescent="0.25">
      <c r="A172" s="22" t="s">
        <v>307</v>
      </c>
      <c r="B172" s="22" t="s">
        <v>83</v>
      </c>
      <c r="C172" s="22" t="s">
        <v>52</v>
      </c>
      <c r="D172" s="114">
        <v>0.35804622764936761</v>
      </c>
      <c r="J172" s="22"/>
      <c r="K172" s="7" t="s">
        <v>307</v>
      </c>
      <c r="L172" s="8" t="s">
        <v>83</v>
      </c>
      <c r="M172" s="8" t="s">
        <v>52</v>
      </c>
      <c r="N172" s="72">
        <v>0.35804622764936761</v>
      </c>
    </row>
    <row r="173" spans="1:14" x14ac:dyDescent="0.25">
      <c r="A173" s="22" t="s">
        <v>308</v>
      </c>
      <c r="B173" s="22" t="s">
        <v>25</v>
      </c>
      <c r="C173" s="22" t="s">
        <v>18</v>
      </c>
      <c r="D173" s="114">
        <v>0.24310064935064934</v>
      </c>
      <c r="J173" s="22"/>
      <c r="K173" s="7" t="s">
        <v>308</v>
      </c>
      <c r="L173" s="8" t="s">
        <v>25</v>
      </c>
      <c r="M173" s="8" t="s">
        <v>18</v>
      </c>
      <c r="N173" s="72">
        <v>0.24310064935064934</v>
      </c>
    </row>
    <row r="174" spans="1:14" x14ac:dyDescent="0.25">
      <c r="A174" s="22" t="s">
        <v>309</v>
      </c>
      <c r="B174" s="22" t="s">
        <v>60</v>
      </c>
      <c r="C174" s="22" t="s">
        <v>52</v>
      </c>
      <c r="D174" s="114">
        <v>0.27447189402076616</v>
      </c>
      <c r="J174" s="22"/>
      <c r="K174" s="7" t="s">
        <v>309</v>
      </c>
      <c r="L174" s="8" t="s">
        <v>60</v>
      </c>
      <c r="M174" s="8" t="s">
        <v>52</v>
      </c>
      <c r="N174" s="72">
        <v>0.27447189402076616</v>
      </c>
    </row>
    <row r="175" spans="1:14" x14ac:dyDescent="0.25">
      <c r="A175" s="22" t="s">
        <v>310</v>
      </c>
      <c r="B175" s="22" t="s">
        <v>17</v>
      </c>
      <c r="C175" s="22" t="s">
        <v>18</v>
      </c>
      <c r="D175" s="114">
        <v>0.18264044943820223</v>
      </c>
      <c r="J175" s="22"/>
      <c r="K175" s="7" t="s">
        <v>310</v>
      </c>
      <c r="L175" s="8" t="s">
        <v>17</v>
      </c>
      <c r="M175" s="8" t="s">
        <v>18</v>
      </c>
      <c r="N175" s="72">
        <v>0.18264044943820223</v>
      </c>
    </row>
    <row r="176" spans="1:14" x14ac:dyDescent="0.25">
      <c r="A176" s="22" t="s">
        <v>311</v>
      </c>
      <c r="B176" s="22" t="s">
        <v>17</v>
      </c>
      <c r="C176" s="22" t="s">
        <v>18</v>
      </c>
      <c r="D176" s="114">
        <v>0.34544521490975544</v>
      </c>
      <c r="J176" s="22"/>
      <c r="K176" s="7" t="s">
        <v>311</v>
      </c>
      <c r="L176" s="8" t="s">
        <v>17</v>
      </c>
      <c r="M176" s="8" t="s">
        <v>18</v>
      </c>
      <c r="N176" s="72">
        <v>0.34544521490975544</v>
      </c>
    </row>
    <row r="177" spans="1:14" x14ac:dyDescent="0.25">
      <c r="A177" s="22" t="s">
        <v>312</v>
      </c>
      <c r="B177" s="22" t="s">
        <v>60</v>
      </c>
      <c r="C177" s="22" t="s">
        <v>52</v>
      </c>
      <c r="D177" s="114">
        <v>0.34077824506961735</v>
      </c>
      <c r="J177" s="22"/>
      <c r="K177" s="7" t="s">
        <v>312</v>
      </c>
      <c r="L177" s="8" t="s">
        <v>60</v>
      </c>
      <c r="M177" s="8" t="s">
        <v>52</v>
      </c>
      <c r="N177" s="72">
        <v>0.34077824506961735</v>
      </c>
    </row>
    <row r="178" spans="1:14" x14ac:dyDescent="0.25">
      <c r="A178" s="22" t="s">
        <v>313</v>
      </c>
      <c r="B178" s="22" t="s">
        <v>25</v>
      </c>
      <c r="C178" s="22" t="s">
        <v>18</v>
      </c>
      <c r="D178" s="114">
        <v>0.38147024432743082</v>
      </c>
      <c r="J178" s="22"/>
      <c r="K178" s="7" t="s">
        <v>313</v>
      </c>
      <c r="L178" s="8" t="s">
        <v>25</v>
      </c>
      <c r="M178" s="8" t="s">
        <v>18</v>
      </c>
      <c r="N178" s="72">
        <v>0.38147024432743082</v>
      </c>
    </row>
    <row r="179" spans="1:14" x14ac:dyDescent="0.25">
      <c r="A179" s="22" t="s">
        <v>314</v>
      </c>
      <c r="B179" s="22" t="s">
        <v>60</v>
      </c>
      <c r="C179" s="22" t="s">
        <v>52</v>
      </c>
      <c r="D179" s="114">
        <v>0.10230452416134814</v>
      </c>
      <c r="J179" s="22"/>
      <c r="K179" s="7" t="s">
        <v>314</v>
      </c>
      <c r="L179" s="8" t="s">
        <v>60</v>
      </c>
      <c r="M179" s="8" t="s">
        <v>52</v>
      </c>
      <c r="N179" s="72">
        <v>0.10230452416134814</v>
      </c>
    </row>
    <row r="180" spans="1:14" x14ac:dyDescent="0.25">
      <c r="A180" s="22" t="s">
        <v>316</v>
      </c>
      <c r="B180" s="22" t="s">
        <v>60</v>
      </c>
      <c r="C180" s="22" t="s">
        <v>52</v>
      </c>
      <c r="D180" s="114">
        <v>0.31874357314240009</v>
      </c>
      <c r="J180" s="22"/>
      <c r="K180" s="7" t="s">
        <v>316</v>
      </c>
      <c r="L180" s="8" t="s">
        <v>60</v>
      </c>
      <c r="M180" s="8" t="s">
        <v>52</v>
      </c>
      <c r="N180" s="72">
        <v>0.31874357314240009</v>
      </c>
    </row>
    <row r="181" spans="1:14" x14ac:dyDescent="0.25">
      <c r="A181" s="22" t="s">
        <v>317</v>
      </c>
      <c r="B181" s="22" t="s">
        <v>36</v>
      </c>
      <c r="C181" s="22" t="s">
        <v>37</v>
      </c>
      <c r="D181" s="114">
        <v>0.22477278023770683</v>
      </c>
      <c r="J181" s="22"/>
      <c r="K181" s="7" t="s">
        <v>317</v>
      </c>
      <c r="L181" s="8" t="s">
        <v>36</v>
      </c>
      <c r="M181" s="8" t="s">
        <v>37</v>
      </c>
      <c r="N181" s="72">
        <v>0.22477278023770683</v>
      </c>
    </row>
    <row r="182" spans="1:14" x14ac:dyDescent="0.25">
      <c r="A182" s="22" t="s">
        <v>318</v>
      </c>
      <c r="B182" s="22" t="s">
        <v>43</v>
      </c>
      <c r="C182" s="22" t="s">
        <v>44</v>
      </c>
      <c r="D182" s="114">
        <v>0.17726282432164783</v>
      </c>
      <c r="J182" s="22"/>
      <c r="K182" s="7" t="s">
        <v>318</v>
      </c>
      <c r="L182" s="8" t="s">
        <v>43</v>
      </c>
      <c r="M182" s="8" t="s">
        <v>44</v>
      </c>
      <c r="N182" s="72">
        <v>0.17726282432164783</v>
      </c>
    </row>
    <row r="183" spans="1:14" x14ac:dyDescent="0.25">
      <c r="A183" s="22" t="s">
        <v>320</v>
      </c>
      <c r="B183" s="22" t="s">
        <v>17</v>
      </c>
      <c r="C183" s="22" t="s">
        <v>18</v>
      </c>
      <c r="D183" s="114">
        <v>0.11691275319422949</v>
      </c>
      <c r="J183" s="22"/>
      <c r="K183" s="7" t="s">
        <v>320</v>
      </c>
      <c r="L183" s="8" t="s">
        <v>17</v>
      </c>
      <c r="M183" s="8" t="s">
        <v>18</v>
      </c>
      <c r="N183" s="72">
        <v>0.11691275319422949</v>
      </c>
    </row>
    <row r="184" spans="1:14" x14ac:dyDescent="0.25">
      <c r="A184" s="22" t="s">
        <v>321</v>
      </c>
      <c r="B184" s="22" t="s">
        <v>63</v>
      </c>
      <c r="C184" s="22" t="s">
        <v>37</v>
      </c>
      <c r="D184" s="114">
        <v>0.28142233142233142</v>
      </c>
      <c r="J184" s="22"/>
      <c r="K184" s="7" t="s">
        <v>321</v>
      </c>
      <c r="L184" s="8" t="s">
        <v>63</v>
      </c>
      <c r="M184" s="8" t="s">
        <v>37</v>
      </c>
      <c r="N184" s="72">
        <v>0.28142233142233142</v>
      </c>
    </row>
    <row r="185" spans="1:14" x14ac:dyDescent="0.25">
      <c r="A185" s="22" t="s">
        <v>322</v>
      </c>
      <c r="B185" s="22" t="s">
        <v>63</v>
      </c>
      <c r="C185" s="22" t="s">
        <v>37</v>
      </c>
      <c r="D185" s="114">
        <v>0.22951273532668881</v>
      </c>
      <c r="J185" s="22"/>
      <c r="K185" s="7" t="s">
        <v>322</v>
      </c>
      <c r="L185" s="8" t="s">
        <v>63</v>
      </c>
      <c r="M185" s="8" t="s">
        <v>37</v>
      </c>
      <c r="N185" s="72">
        <v>0.22951273532668881</v>
      </c>
    </row>
    <row r="186" spans="1:14" x14ac:dyDescent="0.25">
      <c r="A186" s="22" t="s">
        <v>324</v>
      </c>
      <c r="B186" s="22" t="s">
        <v>17</v>
      </c>
      <c r="C186" s="22" t="s">
        <v>18</v>
      </c>
      <c r="D186" s="114">
        <v>0.33685465011692745</v>
      </c>
      <c r="J186" s="22"/>
      <c r="K186" s="7" t="s">
        <v>324</v>
      </c>
      <c r="L186" s="8" t="s">
        <v>17</v>
      </c>
      <c r="M186" s="8" t="s">
        <v>18</v>
      </c>
      <c r="N186" s="72">
        <v>0.33685465011692745</v>
      </c>
    </row>
    <row r="187" spans="1:14" x14ac:dyDescent="0.25">
      <c r="A187" s="22" t="s">
        <v>325</v>
      </c>
      <c r="B187" s="22" t="s">
        <v>56</v>
      </c>
      <c r="C187" s="22" t="s">
        <v>57</v>
      </c>
      <c r="D187" s="114">
        <v>0.1847371754274858</v>
      </c>
      <c r="J187" s="22"/>
      <c r="K187" s="7" t="s">
        <v>325</v>
      </c>
      <c r="L187" s="8" t="s">
        <v>56</v>
      </c>
      <c r="M187" s="8" t="s">
        <v>57</v>
      </c>
      <c r="N187" s="72">
        <v>0.1847371754274858</v>
      </c>
    </row>
    <row r="188" spans="1:14" x14ac:dyDescent="0.25">
      <c r="A188" s="22" t="s">
        <v>326</v>
      </c>
      <c r="B188" s="22" t="s">
        <v>25</v>
      </c>
      <c r="C188" s="22" t="s">
        <v>18</v>
      </c>
      <c r="D188" s="114">
        <v>0.26497937757780277</v>
      </c>
      <c r="J188" s="22"/>
      <c r="K188" s="7" t="s">
        <v>326</v>
      </c>
      <c r="L188" s="8" t="s">
        <v>25</v>
      </c>
      <c r="M188" s="8" t="s">
        <v>18</v>
      </c>
      <c r="N188" s="72">
        <v>0.26497937757780277</v>
      </c>
    </row>
    <row r="189" spans="1:14" x14ac:dyDescent="0.25">
      <c r="A189" s="22" t="s">
        <v>327</v>
      </c>
      <c r="B189" s="22" t="s">
        <v>60</v>
      </c>
      <c r="C189" s="22" t="s">
        <v>52</v>
      </c>
      <c r="D189" s="114">
        <v>0.19794629650699738</v>
      </c>
      <c r="J189" s="22"/>
      <c r="K189" s="7" t="s">
        <v>327</v>
      </c>
      <c r="L189" s="8" t="s">
        <v>60</v>
      </c>
      <c r="M189" s="8" t="s">
        <v>52</v>
      </c>
      <c r="N189" s="72">
        <v>0.19794629650699738</v>
      </c>
    </row>
    <row r="190" spans="1:14" x14ac:dyDescent="0.25">
      <c r="A190" s="22" t="s">
        <v>328</v>
      </c>
      <c r="B190" s="22" t="s">
        <v>17</v>
      </c>
      <c r="C190" s="22" t="s">
        <v>18</v>
      </c>
      <c r="D190" s="114">
        <v>0.30143516754034649</v>
      </c>
      <c r="J190" s="22"/>
      <c r="K190" s="7" t="s">
        <v>328</v>
      </c>
      <c r="L190" s="8" t="s">
        <v>17</v>
      </c>
      <c r="M190" s="8" t="s">
        <v>18</v>
      </c>
      <c r="N190" s="72">
        <v>0.30143516754034649</v>
      </c>
    </row>
    <row r="191" spans="1:14" x14ac:dyDescent="0.25">
      <c r="A191" s="22" t="s">
        <v>329</v>
      </c>
      <c r="B191" s="22" t="s">
        <v>17</v>
      </c>
      <c r="C191" s="22" t="s">
        <v>18</v>
      </c>
      <c r="D191" s="114">
        <v>0.39375584703209426</v>
      </c>
      <c r="J191" s="22"/>
      <c r="K191" s="7" t="s">
        <v>329</v>
      </c>
      <c r="L191" s="8" t="s">
        <v>17</v>
      </c>
      <c r="M191" s="8" t="s">
        <v>18</v>
      </c>
      <c r="N191" s="72">
        <v>0.39375584703209426</v>
      </c>
    </row>
    <row r="192" spans="1:14" x14ac:dyDescent="0.25">
      <c r="A192" s="22" t="s">
        <v>331</v>
      </c>
      <c r="B192" s="22" t="s">
        <v>51</v>
      </c>
      <c r="C192" s="22" t="s">
        <v>52</v>
      </c>
      <c r="D192" s="114">
        <v>0.37346989757681737</v>
      </c>
      <c r="J192" s="22"/>
      <c r="K192" s="7" t="s">
        <v>331</v>
      </c>
      <c r="L192" s="8" t="s">
        <v>51</v>
      </c>
      <c r="M192" s="8" t="s">
        <v>52</v>
      </c>
      <c r="N192" s="72">
        <v>0.37346989757681737</v>
      </c>
    </row>
    <row r="193" spans="1:14" x14ac:dyDescent="0.25">
      <c r="A193" s="22" t="s">
        <v>332</v>
      </c>
      <c r="B193" s="22" t="s">
        <v>48</v>
      </c>
      <c r="C193" s="22" t="s">
        <v>37</v>
      </c>
      <c r="D193" s="114">
        <v>0.29451312682316994</v>
      </c>
      <c r="J193" s="22"/>
      <c r="K193" s="7" t="s">
        <v>332</v>
      </c>
      <c r="L193" s="8" t="s">
        <v>48</v>
      </c>
      <c r="M193" s="8" t="s">
        <v>37</v>
      </c>
      <c r="N193" s="72">
        <v>0.29451312682316994</v>
      </c>
    </row>
    <row r="194" spans="1:14" x14ac:dyDescent="0.25">
      <c r="A194" s="22" t="s">
        <v>333</v>
      </c>
      <c r="B194" s="22" t="s">
        <v>17</v>
      </c>
      <c r="C194" s="22" t="s">
        <v>18</v>
      </c>
      <c r="D194" s="114">
        <v>0.27320414282113031</v>
      </c>
      <c r="J194" s="22"/>
      <c r="K194" s="7" t="s">
        <v>333</v>
      </c>
      <c r="L194" s="8" t="s">
        <v>17</v>
      </c>
      <c r="M194" s="8" t="s">
        <v>18</v>
      </c>
      <c r="N194" s="72">
        <v>0.27320414282113031</v>
      </c>
    </row>
    <row r="195" spans="1:14" x14ac:dyDescent="0.25">
      <c r="A195" s="22" t="s">
        <v>334</v>
      </c>
      <c r="B195" s="22" t="s">
        <v>63</v>
      </c>
      <c r="C195" s="22" t="s">
        <v>37</v>
      </c>
      <c r="D195" s="114">
        <v>0.18664516329125705</v>
      </c>
      <c r="J195" s="22"/>
      <c r="K195" s="7" t="s">
        <v>334</v>
      </c>
      <c r="L195" s="8" t="s">
        <v>63</v>
      </c>
      <c r="M195" s="8" t="s">
        <v>37</v>
      </c>
      <c r="N195" s="72">
        <v>0.18664516329125705</v>
      </c>
    </row>
    <row r="196" spans="1:14" x14ac:dyDescent="0.25">
      <c r="A196" s="22" t="s">
        <v>335</v>
      </c>
      <c r="B196" s="22" t="s">
        <v>48</v>
      </c>
      <c r="C196" s="22" t="s">
        <v>37</v>
      </c>
      <c r="D196" s="114">
        <v>0.41063474387527837</v>
      </c>
      <c r="J196" s="22"/>
      <c r="K196" s="7" t="s">
        <v>335</v>
      </c>
      <c r="L196" s="8" t="s">
        <v>48</v>
      </c>
      <c r="M196" s="8" t="s">
        <v>37</v>
      </c>
      <c r="N196" s="72">
        <v>0.41063474387527837</v>
      </c>
    </row>
    <row r="197" spans="1:14" x14ac:dyDescent="0.25">
      <c r="A197" s="22" t="s">
        <v>336</v>
      </c>
      <c r="B197" s="22" t="s">
        <v>48</v>
      </c>
      <c r="C197" s="22" t="s">
        <v>37</v>
      </c>
      <c r="D197" s="114">
        <v>0.31371587700031378</v>
      </c>
      <c r="J197" s="22"/>
      <c r="K197" s="7" t="s">
        <v>336</v>
      </c>
      <c r="L197" s="8" t="s">
        <v>48</v>
      </c>
      <c r="M197" s="8" t="s">
        <v>37</v>
      </c>
      <c r="N197" s="72">
        <v>0.31371587700031378</v>
      </c>
    </row>
    <row r="198" spans="1:14" x14ac:dyDescent="0.25">
      <c r="A198" s="22" t="s">
        <v>337</v>
      </c>
      <c r="B198" s="22" t="s">
        <v>43</v>
      </c>
      <c r="C198" s="22" t="s">
        <v>44</v>
      </c>
      <c r="D198" s="114">
        <v>0.37884782608695655</v>
      </c>
      <c r="J198" s="22"/>
      <c r="K198" s="7" t="s">
        <v>337</v>
      </c>
      <c r="L198" s="8" t="s">
        <v>43</v>
      </c>
      <c r="M198" s="8" t="s">
        <v>44</v>
      </c>
      <c r="N198" s="72">
        <v>0.37884782608695655</v>
      </c>
    </row>
    <row r="199" spans="1:14" x14ac:dyDescent="0.25">
      <c r="A199" s="22" t="s">
        <v>338</v>
      </c>
      <c r="B199" s="22" t="s">
        <v>17</v>
      </c>
      <c r="C199" s="22" t="s">
        <v>18</v>
      </c>
      <c r="D199" s="114">
        <v>0.35393029077604471</v>
      </c>
      <c r="J199" s="22"/>
      <c r="K199" s="7" t="s">
        <v>338</v>
      </c>
      <c r="L199" s="8" t="s">
        <v>17</v>
      </c>
      <c r="M199" s="8" t="s">
        <v>18</v>
      </c>
      <c r="N199" s="72">
        <v>0.35393029077604471</v>
      </c>
    </row>
    <row r="200" spans="1:14" x14ac:dyDescent="0.25">
      <c r="A200" s="22" t="s">
        <v>339</v>
      </c>
      <c r="B200" s="22" t="s">
        <v>63</v>
      </c>
      <c r="C200" s="22" t="s">
        <v>37</v>
      </c>
      <c r="D200" s="114">
        <v>0.33258827827806314</v>
      </c>
      <c r="J200" s="22"/>
      <c r="K200" s="7" t="s">
        <v>339</v>
      </c>
      <c r="L200" s="8" t="s">
        <v>63</v>
      </c>
      <c r="M200" s="8" t="s">
        <v>37</v>
      </c>
      <c r="N200" s="72">
        <v>0.33258827827806314</v>
      </c>
    </row>
    <row r="201" spans="1:14" x14ac:dyDescent="0.25">
      <c r="A201" s="22" t="s">
        <v>340</v>
      </c>
      <c r="B201" s="22" t="s">
        <v>25</v>
      </c>
      <c r="C201" s="22" t="s">
        <v>18</v>
      </c>
      <c r="D201" s="114">
        <v>0.13649825783972125</v>
      </c>
      <c r="J201" s="22"/>
      <c r="K201" s="7" t="s">
        <v>340</v>
      </c>
      <c r="L201" s="8" t="s">
        <v>25</v>
      </c>
      <c r="M201" s="8" t="s">
        <v>18</v>
      </c>
      <c r="N201" s="72">
        <v>0.13649825783972125</v>
      </c>
    </row>
    <row r="202" spans="1:14" x14ac:dyDescent="0.25">
      <c r="A202" s="22" t="s">
        <v>341</v>
      </c>
      <c r="B202" s="22" t="s">
        <v>17</v>
      </c>
      <c r="C202" s="22" t="s">
        <v>18</v>
      </c>
      <c r="D202" s="114">
        <v>0.32108862144420125</v>
      </c>
      <c r="J202" s="22"/>
      <c r="K202" s="7" t="s">
        <v>341</v>
      </c>
      <c r="L202" s="8" t="s">
        <v>17</v>
      </c>
      <c r="M202" s="8" t="s">
        <v>18</v>
      </c>
      <c r="N202" s="72">
        <v>0.32108862144420125</v>
      </c>
    </row>
    <row r="203" spans="1:14" x14ac:dyDescent="0.25">
      <c r="A203" s="22" t="s">
        <v>343</v>
      </c>
      <c r="B203" s="22" t="s">
        <v>56</v>
      </c>
      <c r="C203" s="22" t="s">
        <v>57</v>
      </c>
      <c r="D203" s="114">
        <v>0.28904748833379079</v>
      </c>
      <c r="J203" s="22"/>
      <c r="K203" s="7" t="s">
        <v>343</v>
      </c>
      <c r="L203" s="8" t="s">
        <v>56</v>
      </c>
      <c r="M203" s="8" t="s">
        <v>57</v>
      </c>
      <c r="N203" s="72">
        <v>0.28904748833379079</v>
      </c>
    </row>
    <row r="204" spans="1:14" x14ac:dyDescent="0.25">
      <c r="A204" s="22" t="s">
        <v>344</v>
      </c>
      <c r="B204" s="22" t="s">
        <v>63</v>
      </c>
      <c r="C204" s="22" t="s">
        <v>37</v>
      </c>
      <c r="D204" s="114">
        <v>0.29271310482809454</v>
      </c>
      <c r="J204" s="22"/>
      <c r="K204" s="7" t="s">
        <v>344</v>
      </c>
      <c r="L204" s="8" t="s">
        <v>63</v>
      </c>
      <c r="M204" s="8" t="s">
        <v>37</v>
      </c>
      <c r="N204" s="72">
        <v>0.29271310482809454</v>
      </c>
    </row>
    <row r="205" spans="1:14" x14ac:dyDescent="0.25">
      <c r="A205" s="22" t="s">
        <v>345</v>
      </c>
      <c r="B205" s="22" t="s">
        <v>51</v>
      </c>
      <c r="C205" s="22" t="s">
        <v>52</v>
      </c>
      <c r="D205" s="114">
        <v>0.35144402339869762</v>
      </c>
      <c r="J205" s="22"/>
      <c r="K205" s="7" t="s">
        <v>345</v>
      </c>
      <c r="L205" s="8" t="s">
        <v>51</v>
      </c>
      <c r="M205" s="8" t="s">
        <v>52</v>
      </c>
      <c r="N205" s="72">
        <v>0.35144402339869762</v>
      </c>
    </row>
    <row r="206" spans="1:14" x14ac:dyDescent="0.25">
      <c r="A206" s="22" t="s">
        <v>346</v>
      </c>
      <c r="B206" s="22" t="s">
        <v>48</v>
      </c>
      <c r="C206" s="22" t="s">
        <v>37</v>
      </c>
      <c r="D206" s="114">
        <v>0.36147114993268842</v>
      </c>
      <c r="J206" s="22"/>
      <c r="K206" s="7" t="s">
        <v>346</v>
      </c>
      <c r="L206" s="8" t="s">
        <v>48</v>
      </c>
      <c r="M206" s="8" t="s">
        <v>37</v>
      </c>
      <c r="N206" s="72">
        <v>0.36147114993268842</v>
      </c>
    </row>
    <row r="207" spans="1:14" x14ac:dyDescent="0.25">
      <c r="A207" s="22" t="s">
        <v>347</v>
      </c>
      <c r="B207" s="22" t="s">
        <v>36</v>
      </c>
      <c r="C207" s="22" t="s">
        <v>37</v>
      </c>
      <c r="D207" s="114">
        <v>0.14738525206922498</v>
      </c>
      <c r="J207" s="22"/>
      <c r="K207" s="7" t="s">
        <v>347</v>
      </c>
      <c r="L207" s="8" t="s">
        <v>36</v>
      </c>
      <c r="M207" s="8" t="s">
        <v>37</v>
      </c>
      <c r="N207" s="72">
        <v>0.14738525206922498</v>
      </c>
    </row>
    <row r="208" spans="1:14" x14ac:dyDescent="0.25">
      <c r="A208" s="22" t="s">
        <v>348</v>
      </c>
      <c r="B208" s="22" t="s">
        <v>43</v>
      </c>
      <c r="C208" s="22" t="s">
        <v>44</v>
      </c>
      <c r="D208" s="114">
        <v>0.32340729001584784</v>
      </c>
      <c r="J208" s="22"/>
      <c r="K208" s="7" t="s">
        <v>348</v>
      </c>
      <c r="L208" s="8" t="s">
        <v>43</v>
      </c>
      <c r="M208" s="8" t="s">
        <v>44</v>
      </c>
      <c r="N208" s="72">
        <v>0.32340729001584784</v>
      </c>
    </row>
    <row r="209" spans="1:14" x14ac:dyDescent="0.25">
      <c r="A209" s="22" t="s">
        <v>349</v>
      </c>
      <c r="B209" s="22" t="s">
        <v>36</v>
      </c>
      <c r="C209" s="22" t="s">
        <v>37</v>
      </c>
      <c r="D209" s="114">
        <v>0.36376285541439807</v>
      </c>
      <c r="J209" s="22"/>
      <c r="K209" s="7" t="s">
        <v>349</v>
      </c>
      <c r="L209" s="8" t="s">
        <v>36</v>
      </c>
      <c r="M209" s="8" t="s">
        <v>37</v>
      </c>
      <c r="N209" s="72">
        <v>0.36376285541439807</v>
      </c>
    </row>
    <row r="210" spans="1:14" x14ac:dyDescent="0.25">
      <c r="A210" s="22" t="s">
        <v>350</v>
      </c>
      <c r="B210" s="22" t="s">
        <v>60</v>
      </c>
      <c r="C210" s="22" t="s">
        <v>52</v>
      </c>
      <c r="D210" s="114">
        <v>0.19756921523705978</v>
      </c>
      <c r="J210" s="22"/>
      <c r="K210" s="7" t="s">
        <v>350</v>
      </c>
      <c r="L210" s="8" t="s">
        <v>60</v>
      </c>
      <c r="M210" s="8" t="s">
        <v>52</v>
      </c>
      <c r="N210" s="72">
        <v>0.19756921523705978</v>
      </c>
    </row>
    <row r="211" spans="1:14" x14ac:dyDescent="0.25">
      <c r="A211" s="22" t="s">
        <v>351</v>
      </c>
      <c r="B211" s="22" t="s">
        <v>43</v>
      </c>
      <c r="C211" s="22" t="s">
        <v>44</v>
      </c>
      <c r="D211" s="114">
        <v>0.21634795650543681</v>
      </c>
      <c r="J211" s="22"/>
      <c r="K211" s="7" t="s">
        <v>351</v>
      </c>
      <c r="L211" s="8" t="s">
        <v>43</v>
      </c>
      <c r="M211" s="8" t="s">
        <v>44</v>
      </c>
      <c r="N211" s="72">
        <v>0.21634795650543681</v>
      </c>
    </row>
    <row r="212" spans="1:14" x14ac:dyDescent="0.25">
      <c r="A212" s="22" t="s">
        <v>352</v>
      </c>
      <c r="B212" s="22" t="s">
        <v>48</v>
      </c>
      <c r="C212" s="22" t="s">
        <v>37</v>
      </c>
      <c r="D212" s="114">
        <v>0.22510470713258734</v>
      </c>
      <c r="J212" s="22"/>
      <c r="K212" s="7" t="s">
        <v>352</v>
      </c>
      <c r="L212" s="8" t="s">
        <v>48</v>
      </c>
      <c r="M212" s="8" t="s">
        <v>37</v>
      </c>
      <c r="N212" s="72">
        <v>0.22510470713258734</v>
      </c>
    </row>
    <row r="213" spans="1:14" x14ac:dyDescent="0.25">
      <c r="A213" s="22" t="s">
        <v>353</v>
      </c>
      <c r="B213" s="22" t="s">
        <v>25</v>
      </c>
      <c r="C213" s="22" t="s">
        <v>18</v>
      </c>
      <c r="D213" s="114">
        <v>0.21478528069976999</v>
      </c>
      <c r="J213" s="22"/>
      <c r="K213" s="7" t="s">
        <v>353</v>
      </c>
      <c r="L213" s="8" t="s">
        <v>25</v>
      </c>
      <c r="M213" s="8" t="s">
        <v>18</v>
      </c>
      <c r="N213" s="72">
        <v>0.21478528069976999</v>
      </c>
    </row>
    <row r="214" spans="1:14" x14ac:dyDescent="0.25">
      <c r="A214" s="22" t="s">
        <v>355</v>
      </c>
      <c r="B214" s="22" t="s">
        <v>25</v>
      </c>
      <c r="C214" s="22" t="s">
        <v>18</v>
      </c>
      <c r="D214" s="114">
        <v>0.31334800146681335</v>
      </c>
      <c r="J214" s="22"/>
      <c r="K214" s="7" t="s">
        <v>355</v>
      </c>
      <c r="L214" s="8" t="s">
        <v>25</v>
      </c>
      <c r="M214" s="8" t="s">
        <v>18</v>
      </c>
      <c r="N214" s="72">
        <v>0.31334800146681335</v>
      </c>
    </row>
    <row r="215" spans="1:14" x14ac:dyDescent="0.25">
      <c r="A215" s="22" t="s">
        <v>356</v>
      </c>
      <c r="B215" s="22" t="s">
        <v>83</v>
      </c>
      <c r="C215" s="22" t="s">
        <v>52</v>
      </c>
      <c r="D215" s="114">
        <v>0.30830088987764181</v>
      </c>
      <c r="J215" s="22"/>
      <c r="K215" s="7" t="s">
        <v>356</v>
      </c>
      <c r="L215" s="8" t="s">
        <v>83</v>
      </c>
      <c r="M215" s="8" t="s">
        <v>52</v>
      </c>
      <c r="N215" s="72">
        <v>0.30830088987764181</v>
      </c>
    </row>
    <row r="216" spans="1:14" x14ac:dyDescent="0.25">
      <c r="A216" s="22" t="s">
        <v>357</v>
      </c>
      <c r="B216" s="22" t="s">
        <v>48</v>
      </c>
      <c r="C216" s="22" t="s">
        <v>37</v>
      </c>
      <c r="D216" s="114">
        <v>0.28038917604134994</v>
      </c>
      <c r="J216" s="22"/>
      <c r="K216" s="7" t="s">
        <v>357</v>
      </c>
      <c r="L216" s="8" t="s">
        <v>48</v>
      </c>
      <c r="M216" s="8" t="s">
        <v>37</v>
      </c>
      <c r="N216" s="72">
        <v>0.28038917604134994</v>
      </c>
    </row>
    <row r="217" spans="1:14" x14ac:dyDescent="0.25">
      <c r="A217" s="22" t="s">
        <v>358</v>
      </c>
      <c r="B217" s="22" t="s">
        <v>60</v>
      </c>
      <c r="C217" s="22" t="s">
        <v>52</v>
      </c>
      <c r="D217" s="114">
        <v>0.36458067262664962</v>
      </c>
      <c r="J217" s="22"/>
      <c r="K217" s="7" t="s">
        <v>358</v>
      </c>
      <c r="L217" s="8" t="s">
        <v>60</v>
      </c>
      <c r="M217" s="8" t="s">
        <v>52</v>
      </c>
      <c r="N217" s="72">
        <v>0.36458067262664962</v>
      </c>
    </row>
    <row r="218" spans="1:14" x14ac:dyDescent="0.25">
      <c r="A218" s="22" t="s">
        <v>359</v>
      </c>
      <c r="B218" s="22" t="s">
        <v>83</v>
      </c>
      <c r="C218" s="22" t="s">
        <v>52</v>
      </c>
      <c r="D218" s="114">
        <v>0.17299256151058554</v>
      </c>
      <c r="J218" s="22"/>
      <c r="K218" s="7" t="s">
        <v>359</v>
      </c>
      <c r="L218" s="8" t="s">
        <v>83</v>
      </c>
      <c r="M218" s="8" t="s">
        <v>52</v>
      </c>
      <c r="N218" s="72">
        <v>0.17299256151058554</v>
      </c>
    </row>
    <row r="219" spans="1:14" x14ac:dyDescent="0.25">
      <c r="A219" s="22" t="s">
        <v>361</v>
      </c>
      <c r="B219" s="22" t="s">
        <v>48</v>
      </c>
      <c r="C219" s="22" t="s">
        <v>37</v>
      </c>
      <c r="D219" s="114">
        <v>0.22861948142957253</v>
      </c>
      <c r="J219" s="22"/>
      <c r="K219" s="7" t="s">
        <v>361</v>
      </c>
      <c r="L219" s="8" t="s">
        <v>48</v>
      </c>
      <c r="M219" s="8" t="s">
        <v>37</v>
      </c>
      <c r="N219" s="72">
        <v>0.22861948142957253</v>
      </c>
    </row>
    <row r="220" spans="1:14" x14ac:dyDescent="0.25">
      <c r="A220" s="22" t="s">
        <v>362</v>
      </c>
      <c r="B220" s="22" t="s">
        <v>56</v>
      </c>
      <c r="C220" s="22" t="s">
        <v>57</v>
      </c>
      <c r="D220" s="114">
        <v>0.27401676337846553</v>
      </c>
      <c r="J220" s="22"/>
      <c r="K220" s="7" t="s">
        <v>362</v>
      </c>
      <c r="L220" s="8" t="s">
        <v>56</v>
      </c>
      <c r="M220" s="8" t="s">
        <v>57</v>
      </c>
      <c r="N220" s="72">
        <v>0.27401676337846553</v>
      </c>
    </row>
    <row r="221" spans="1:14" x14ac:dyDescent="0.25">
      <c r="A221" s="22" t="s">
        <v>363</v>
      </c>
      <c r="B221" s="22" t="s">
        <v>60</v>
      </c>
      <c r="C221" s="22" t="s">
        <v>52</v>
      </c>
      <c r="D221" s="114">
        <v>0.13635840809753855</v>
      </c>
      <c r="J221" s="22"/>
      <c r="K221" s="7" t="s">
        <v>363</v>
      </c>
      <c r="L221" s="8" t="s">
        <v>60</v>
      </c>
      <c r="M221" s="8" t="s">
        <v>52</v>
      </c>
      <c r="N221" s="72">
        <v>0.13635840809753855</v>
      </c>
    </row>
    <row r="222" spans="1:14" x14ac:dyDescent="0.25">
      <c r="A222" s="22" t="s">
        <v>365</v>
      </c>
      <c r="B222" s="22" t="s">
        <v>83</v>
      </c>
      <c r="C222" s="22" t="s">
        <v>52</v>
      </c>
      <c r="D222" s="114">
        <v>0.39755050360808059</v>
      </c>
      <c r="J222" s="22"/>
      <c r="K222" s="7" t="s">
        <v>365</v>
      </c>
      <c r="L222" s="8" t="s">
        <v>83</v>
      </c>
      <c r="M222" s="8" t="s">
        <v>52</v>
      </c>
      <c r="N222" s="72">
        <v>0.39755050360808059</v>
      </c>
    </row>
    <row r="223" spans="1:14" x14ac:dyDescent="0.25">
      <c r="A223" s="22" t="s">
        <v>366</v>
      </c>
      <c r="B223" s="22" t="s">
        <v>83</v>
      </c>
      <c r="C223" s="22" t="s">
        <v>52</v>
      </c>
      <c r="D223" s="114">
        <v>0.37340165402526199</v>
      </c>
      <c r="J223" s="22"/>
      <c r="K223" s="7" t="s">
        <v>366</v>
      </c>
      <c r="L223" s="8" t="s">
        <v>83</v>
      </c>
      <c r="M223" s="8" t="s">
        <v>52</v>
      </c>
      <c r="N223" s="72">
        <v>0.37340165402526199</v>
      </c>
    </row>
    <row r="224" spans="1:14" x14ac:dyDescent="0.25">
      <c r="A224" s="22" t="s">
        <v>367</v>
      </c>
      <c r="B224" s="22" t="s">
        <v>25</v>
      </c>
      <c r="C224" s="22" t="s">
        <v>18</v>
      </c>
      <c r="D224" s="114">
        <v>0.13339165937591135</v>
      </c>
      <c r="J224" s="22"/>
      <c r="K224" s="7" t="s">
        <v>367</v>
      </c>
      <c r="L224" s="8" t="s">
        <v>25</v>
      </c>
      <c r="M224" s="8" t="s">
        <v>18</v>
      </c>
      <c r="N224" s="72">
        <v>0.13339165937591135</v>
      </c>
    </row>
    <row r="225" spans="1:14" x14ac:dyDescent="0.25">
      <c r="A225" s="22" t="s">
        <v>368</v>
      </c>
      <c r="B225" s="22" t="s">
        <v>56</v>
      </c>
      <c r="C225" s="22" t="s">
        <v>57</v>
      </c>
      <c r="D225" s="114">
        <v>0.26183656154141799</v>
      </c>
      <c r="J225" s="22"/>
      <c r="K225" s="7" t="s">
        <v>368</v>
      </c>
      <c r="L225" s="8" t="s">
        <v>56</v>
      </c>
      <c r="M225" s="8" t="s">
        <v>57</v>
      </c>
      <c r="N225" s="72">
        <v>0.26183656154141799</v>
      </c>
    </row>
    <row r="226" spans="1:14" x14ac:dyDescent="0.25">
      <c r="A226" s="22" t="s">
        <v>369</v>
      </c>
      <c r="B226" s="22" t="s">
        <v>17</v>
      </c>
      <c r="C226" s="22" t="s">
        <v>18</v>
      </c>
      <c r="D226" s="114">
        <v>0.32722913402178633</v>
      </c>
      <c r="J226" s="22"/>
      <c r="K226" s="7" t="s">
        <v>369</v>
      </c>
      <c r="L226" s="8" t="s">
        <v>17</v>
      </c>
      <c r="M226" s="8" t="s">
        <v>18</v>
      </c>
      <c r="N226" s="72">
        <v>0.32722913402178633</v>
      </c>
    </row>
    <row r="227" spans="1:14" x14ac:dyDescent="0.25">
      <c r="A227" s="22" t="s">
        <v>370</v>
      </c>
      <c r="B227" s="22" t="s">
        <v>63</v>
      </c>
      <c r="C227" s="22" t="s">
        <v>37</v>
      </c>
      <c r="D227" s="114">
        <v>0.28884558445874503</v>
      </c>
      <c r="J227" s="22"/>
      <c r="K227" s="7" t="s">
        <v>370</v>
      </c>
      <c r="L227" s="8" t="s">
        <v>63</v>
      </c>
      <c r="M227" s="8" t="s">
        <v>37</v>
      </c>
      <c r="N227" s="72">
        <v>0.28884558445874503</v>
      </c>
    </row>
    <row r="228" spans="1:14" x14ac:dyDescent="0.25">
      <c r="A228" s="22" t="s">
        <v>372</v>
      </c>
      <c r="B228" s="22" t="s">
        <v>83</v>
      </c>
      <c r="C228" s="22" t="s">
        <v>52</v>
      </c>
      <c r="D228" s="114">
        <v>0.14405257618742565</v>
      </c>
      <c r="J228" s="22"/>
      <c r="K228" s="7" t="s">
        <v>372</v>
      </c>
      <c r="L228" s="8" t="s">
        <v>83</v>
      </c>
      <c r="M228" s="8" t="s">
        <v>52</v>
      </c>
      <c r="N228" s="72">
        <v>0.14405257618742565</v>
      </c>
    </row>
    <row r="229" spans="1:14" x14ac:dyDescent="0.25">
      <c r="A229" s="22" t="s">
        <v>373</v>
      </c>
      <c r="B229" s="22" t="s">
        <v>56</v>
      </c>
      <c r="C229" s="22" t="s">
        <v>57</v>
      </c>
      <c r="D229" s="114">
        <v>0.16429968893830843</v>
      </c>
      <c r="J229" s="22"/>
      <c r="K229" s="7" t="s">
        <v>373</v>
      </c>
      <c r="L229" s="8" t="s">
        <v>56</v>
      </c>
      <c r="M229" s="8" t="s">
        <v>57</v>
      </c>
      <c r="N229" s="72">
        <v>0.16429968893830843</v>
      </c>
    </row>
    <row r="230" spans="1:14" x14ac:dyDescent="0.25">
      <c r="A230" s="22" t="s">
        <v>374</v>
      </c>
      <c r="B230" s="22" t="s">
        <v>17</v>
      </c>
      <c r="C230" s="22" t="s">
        <v>18</v>
      </c>
      <c r="D230" s="114">
        <v>0.38984899328859063</v>
      </c>
      <c r="J230" s="22"/>
      <c r="K230" s="7" t="s">
        <v>374</v>
      </c>
      <c r="L230" s="8" t="s">
        <v>17</v>
      </c>
      <c r="M230" s="8" t="s">
        <v>18</v>
      </c>
      <c r="N230" s="72">
        <v>0.38984899328859063</v>
      </c>
    </row>
    <row r="231" spans="1:14" x14ac:dyDescent="0.25">
      <c r="A231" s="22" t="s">
        <v>375</v>
      </c>
      <c r="B231" s="22" t="s">
        <v>51</v>
      </c>
      <c r="C231" s="22" t="s">
        <v>52</v>
      </c>
      <c r="D231" s="114">
        <v>0.15420780441936999</v>
      </c>
      <c r="J231" s="22"/>
      <c r="K231" s="7" t="s">
        <v>375</v>
      </c>
      <c r="L231" s="8" t="s">
        <v>51</v>
      </c>
      <c r="M231" s="8" t="s">
        <v>52</v>
      </c>
      <c r="N231" s="72">
        <v>0.15420780441936999</v>
      </c>
    </row>
    <row r="232" spans="1:14" x14ac:dyDescent="0.25">
      <c r="A232" s="22" t="s">
        <v>376</v>
      </c>
      <c r="B232" s="22" t="s">
        <v>63</v>
      </c>
      <c r="C232" s="22" t="s">
        <v>37</v>
      </c>
      <c r="D232" s="114">
        <v>0.39610096184881544</v>
      </c>
      <c r="J232" s="22"/>
      <c r="K232" s="7" t="s">
        <v>376</v>
      </c>
      <c r="L232" s="8" t="s">
        <v>63</v>
      </c>
      <c r="M232" s="8" t="s">
        <v>37</v>
      </c>
      <c r="N232" s="72">
        <v>0.39610096184881544</v>
      </c>
    </row>
    <row r="233" spans="1:14" x14ac:dyDescent="0.25">
      <c r="A233" s="22" t="s">
        <v>377</v>
      </c>
      <c r="B233" s="22" t="s">
        <v>25</v>
      </c>
      <c r="C233" s="22" t="s">
        <v>18</v>
      </c>
      <c r="D233" s="114">
        <v>0.30966173580221368</v>
      </c>
      <c r="J233" s="22"/>
      <c r="K233" s="7" t="s">
        <v>377</v>
      </c>
      <c r="L233" s="8" t="s">
        <v>25</v>
      </c>
      <c r="M233" s="8" t="s">
        <v>18</v>
      </c>
      <c r="N233" s="72">
        <v>0.30966173580221368</v>
      </c>
    </row>
    <row r="234" spans="1:14" x14ac:dyDescent="0.25">
      <c r="A234" s="22" t="s">
        <v>378</v>
      </c>
      <c r="B234" s="22" t="s">
        <v>56</v>
      </c>
      <c r="C234" s="22" t="s">
        <v>57</v>
      </c>
      <c r="D234" s="114">
        <v>0.21265702600058431</v>
      </c>
      <c r="J234" s="22"/>
      <c r="K234" s="7" t="s">
        <v>378</v>
      </c>
      <c r="L234" s="8" t="s">
        <v>56</v>
      </c>
      <c r="M234" s="8" t="s">
        <v>57</v>
      </c>
      <c r="N234" s="72">
        <v>0.21265702600058431</v>
      </c>
    </row>
    <row r="235" spans="1:14" x14ac:dyDescent="0.25">
      <c r="A235" s="22" t="s">
        <v>379</v>
      </c>
      <c r="B235" s="22" t="s">
        <v>43</v>
      </c>
      <c r="C235" s="22" t="s">
        <v>44</v>
      </c>
      <c r="D235" s="114">
        <v>0.16666666666666666</v>
      </c>
      <c r="J235" s="22"/>
      <c r="K235" s="7" t="s">
        <v>379</v>
      </c>
      <c r="L235" s="8" t="s">
        <v>43</v>
      </c>
      <c r="M235" s="8" t="s">
        <v>44</v>
      </c>
      <c r="N235" s="72">
        <v>0.16666666666666666</v>
      </c>
    </row>
    <row r="236" spans="1:14" x14ac:dyDescent="0.25">
      <c r="A236" s="22" t="s">
        <v>380</v>
      </c>
      <c r="B236" s="22" t="s">
        <v>56</v>
      </c>
      <c r="C236" s="22" t="s">
        <v>57</v>
      </c>
      <c r="D236" s="114">
        <v>0.35183072295405038</v>
      </c>
      <c r="J236" s="22"/>
      <c r="K236" s="7" t="s">
        <v>380</v>
      </c>
      <c r="L236" s="8" t="s">
        <v>56</v>
      </c>
      <c r="M236" s="8" t="s">
        <v>57</v>
      </c>
      <c r="N236" s="72">
        <v>0.35183072295405038</v>
      </c>
    </row>
    <row r="237" spans="1:14" x14ac:dyDescent="0.25">
      <c r="A237" s="22" t="s">
        <v>381</v>
      </c>
      <c r="B237" s="22" t="s">
        <v>60</v>
      </c>
      <c r="C237" s="22" t="s">
        <v>52</v>
      </c>
      <c r="D237" s="114">
        <v>0.1045486814537773</v>
      </c>
      <c r="J237" s="22"/>
      <c r="K237" s="7" t="s">
        <v>381</v>
      </c>
      <c r="L237" s="8" t="s">
        <v>60</v>
      </c>
      <c r="M237" s="8" t="s">
        <v>52</v>
      </c>
      <c r="N237" s="72">
        <v>0.1045486814537773</v>
      </c>
    </row>
    <row r="238" spans="1:14" x14ac:dyDescent="0.25">
      <c r="A238" s="22" t="s">
        <v>382</v>
      </c>
      <c r="B238" s="22" t="s">
        <v>48</v>
      </c>
      <c r="C238" s="22" t="s">
        <v>37</v>
      </c>
      <c r="D238" s="114">
        <v>0.22946249421206974</v>
      </c>
      <c r="J238" s="22"/>
      <c r="K238" s="7" t="s">
        <v>382</v>
      </c>
      <c r="L238" s="8" t="s">
        <v>48</v>
      </c>
      <c r="M238" s="8" t="s">
        <v>37</v>
      </c>
      <c r="N238" s="72">
        <v>0.22946249421206974</v>
      </c>
    </row>
    <row r="239" spans="1:14" x14ac:dyDescent="0.25">
      <c r="A239" s="22" t="s">
        <v>383</v>
      </c>
      <c r="B239" s="22" t="s">
        <v>25</v>
      </c>
      <c r="C239" s="22" t="s">
        <v>18</v>
      </c>
      <c r="D239" s="114">
        <v>0.36577978689053919</v>
      </c>
      <c r="J239" s="22"/>
      <c r="K239" s="7" t="s">
        <v>383</v>
      </c>
      <c r="L239" s="8" t="s">
        <v>25</v>
      </c>
      <c r="M239" s="8" t="s">
        <v>18</v>
      </c>
      <c r="N239" s="72">
        <v>0.36577978689053919</v>
      </c>
    </row>
    <row r="240" spans="1:14" x14ac:dyDescent="0.25">
      <c r="A240" s="22" t="s">
        <v>384</v>
      </c>
      <c r="B240" s="22" t="s">
        <v>43</v>
      </c>
      <c r="C240" s="22" t="s">
        <v>44</v>
      </c>
      <c r="D240" s="114">
        <v>0.29105623533274744</v>
      </c>
      <c r="J240" s="22"/>
      <c r="K240" s="7" t="s">
        <v>384</v>
      </c>
      <c r="L240" s="8" t="s">
        <v>43</v>
      </c>
      <c r="M240" s="8" t="s">
        <v>44</v>
      </c>
      <c r="N240" s="72">
        <v>0.29105623533274744</v>
      </c>
    </row>
    <row r="241" spans="1:14" x14ac:dyDescent="0.25">
      <c r="A241" s="22" t="s">
        <v>385</v>
      </c>
      <c r="B241" s="22" t="s">
        <v>48</v>
      </c>
      <c r="C241" s="22" t="s">
        <v>37</v>
      </c>
      <c r="D241" s="114">
        <v>0.29701444622792939</v>
      </c>
      <c r="J241" s="22"/>
      <c r="K241" s="7" t="s">
        <v>385</v>
      </c>
      <c r="L241" s="8" t="s">
        <v>48</v>
      </c>
      <c r="M241" s="8" t="s">
        <v>37</v>
      </c>
      <c r="N241" s="72">
        <v>0.29701444622792939</v>
      </c>
    </row>
    <row r="242" spans="1:14" x14ac:dyDescent="0.25">
      <c r="A242" s="22" t="s">
        <v>386</v>
      </c>
      <c r="B242" s="22" t="s">
        <v>25</v>
      </c>
      <c r="C242" s="22" t="s">
        <v>18</v>
      </c>
      <c r="D242" s="114">
        <v>0.36709511568123393</v>
      </c>
      <c r="J242" s="22"/>
      <c r="K242" s="7" t="s">
        <v>386</v>
      </c>
      <c r="L242" s="8" t="s">
        <v>25</v>
      </c>
      <c r="M242" s="8" t="s">
        <v>18</v>
      </c>
      <c r="N242" s="72">
        <v>0.36709511568123393</v>
      </c>
    </row>
    <row r="243" spans="1:14" x14ac:dyDescent="0.25">
      <c r="A243" s="22" t="s">
        <v>387</v>
      </c>
      <c r="B243" s="22" t="s">
        <v>60</v>
      </c>
      <c r="C243" s="22" t="s">
        <v>52</v>
      </c>
      <c r="D243" s="114">
        <v>0.14421348987660237</v>
      </c>
      <c r="J243" s="22"/>
      <c r="K243" s="7" t="s">
        <v>387</v>
      </c>
      <c r="L243" s="8" t="s">
        <v>60</v>
      </c>
      <c r="M243" s="8" t="s">
        <v>52</v>
      </c>
      <c r="N243" s="72">
        <v>0.14421348987660237</v>
      </c>
    </row>
    <row r="244" spans="1:14" x14ac:dyDescent="0.25">
      <c r="A244" s="22" t="s">
        <v>388</v>
      </c>
      <c r="B244" s="22" t="s">
        <v>36</v>
      </c>
      <c r="C244" s="22" t="s">
        <v>37</v>
      </c>
      <c r="D244" s="114">
        <v>0.37256297273734057</v>
      </c>
      <c r="J244" s="22"/>
      <c r="K244" s="7" t="s">
        <v>388</v>
      </c>
      <c r="L244" s="8" t="s">
        <v>36</v>
      </c>
      <c r="M244" s="8" t="s">
        <v>37</v>
      </c>
      <c r="N244" s="72">
        <v>0.37256297273734057</v>
      </c>
    </row>
    <row r="245" spans="1:14" x14ac:dyDescent="0.25">
      <c r="A245" s="22" t="s">
        <v>390</v>
      </c>
      <c r="B245" s="22" t="s">
        <v>17</v>
      </c>
      <c r="C245" s="22" t="s">
        <v>18</v>
      </c>
      <c r="D245" s="114">
        <v>0.12401147626499738</v>
      </c>
      <c r="J245" s="22"/>
      <c r="K245" s="7" t="s">
        <v>390</v>
      </c>
      <c r="L245" s="8" t="s">
        <v>17</v>
      </c>
      <c r="M245" s="8" t="s">
        <v>18</v>
      </c>
      <c r="N245" s="72">
        <v>0.12401147626499738</v>
      </c>
    </row>
    <row r="246" spans="1:14" x14ac:dyDescent="0.25">
      <c r="A246" s="22" t="s">
        <v>391</v>
      </c>
      <c r="B246" s="22" t="s">
        <v>48</v>
      </c>
      <c r="C246" s="22" t="s">
        <v>37</v>
      </c>
      <c r="D246" s="114">
        <v>0.32453802639849155</v>
      </c>
      <c r="J246" s="22"/>
      <c r="K246" s="7" t="s">
        <v>391</v>
      </c>
      <c r="L246" s="8" t="s">
        <v>48</v>
      </c>
      <c r="M246" s="8" t="s">
        <v>37</v>
      </c>
      <c r="N246" s="72">
        <v>0.32453802639849155</v>
      </c>
    </row>
    <row r="247" spans="1:14" x14ac:dyDescent="0.25">
      <c r="A247" s="22" t="s">
        <v>392</v>
      </c>
      <c r="B247" s="22" t="s">
        <v>56</v>
      </c>
      <c r="C247" s="22" t="s">
        <v>57</v>
      </c>
      <c r="D247" s="114">
        <v>0.27381241992247685</v>
      </c>
      <c r="J247" s="22"/>
      <c r="K247" s="7" t="s">
        <v>392</v>
      </c>
      <c r="L247" s="8" t="s">
        <v>56</v>
      </c>
      <c r="M247" s="8" t="s">
        <v>57</v>
      </c>
      <c r="N247" s="72">
        <v>0.27381241992247685</v>
      </c>
    </row>
    <row r="248" spans="1:14" x14ac:dyDescent="0.25">
      <c r="A248" s="22" t="s">
        <v>393</v>
      </c>
      <c r="B248" s="22" t="s">
        <v>25</v>
      </c>
      <c r="C248" s="22" t="s">
        <v>18</v>
      </c>
      <c r="D248" s="114">
        <v>0.28980007404664937</v>
      </c>
      <c r="J248" s="22"/>
      <c r="K248" s="7" t="s">
        <v>393</v>
      </c>
      <c r="L248" s="8" t="s">
        <v>25</v>
      </c>
      <c r="M248" s="8" t="s">
        <v>18</v>
      </c>
      <c r="N248" s="72">
        <v>0.28980007404664937</v>
      </c>
    </row>
    <row r="249" spans="1:14" x14ac:dyDescent="0.25">
      <c r="A249" s="22" t="s">
        <v>394</v>
      </c>
      <c r="B249" s="22" t="s">
        <v>17</v>
      </c>
      <c r="C249" s="22" t="s">
        <v>18</v>
      </c>
      <c r="D249" s="114">
        <v>0.36448863636363632</v>
      </c>
      <c r="J249" s="22"/>
      <c r="K249" s="7" t="s">
        <v>394</v>
      </c>
      <c r="L249" s="8" t="s">
        <v>17</v>
      </c>
      <c r="M249" s="8" t="s">
        <v>18</v>
      </c>
      <c r="N249" s="72">
        <v>0.36448863636363632</v>
      </c>
    </row>
    <row r="250" spans="1:14" x14ac:dyDescent="0.25">
      <c r="A250" s="22" t="s">
        <v>395</v>
      </c>
      <c r="B250" s="22" t="s">
        <v>56</v>
      </c>
      <c r="C250" s="22" t="s">
        <v>57</v>
      </c>
      <c r="D250" s="114">
        <v>0.38357560375326871</v>
      </c>
      <c r="J250" s="22"/>
      <c r="K250" s="7" t="s">
        <v>395</v>
      </c>
      <c r="L250" s="8" t="s">
        <v>56</v>
      </c>
      <c r="M250" s="8" t="s">
        <v>57</v>
      </c>
      <c r="N250" s="72">
        <v>0.38357560375326871</v>
      </c>
    </row>
    <row r="251" spans="1:14" x14ac:dyDescent="0.25">
      <c r="A251" s="22" t="s">
        <v>396</v>
      </c>
      <c r="B251" s="22" t="s">
        <v>43</v>
      </c>
      <c r="C251" s="22" t="s">
        <v>44</v>
      </c>
      <c r="D251" s="114">
        <v>0.42019875028231574</v>
      </c>
      <c r="J251" s="22"/>
      <c r="K251" s="7" t="s">
        <v>396</v>
      </c>
      <c r="L251" s="8" t="s">
        <v>43</v>
      </c>
      <c r="M251" s="8" t="s">
        <v>44</v>
      </c>
      <c r="N251" s="72">
        <v>0.42019875028231574</v>
      </c>
    </row>
    <row r="252" spans="1:14" x14ac:dyDescent="0.25">
      <c r="A252" s="22" t="s">
        <v>397</v>
      </c>
      <c r="B252" s="22" t="s">
        <v>48</v>
      </c>
      <c r="C252" s="22" t="s">
        <v>37</v>
      </c>
      <c r="D252" s="114">
        <v>0.23567216305965877</v>
      </c>
      <c r="J252" s="22"/>
      <c r="K252" s="7" t="s">
        <v>397</v>
      </c>
      <c r="L252" s="8" t="s">
        <v>48</v>
      </c>
      <c r="M252" s="8" t="s">
        <v>37</v>
      </c>
      <c r="N252" s="72">
        <v>0.23567216305965877</v>
      </c>
    </row>
    <row r="253" spans="1:14" x14ac:dyDescent="0.25">
      <c r="A253" s="22" t="s">
        <v>398</v>
      </c>
      <c r="B253" s="22" t="s">
        <v>51</v>
      </c>
      <c r="C253" s="22" t="s">
        <v>52</v>
      </c>
      <c r="D253" s="114">
        <v>0.1340618655201242</v>
      </c>
      <c r="J253" s="22"/>
      <c r="K253" s="7" t="s">
        <v>398</v>
      </c>
      <c r="L253" s="8" t="s">
        <v>51</v>
      </c>
      <c r="M253" s="8" t="s">
        <v>52</v>
      </c>
      <c r="N253" s="72">
        <v>0.1340618655201242</v>
      </c>
    </row>
    <row r="254" spans="1:14" x14ac:dyDescent="0.25">
      <c r="A254" s="22" t="s">
        <v>400</v>
      </c>
      <c r="B254" s="22" t="s">
        <v>51</v>
      </c>
      <c r="C254" s="22" t="s">
        <v>52</v>
      </c>
      <c r="D254" s="114">
        <v>0.1417840129822541</v>
      </c>
      <c r="J254" s="22"/>
      <c r="K254" s="7" t="s">
        <v>400</v>
      </c>
      <c r="L254" s="8" t="s">
        <v>51</v>
      </c>
      <c r="M254" s="8" t="s">
        <v>52</v>
      </c>
      <c r="N254" s="72">
        <v>0.1417840129822541</v>
      </c>
    </row>
    <row r="255" spans="1:14" x14ac:dyDescent="0.25">
      <c r="A255" s="22" t="s">
        <v>401</v>
      </c>
      <c r="B255" s="22" t="s">
        <v>51</v>
      </c>
      <c r="C255" s="22" t="s">
        <v>52</v>
      </c>
      <c r="D255" s="114">
        <v>0.33122227756825345</v>
      </c>
      <c r="J255" s="22"/>
      <c r="K255" s="7" t="s">
        <v>401</v>
      </c>
      <c r="L255" s="8" t="s">
        <v>51</v>
      </c>
      <c r="M255" s="8" t="s">
        <v>52</v>
      </c>
      <c r="N255" s="72">
        <v>0.33122227756825345</v>
      </c>
    </row>
    <row r="256" spans="1:14" x14ac:dyDescent="0.25">
      <c r="A256" s="22" t="s">
        <v>402</v>
      </c>
      <c r="B256" s="22" t="s">
        <v>60</v>
      </c>
      <c r="C256" s="22" t="s">
        <v>52</v>
      </c>
      <c r="D256" s="114">
        <v>0.37579752074032918</v>
      </c>
      <c r="J256" s="22"/>
      <c r="K256" s="7" t="s">
        <v>402</v>
      </c>
      <c r="L256" s="8" t="s">
        <v>60</v>
      </c>
      <c r="M256" s="8" t="s">
        <v>52</v>
      </c>
      <c r="N256" s="72">
        <v>0.37579752074032918</v>
      </c>
    </row>
    <row r="257" spans="1:14" x14ac:dyDescent="0.25">
      <c r="A257" s="22" t="s">
        <v>403</v>
      </c>
      <c r="B257" s="22" t="s">
        <v>48</v>
      </c>
      <c r="C257" s="22" t="s">
        <v>37</v>
      </c>
      <c r="D257" s="114">
        <v>0.29157684420842317</v>
      </c>
      <c r="J257" s="22"/>
      <c r="K257" s="7" t="s">
        <v>403</v>
      </c>
      <c r="L257" s="8" t="s">
        <v>48</v>
      </c>
      <c r="M257" s="8" t="s">
        <v>37</v>
      </c>
      <c r="N257" s="72">
        <v>0.29157684420842317</v>
      </c>
    </row>
    <row r="258" spans="1:14" x14ac:dyDescent="0.25">
      <c r="A258" s="22" t="s">
        <v>404</v>
      </c>
      <c r="B258" s="22" t="s">
        <v>25</v>
      </c>
      <c r="C258" s="22" t="s">
        <v>18</v>
      </c>
      <c r="D258" s="114">
        <v>0.25171952617500953</v>
      </c>
      <c r="J258" s="22"/>
      <c r="K258" s="7" t="s">
        <v>404</v>
      </c>
      <c r="L258" s="8" t="s">
        <v>25</v>
      </c>
      <c r="M258" s="8" t="s">
        <v>18</v>
      </c>
      <c r="N258" s="72">
        <v>0.25171952617500953</v>
      </c>
    </row>
    <row r="259" spans="1:14" x14ac:dyDescent="0.25">
      <c r="A259" s="22" t="s">
        <v>405</v>
      </c>
      <c r="B259" s="22" t="s">
        <v>51</v>
      </c>
      <c r="C259" s="22" t="s">
        <v>52</v>
      </c>
      <c r="D259" s="114">
        <v>0.35908796330915527</v>
      </c>
      <c r="J259" s="22"/>
      <c r="K259" s="7" t="s">
        <v>405</v>
      </c>
      <c r="L259" s="8" t="s">
        <v>51</v>
      </c>
      <c r="M259" s="8" t="s">
        <v>52</v>
      </c>
      <c r="N259" s="72">
        <v>0.35908796330915527</v>
      </c>
    </row>
    <row r="260" spans="1:14" x14ac:dyDescent="0.25">
      <c r="A260" s="22" t="s">
        <v>406</v>
      </c>
      <c r="B260" s="22" t="s">
        <v>25</v>
      </c>
      <c r="C260" s="22" t="s">
        <v>18</v>
      </c>
      <c r="D260" s="114">
        <v>0.18624568169036715</v>
      </c>
      <c r="J260" s="22"/>
      <c r="K260" s="7" t="s">
        <v>406</v>
      </c>
      <c r="L260" s="8" t="s">
        <v>25</v>
      </c>
      <c r="M260" s="8" t="s">
        <v>18</v>
      </c>
      <c r="N260" s="72">
        <v>0.18624568169036715</v>
      </c>
    </row>
    <row r="261" spans="1:14" x14ac:dyDescent="0.25">
      <c r="A261" s="22" t="s">
        <v>407</v>
      </c>
      <c r="B261" s="22" t="s">
        <v>63</v>
      </c>
      <c r="C261" s="22" t="s">
        <v>37</v>
      </c>
      <c r="D261" s="114">
        <v>0.30941114616193482</v>
      </c>
      <c r="J261" s="22"/>
      <c r="K261" s="7" t="s">
        <v>407</v>
      </c>
      <c r="L261" s="8" t="s">
        <v>63</v>
      </c>
      <c r="M261" s="8" t="s">
        <v>37</v>
      </c>
      <c r="N261" s="72">
        <v>0.30941114616193482</v>
      </c>
    </row>
    <row r="262" spans="1:14" x14ac:dyDescent="0.25">
      <c r="A262" s="22" t="s">
        <v>409</v>
      </c>
      <c r="B262" s="22" t="s">
        <v>43</v>
      </c>
      <c r="C262" s="22" t="s">
        <v>44</v>
      </c>
      <c r="D262" s="114">
        <v>0.40986749365661124</v>
      </c>
      <c r="J262" s="22"/>
      <c r="K262" s="7" t="s">
        <v>409</v>
      </c>
      <c r="L262" s="8" t="s">
        <v>43</v>
      </c>
      <c r="M262" s="8" t="s">
        <v>44</v>
      </c>
      <c r="N262" s="72">
        <v>0.40986749365661124</v>
      </c>
    </row>
    <row r="263" spans="1:14" x14ac:dyDescent="0.25">
      <c r="A263" s="22" t="s">
        <v>411</v>
      </c>
      <c r="B263" s="22" t="s">
        <v>56</v>
      </c>
      <c r="C263" s="22" t="s">
        <v>57</v>
      </c>
      <c r="D263" s="114">
        <v>0.28786342123056119</v>
      </c>
      <c r="J263" s="22"/>
      <c r="K263" s="7" t="s">
        <v>411</v>
      </c>
      <c r="L263" s="8" t="s">
        <v>56</v>
      </c>
      <c r="M263" s="8" t="s">
        <v>57</v>
      </c>
      <c r="N263" s="72">
        <v>0.28786342123056119</v>
      </c>
    </row>
    <row r="264" spans="1:14" x14ac:dyDescent="0.25">
      <c r="A264" s="22" t="s">
        <v>412</v>
      </c>
      <c r="B264" s="22" t="s">
        <v>36</v>
      </c>
      <c r="C264" s="22" t="s">
        <v>37</v>
      </c>
      <c r="D264" s="114">
        <v>0.13301546391752578</v>
      </c>
      <c r="J264" s="22"/>
      <c r="K264" s="7" t="s">
        <v>412</v>
      </c>
      <c r="L264" s="8" t="s">
        <v>36</v>
      </c>
      <c r="M264" s="8" t="s">
        <v>37</v>
      </c>
      <c r="N264" s="72">
        <v>0.13301546391752578</v>
      </c>
    </row>
    <row r="265" spans="1:14" x14ac:dyDescent="0.25">
      <c r="A265" s="22" t="s">
        <v>413</v>
      </c>
      <c r="B265" s="22" t="s">
        <v>56</v>
      </c>
      <c r="C265" s="22" t="s">
        <v>57</v>
      </c>
      <c r="D265" s="114">
        <v>0.23837667454688727</v>
      </c>
      <c r="J265" s="22"/>
      <c r="K265" s="7" t="s">
        <v>413</v>
      </c>
      <c r="L265" s="8" t="s">
        <v>56</v>
      </c>
      <c r="M265" s="8" t="s">
        <v>57</v>
      </c>
      <c r="N265" s="72">
        <v>0.23837667454688727</v>
      </c>
    </row>
    <row r="266" spans="1:14" x14ac:dyDescent="0.25">
      <c r="A266" s="22" t="s">
        <v>414</v>
      </c>
      <c r="B266" s="22" t="s">
        <v>60</v>
      </c>
      <c r="C266" s="22" t="s">
        <v>52</v>
      </c>
      <c r="D266" s="114">
        <v>0.21382575757575753</v>
      </c>
      <c r="J266" s="22"/>
      <c r="K266" s="7" t="s">
        <v>414</v>
      </c>
      <c r="L266" s="8" t="s">
        <v>60</v>
      </c>
      <c r="M266" s="8" t="s">
        <v>52</v>
      </c>
      <c r="N266" s="72">
        <v>0.21382575757575753</v>
      </c>
    </row>
    <row r="267" spans="1:14" x14ac:dyDescent="0.25">
      <c r="A267" s="22" t="s">
        <v>415</v>
      </c>
      <c r="B267" s="22" t="s">
        <v>17</v>
      </c>
      <c r="C267" s="22" t="s">
        <v>18</v>
      </c>
      <c r="D267" s="114">
        <v>0.32588134135855545</v>
      </c>
      <c r="J267" s="22"/>
      <c r="K267" s="7" t="s">
        <v>415</v>
      </c>
      <c r="L267" s="8" t="s">
        <v>17</v>
      </c>
      <c r="M267" s="8" t="s">
        <v>18</v>
      </c>
      <c r="N267" s="72">
        <v>0.32588134135855545</v>
      </c>
    </row>
    <row r="268" spans="1:14" x14ac:dyDescent="0.25">
      <c r="A268" s="22" t="s">
        <v>416</v>
      </c>
      <c r="B268" s="22" t="s">
        <v>36</v>
      </c>
      <c r="C268" s="22" t="s">
        <v>37</v>
      </c>
      <c r="D268" s="114">
        <v>0.24746382724107918</v>
      </c>
      <c r="J268" s="22"/>
      <c r="K268" s="7" t="s">
        <v>416</v>
      </c>
      <c r="L268" s="8" t="s">
        <v>36</v>
      </c>
      <c r="M268" s="8" t="s">
        <v>37</v>
      </c>
      <c r="N268" s="72">
        <v>0.24746382724107918</v>
      </c>
    </row>
    <row r="269" spans="1:14" x14ac:dyDescent="0.25">
      <c r="A269" s="22" t="s">
        <v>417</v>
      </c>
      <c r="B269" s="22" t="s">
        <v>63</v>
      </c>
      <c r="C269" s="22" t="s">
        <v>37</v>
      </c>
      <c r="D269" s="114">
        <v>0.18910884725391264</v>
      </c>
      <c r="J269" s="22"/>
      <c r="K269" s="7" t="s">
        <v>417</v>
      </c>
      <c r="L269" s="8" t="s">
        <v>63</v>
      </c>
      <c r="M269" s="8" t="s">
        <v>37</v>
      </c>
      <c r="N269" s="72">
        <v>0.18910884725391264</v>
      </c>
    </row>
    <row r="270" spans="1:14" x14ac:dyDescent="0.25">
      <c r="A270" s="22" t="s">
        <v>418</v>
      </c>
      <c r="B270" s="22" t="s">
        <v>36</v>
      </c>
      <c r="C270" s="22" t="s">
        <v>37</v>
      </c>
      <c r="D270" s="114">
        <v>0.39113674274787424</v>
      </c>
      <c r="J270" s="22"/>
      <c r="K270" s="7" t="s">
        <v>418</v>
      </c>
      <c r="L270" s="8" t="s">
        <v>36</v>
      </c>
      <c r="M270" s="8" t="s">
        <v>37</v>
      </c>
      <c r="N270" s="72">
        <v>0.39113674274787424</v>
      </c>
    </row>
    <row r="271" spans="1:14" x14ac:dyDescent="0.25">
      <c r="A271" s="22" t="s">
        <v>419</v>
      </c>
      <c r="B271" s="22" t="s">
        <v>63</v>
      </c>
      <c r="C271" s="22" t="s">
        <v>37</v>
      </c>
      <c r="D271" s="114">
        <v>0.3943495400788436</v>
      </c>
      <c r="J271" s="22"/>
      <c r="K271" s="7" t="s">
        <v>419</v>
      </c>
      <c r="L271" s="8" t="s">
        <v>63</v>
      </c>
      <c r="M271" s="8" t="s">
        <v>37</v>
      </c>
      <c r="N271" s="72">
        <v>0.3943495400788436</v>
      </c>
    </row>
    <row r="272" spans="1:14" x14ac:dyDescent="0.25">
      <c r="A272" s="22" t="s">
        <v>420</v>
      </c>
      <c r="B272" s="22" t="s">
        <v>36</v>
      </c>
      <c r="C272" s="22" t="s">
        <v>37</v>
      </c>
      <c r="D272" s="114">
        <v>0.29216699931289464</v>
      </c>
      <c r="J272" s="22"/>
      <c r="K272" s="7" t="s">
        <v>420</v>
      </c>
      <c r="L272" s="8" t="s">
        <v>36</v>
      </c>
      <c r="M272" s="8" t="s">
        <v>37</v>
      </c>
      <c r="N272" s="72">
        <v>0.29216699931289464</v>
      </c>
    </row>
    <row r="273" spans="1:14" x14ac:dyDescent="0.25">
      <c r="A273" s="22" t="s">
        <v>422</v>
      </c>
      <c r="B273" s="22" t="s">
        <v>83</v>
      </c>
      <c r="C273" s="22" t="s">
        <v>52</v>
      </c>
      <c r="D273" s="114">
        <v>0.27883404683958701</v>
      </c>
      <c r="J273" s="22"/>
      <c r="K273" s="7" t="s">
        <v>422</v>
      </c>
      <c r="L273" s="8" t="s">
        <v>83</v>
      </c>
      <c r="M273" s="8" t="s">
        <v>52</v>
      </c>
      <c r="N273" s="72">
        <v>0.27883404683958701</v>
      </c>
    </row>
    <row r="274" spans="1:14" x14ac:dyDescent="0.25">
      <c r="A274" s="22" t="s">
        <v>423</v>
      </c>
      <c r="B274" s="22" t="s">
        <v>51</v>
      </c>
      <c r="C274" s="22" t="s">
        <v>52</v>
      </c>
      <c r="D274" s="114">
        <v>0.22415062585463338</v>
      </c>
      <c r="J274" s="22"/>
      <c r="K274" s="7" t="s">
        <v>423</v>
      </c>
      <c r="L274" s="8" t="s">
        <v>51</v>
      </c>
      <c r="M274" s="8" t="s">
        <v>52</v>
      </c>
      <c r="N274" s="72">
        <v>0.22415062585463338</v>
      </c>
    </row>
    <row r="275" spans="1:14" x14ac:dyDescent="0.25">
      <c r="A275" s="22" t="s">
        <v>424</v>
      </c>
      <c r="B275" s="22" t="s">
        <v>17</v>
      </c>
      <c r="C275" s="22" t="s">
        <v>18</v>
      </c>
      <c r="D275" s="114">
        <v>0.31618460565828982</v>
      </c>
      <c r="J275" s="22"/>
      <c r="K275" s="7" t="s">
        <v>424</v>
      </c>
      <c r="L275" s="8" t="s">
        <v>17</v>
      </c>
      <c r="M275" s="8" t="s">
        <v>18</v>
      </c>
      <c r="N275" s="72">
        <v>0.31618460565828982</v>
      </c>
    </row>
    <row r="276" spans="1:14" x14ac:dyDescent="0.25">
      <c r="A276" s="22" t="s">
        <v>425</v>
      </c>
      <c r="B276" s="22" t="s">
        <v>17</v>
      </c>
      <c r="C276" s="22" t="s">
        <v>18</v>
      </c>
      <c r="D276" s="114">
        <v>0.20591697964555422</v>
      </c>
      <c r="J276" s="22"/>
      <c r="K276" s="7" t="s">
        <v>425</v>
      </c>
      <c r="L276" s="8" t="s">
        <v>17</v>
      </c>
      <c r="M276" s="8" t="s">
        <v>18</v>
      </c>
      <c r="N276" s="72">
        <v>0.20591697964555422</v>
      </c>
    </row>
    <row r="277" spans="1:14" x14ac:dyDescent="0.25">
      <c r="A277" s="22" t="s">
        <v>426</v>
      </c>
      <c r="B277" s="22" t="s">
        <v>48</v>
      </c>
      <c r="C277" s="22" t="s">
        <v>37</v>
      </c>
      <c r="D277" s="114">
        <v>0.133361087982237</v>
      </c>
      <c r="J277" s="22"/>
      <c r="K277" s="7" t="s">
        <v>426</v>
      </c>
      <c r="L277" s="8" t="s">
        <v>48</v>
      </c>
      <c r="M277" s="8" t="s">
        <v>37</v>
      </c>
      <c r="N277" s="72">
        <v>0.133361087982237</v>
      </c>
    </row>
    <row r="278" spans="1:14" x14ac:dyDescent="0.25">
      <c r="A278" s="22" t="s">
        <v>427</v>
      </c>
      <c r="B278" s="22" t="s">
        <v>63</v>
      </c>
      <c r="C278" s="22" t="s">
        <v>37</v>
      </c>
      <c r="D278" s="114">
        <v>0.13544996803069054</v>
      </c>
      <c r="J278" s="22"/>
      <c r="K278" s="7" t="s">
        <v>427</v>
      </c>
      <c r="L278" s="8" t="s">
        <v>63</v>
      </c>
      <c r="M278" s="8" t="s">
        <v>37</v>
      </c>
      <c r="N278" s="72">
        <v>0.13544996803069054</v>
      </c>
    </row>
    <row r="279" spans="1:14" x14ac:dyDescent="0.25">
      <c r="A279" s="22" t="s">
        <v>428</v>
      </c>
      <c r="B279" s="22" t="s">
        <v>36</v>
      </c>
      <c r="C279" s="22" t="s">
        <v>37</v>
      </c>
      <c r="D279" s="114">
        <v>0.1992883703038851</v>
      </c>
      <c r="J279" s="22"/>
      <c r="K279" s="7" t="s">
        <v>428</v>
      </c>
      <c r="L279" s="8" t="s">
        <v>36</v>
      </c>
      <c r="M279" s="8" t="s">
        <v>37</v>
      </c>
      <c r="N279" s="72">
        <v>0.1992883703038851</v>
      </c>
    </row>
    <row r="280" spans="1:14" x14ac:dyDescent="0.25">
      <c r="A280" s="22" t="s">
        <v>429</v>
      </c>
      <c r="B280" s="22" t="s">
        <v>56</v>
      </c>
      <c r="C280" s="22" t="s">
        <v>57</v>
      </c>
      <c r="D280" s="114">
        <v>0.38388307940546751</v>
      </c>
      <c r="J280" s="22"/>
      <c r="K280" s="7" t="s">
        <v>429</v>
      </c>
      <c r="L280" s="8" t="s">
        <v>56</v>
      </c>
      <c r="M280" s="8" t="s">
        <v>57</v>
      </c>
      <c r="N280" s="72">
        <v>0.38388307940546751</v>
      </c>
    </row>
    <row r="281" spans="1:14" x14ac:dyDescent="0.25">
      <c r="A281" s="22" t="s">
        <v>430</v>
      </c>
      <c r="B281" s="22" t="s">
        <v>60</v>
      </c>
      <c r="C281" s="22" t="s">
        <v>52</v>
      </c>
      <c r="D281" s="114">
        <v>0.20858600103417477</v>
      </c>
      <c r="J281" s="22"/>
      <c r="K281" s="7" t="s">
        <v>430</v>
      </c>
      <c r="L281" s="8" t="s">
        <v>60</v>
      </c>
      <c r="M281" s="8" t="s">
        <v>52</v>
      </c>
      <c r="N281" s="72">
        <v>0.20858600103417477</v>
      </c>
    </row>
    <row r="282" spans="1:14" x14ac:dyDescent="0.25">
      <c r="A282" s="22" t="s">
        <v>431</v>
      </c>
      <c r="B282" s="22" t="s">
        <v>25</v>
      </c>
      <c r="C282" s="22" t="s">
        <v>18</v>
      </c>
      <c r="D282" s="114">
        <v>0.21862203507687558</v>
      </c>
      <c r="J282" s="22"/>
      <c r="K282" s="7" t="s">
        <v>431</v>
      </c>
      <c r="L282" s="8" t="s">
        <v>25</v>
      </c>
      <c r="M282" s="8" t="s">
        <v>18</v>
      </c>
      <c r="N282" s="72">
        <v>0.21862203507687558</v>
      </c>
    </row>
    <row r="283" spans="1:14" x14ac:dyDescent="0.25">
      <c r="A283" s="22" t="s">
        <v>432</v>
      </c>
      <c r="B283" s="22" t="s">
        <v>43</v>
      </c>
      <c r="C283" s="22" t="s">
        <v>44</v>
      </c>
      <c r="D283" s="114">
        <v>0.38655888380565961</v>
      </c>
      <c r="J283" s="22"/>
      <c r="K283" s="7" t="s">
        <v>432</v>
      </c>
      <c r="L283" s="8" t="s">
        <v>43</v>
      </c>
      <c r="M283" s="8" t="s">
        <v>44</v>
      </c>
      <c r="N283" s="72">
        <v>0.38655888380565961</v>
      </c>
    </row>
    <row r="284" spans="1:14" x14ac:dyDescent="0.25">
      <c r="A284" s="22" t="s">
        <v>433</v>
      </c>
      <c r="B284" s="22" t="s">
        <v>48</v>
      </c>
      <c r="C284" s="22" t="s">
        <v>37</v>
      </c>
      <c r="D284" s="114">
        <v>0.21606270035713851</v>
      </c>
      <c r="J284" s="22"/>
      <c r="K284" s="7" t="s">
        <v>433</v>
      </c>
      <c r="L284" s="8" t="s">
        <v>48</v>
      </c>
      <c r="M284" s="8" t="s">
        <v>37</v>
      </c>
      <c r="N284" s="72">
        <v>0.21606270035713851</v>
      </c>
    </row>
    <row r="285" spans="1:14" x14ac:dyDescent="0.25">
      <c r="A285" s="22" t="s">
        <v>434</v>
      </c>
      <c r="B285" s="22" t="s">
        <v>60</v>
      </c>
      <c r="C285" s="22" t="s">
        <v>52</v>
      </c>
      <c r="D285" s="114">
        <v>0.39494530365899655</v>
      </c>
      <c r="J285" s="22"/>
      <c r="K285" s="7" t="s">
        <v>434</v>
      </c>
      <c r="L285" s="8" t="s">
        <v>60</v>
      </c>
      <c r="M285" s="8" t="s">
        <v>52</v>
      </c>
      <c r="N285" s="72">
        <v>0.39494530365899655</v>
      </c>
    </row>
    <row r="286" spans="1:14" x14ac:dyDescent="0.25">
      <c r="A286" s="22" t="s">
        <v>435</v>
      </c>
      <c r="B286" s="22" t="s">
        <v>17</v>
      </c>
      <c r="C286" s="22" t="s">
        <v>18</v>
      </c>
      <c r="D286" s="114">
        <v>0.32856896848630962</v>
      </c>
      <c r="J286" s="22"/>
      <c r="K286" s="7" t="s">
        <v>435</v>
      </c>
      <c r="L286" s="8" t="s">
        <v>17</v>
      </c>
      <c r="M286" s="8" t="s">
        <v>18</v>
      </c>
      <c r="N286" s="72">
        <v>0.32856896848630962</v>
      </c>
    </row>
    <row r="287" spans="1:14" x14ac:dyDescent="0.25">
      <c r="A287" s="22" t="s">
        <v>436</v>
      </c>
      <c r="B287" s="22" t="s">
        <v>36</v>
      </c>
      <c r="C287" s="22" t="s">
        <v>37</v>
      </c>
      <c r="D287" s="114">
        <v>0.2722860267979218</v>
      </c>
      <c r="J287" s="22"/>
      <c r="K287" s="7" t="s">
        <v>436</v>
      </c>
      <c r="L287" s="8" t="s">
        <v>36</v>
      </c>
      <c r="M287" s="8" t="s">
        <v>37</v>
      </c>
      <c r="N287" s="72">
        <v>0.2722860267979218</v>
      </c>
    </row>
    <row r="288" spans="1:14" x14ac:dyDescent="0.25">
      <c r="A288" s="22" t="s">
        <v>437</v>
      </c>
      <c r="B288" s="22" t="s">
        <v>48</v>
      </c>
      <c r="C288" s="22" t="s">
        <v>37</v>
      </c>
      <c r="D288" s="114">
        <v>0.30868184437268015</v>
      </c>
      <c r="J288" s="22"/>
      <c r="K288" s="7" t="s">
        <v>437</v>
      </c>
      <c r="L288" s="8" t="s">
        <v>48</v>
      </c>
      <c r="M288" s="8" t="s">
        <v>37</v>
      </c>
      <c r="N288" s="72">
        <v>0.30868184437268015</v>
      </c>
    </row>
    <row r="289" spans="1:14" x14ac:dyDescent="0.25">
      <c r="A289" s="22" t="s">
        <v>438</v>
      </c>
      <c r="B289" s="22" t="s">
        <v>83</v>
      </c>
      <c r="C289" s="22" t="s">
        <v>52</v>
      </c>
      <c r="D289" s="114">
        <v>0.1595569440499858</v>
      </c>
      <c r="J289" s="22"/>
      <c r="K289" s="7" t="s">
        <v>438</v>
      </c>
      <c r="L289" s="8" t="s">
        <v>83</v>
      </c>
      <c r="M289" s="8" t="s">
        <v>52</v>
      </c>
      <c r="N289" s="72">
        <v>0.1595569440499858</v>
      </c>
    </row>
    <row r="290" spans="1:14" x14ac:dyDescent="0.25">
      <c r="A290" s="22" t="s">
        <v>439</v>
      </c>
      <c r="B290" s="22" t="s">
        <v>83</v>
      </c>
      <c r="C290" s="22" t="s">
        <v>52</v>
      </c>
      <c r="D290" s="114">
        <v>0.33563081153442603</v>
      </c>
      <c r="J290" s="22"/>
      <c r="K290" s="7" t="s">
        <v>439</v>
      </c>
      <c r="L290" s="8" t="s">
        <v>83</v>
      </c>
      <c r="M290" s="8" t="s">
        <v>52</v>
      </c>
      <c r="N290" s="72">
        <v>0.33563081153442603</v>
      </c>
    </row>
    <row r="291" spans="1:14" x14ac:dyDescent="0.25">
      <c r="A291" s="22" t="s">
        <v>440</v>
      </c>
      <c r="B291" s="22" t="s">
        <v>60</v>
      </c>
      <c r="C291" s="22" t="s">
        <v>52</v>
      </c>
      <c r="D291" s="114">
        <v>0.11675151515151515</v>
      </c>
      <c r="J291" s="22"/>
      <c r="K291" s="7" t="s">
        <v>440</v>
      </c>
      <c r="L291" s="8" t="s">
        <v>60</v>
      </c>
      <c r="M291" s="8" t="s">
        <v>52</v>
      </c>
      <c r="N291" s="72">
        <v>0.11675151515151515</v>
      </c>
    </row>
    <row r="292" spans="1:14" x14ac:dyDescent="0.25">
      <c r="A292" s="22" t="s">
        <v>441</v>
      </c>
      <c r="B292" s="22" t="s">
        <v>48</v>
      </c>
      <c r="C292" s="22" t="s">
        <v>37</v>
      </c>
      <c r="D292" s="114">
        <v>0.31796452169162215</v>
      </c>
      <c r="J292" s="22"/>
      <c r="K292" s="7" t="s">
        <v>441</v>
      </c>
      <c r="L292" s="8" t="s">
        <v>48</v>
      </c>
      <c r="M292" s="8" t="s">
        <v>37</v>
      </c>
      <c r="N292" s="72">
        <v>0.31796452169162215</v>
      </c>
    </row>
    <row r="293" spans="1:14" x14ac:dyDescent="0.25">
      <c r="A293" s="22" t="s">
        <v>442</v>
      </c>
      <c r="B293" s="22" t="s">
        <v>48</v>
      </c>
      <c r="C293" s="22" t="s">
        <v>37</v>
      </c>
      <c r="D293" s="114">
        <v>0.36275108699558012</v>
      </c>
      <c r="J293" s="22"/>
      <c r="K293" s="7" t="s">
        <v>442</v>
      </c>
      <c r="L293" s="8" t="s">
        <v>48</v>
      </c>
      <c r="M293" s="8" t="s">
        <v>37</v>
      </c>
      <c r="N293" s="72">
        <v>0.36275108699558012</v>
      </c>
    </row>
    <row r="294" spans="1:14" x14ac:dyDescent="0.25">
      <c r="A294" s="22" t="s">
        <v>443</v>
      </c>
      <c r="B294" s="22" t="s">
        <v>83</v>
      </c>
      <c r="C294" s="22" t="s">
        <v>52</v>
      </c>
      <c r="D294" s="114">
        <v>0.32250061259495222</v>
      </c>
      <c r="J294" s="22"/>
      <c r="K294" s="7" t="s">
        <v>443</v>
      </c>
      <c r="L294" s="8" t="s">
        <v>83</v>
      </c>
      <c r="M294" s="8" t="s">
        <v>52</v>
      </c>
      <c r="N294" s="72">
        <v>0.32250061259495222</v>
      </c>
    </row>
    <row r="295" spans="1:14" x14ac:dyDescent="0.25">
      <c r="A295" s="22" t="s">
        <v>444</v>
      </c>
      <c r="B295" s="22" t="s">
        <v>25</v>
      </c>
      <c r="C295" s="22" t="s">
        <v>18</v>
      </c>
      <c r="D295" s="114">
        <v>0.23395236172789666</v>
      </c>
      <c r="J295" s="22"/>
      <c r="K295" s="7" t="s">
        <v>444</v>
      </c>
      <c r="L295" s="8" t="s">
        <v>25</v>
      </c>
      <c r="M295" s="8" t="s">
        <v>18</v>
      </c>
      <c r="N295" s="72">
        <v>0.23395236172789666</v>
      </c>
    </row>
    <row r="296" spans="1:14" x14ac:dyDescent="0.25">
      <c r="A296" s="22" t="s">
        <v>445</v>
      </c>
      <c r="B296" s="22" t="s">
        <v>43</v>
      </c>
      <c r="C296" s="22" t="s">
        <v>44</v>
      </c>
      <c r="D296" s="114">
        <v>0.2277830723848423</v>
      </c>
      <c r="J296" s="22"/>
      <c r="K296" s="7" t="s">
        <v>445</v>
      </c>
      <c r="L296" s="8" t="s">
        <v>43</v>
      </c>
      <c r="M296" s="8" t="s">
        <v>44</v>
      </c>
      <c r="N296" s="72">
        <v>0.2277830723848423</v>
      </c>
    </row>
    <row r="297" spans="1:14" x14ac:dyDescent="0.25">
      <c r="A297" s="22" t="s">
        <v>446</v>
      </c>
      <c r="B297" s="22" t="s">
        <v>60</v>
      </c>
      <c r="C297" s="22" t="s">
        <v>52</v>
      </c>
      <c r="D297" s="114">
        <v>0.28862973760932942</v>
      </c>
      <c r="J297" s="22"/>
      <c r="K297" s="7" t="s">
        <v>446</v>
      </c>
      <c r="L297" s="8" t="s">
        <v>60</v>
      </c>
      <c r="M297" s="8" t="s">
        <v>52</v>
      </c>
      <c r="N297" s="72">
        <v>0.28862973760932942</v>
      </c>
    </row>
    <row r="298" spans="1:14" x14ac:dyDescent="0.25">
      <c r="A298" s="22" t="s">
        <v>447</v>
      </c>
      <c r="B298" s="22" t="s">
        <v>56</v>
      </c>
      <c r="C298" s="22" t="s">
        <v>57</v>
      </c>
      <c r="D298" s="114">
        <v>0.27452070019449848</v>
      </c>
      <c r="J298" s="22"/>
      <c r="K298" s="7" t="s">
        <v>447</v>
      </c>
      <c r="L298" s="8" t="s">
        <v>56</v>
      </c>
      <c r="M298" s="8" t="s">
        <v>57</v>
      </c>
      <c r="N298" s="72">
        <v>0.27452070019449848</v>
      </c>
    </row>
    <row r="299" spans="1:14" x14ac:dyDescent="0.25">
      <c r="A299" s="22" t="s">
        <v>448</v>
      </c>
      <c r="B299" s="22" t="s">
        <v>48</v>
      </c>
      <c r="C299" s="22" t="s">
        <v>37</v>
      </c>
      <c r="D299" s="114">
        <v>0.15740667976424363</v>
      </c>
      <c r="J299" s="22"/>
      <c r="K299" s="7" t="s">
        <v>448</v>
      </c>
      <c r="L299" s="8" t="s">
        <v>48</v>
      </c>
      <c r="M299" s="8" t="s">
        <v>37</v>
      </c>
      <c r="N299" s="72">
        <v>0.15740667976424363</v>
      </c>
    </row>
    <row r="300" spans="1:14" x14ac:dyDescent="0.25">
      <c r="A300" s="22" t="s">
        <v>449</v>
      </c>
      <c r="B300" s="22" t="s">
        <v>60</v>
      </c>
      <c r="C300" s="22" t="s">
        <v>52</v>
      </c>
      <c r="D300" s="114">
        <v>0.17622461170848266</v>
      </c>
      <c r="J300" s="22"/>
      <c r="K300" s="7" t="s">
        <v>449</v>
      </c>
      <c r="L300" s="8" t="s">
        <v>60</v>
      </c>
      <c r="M300" s="8" t="s">
        <v>52</v>
      </c>
      <c r="N300" s="72">
        <v>0.17622461170848266</v>
      </c>
    </row>
    <row r="301" spans="1:14" x14ac:dyDescent="0.25">
      <c r="A301" s="22" t="s">
        <v>450</v>
      </c>
      <c r="B301" s="22" t="s">
        <v>63</v>
      </c>
      <c r="C301" s="22" t="s">
        <v>37</v>
      </c>
      <c r="D301" s="114">
        <v>0.35826242722794449</v>
      </c>
      <c r="J301" s="22"/>
      <c r="K301" s="7" t="s">
        <v>450</v>
      </c>
      <c r="L301" s="8" t="s">
        <v>63</v>
      </c>
      <c r="M301" s="8" t="s">
        <v>37</v>
      </c>
      <c r="N301" s="72">
        <v>0.35826242722794449</v>
      </c>
    </row>
    <row r="302" spans="1:14" x14ac:dyDescent="0.25">
      <c r="A302" s="22" t="s">
        <v>451</v>
      </c>
      <c r="B302" s="22" t="s">
        <v>36</v>
      </c>
      <c r="C302" s="22" t="s">
        <v>37</v>
      </c>
      <c r="D302" s="114">
        <v>0.14977234852221225</v>
      </c>
      <c r="J302" s="22"/>
      <c r="K302" s="7" t="s">
        <v>451</v>
      </c>
      <c r="L302" s="8" t="s">
        <v>36</v>
      </c>
      <c r="M302" s="8" t="s">
        <v>37</v>
      </c>
      <c r="N302" s="72">
        <v>0.14977234852221225</v>
      </c>
    </row>
    <row r="303" spans="1:14" x14ac:dyDescent="0.25">
      <c r="A303" s="22" t="s">
        <v>452</v>
      </c>
      <c r="B303" s="22" t="s">
        <v>60</v>
      </c>
      <c r="C303" s="22" t="s">
        <v>52</v>
      </c>
      <c r="D303" s="114">
        <v>0.28373275236020334</v>
      </c>
      <c r="J303" s="22"/>
      <c r="K303" s="7" t="s">
        <v>452</v>
      </c>
      <c r="L303" s="8" t="s">
        <v>60</v>
      </c>
      <c r="M303" s="8" t="s">
        <v>52</v>
      </c>
      <c r="N303" s="72">
        <v>0.28373275236020334</v>
      </c>
    </row>
    <row r="304" spans="1:14" x14ac:dyDescent="0.25">
      <c r="A304" s="22" t="s">
        <v>453</v>
      </c>
      <c r="B304" s="22" t="s">
        <v>48</v>
      </c>
      <c r="C304" s="22" t="s">
        <v>37</v>
      </c>
      <c r="D304" s="114">
        <v>0.21486291486291489</v>
      </c>
      <c r="J304" s="22"/>
      <c r="K304" s="7" t="s">
        <v>453</v>
      </c>
      <c r="L304" s="8" t="s">
        <v>48</v>
      </c>
      <c r="M304" s="8" t="s">
        <v>37</v>
      </c>
      <c r="N304" s="72">
        <v>0.21486291486291489</v>
      </c>
    </row>
    <row r="305" spans="1:14" x14ac:dyDescent="0.25">
      <c r="A305" s="22" t="s">
        <v>454</v>
      </c>
      <c r="B305" s="22" t="s">
        <v>43</v>
      </c>
      <c r="C305" s="22" t="s">
        <v>44</v>
      </c>
      <c r="D305" s="114">
        <v>0.35132863956393368</v>
      </c>
      <c r="J305" s="22"/>
      <c r="K305" s="7" t="s">
        <v>454</v>
      </c>
      <c r="L305" s="8" t="s">
        <v>43</v>
      </c>
      <c r="M305" s="8" t="s">
        <v>44</v>
      </c>
      <c r="N305" s="72">
        <v>0.35132863956393368</v>
      </c>
    </row>
    <row r="306" spans="1:14" x14ac:dyDescent="0.25">
      <c r="A306" s="22" t="s">
        <v>455</v>
      </c>
      <c r="B306" s="22" t="s">
        <v>48</v>
      </c>
      <c r="C306" s="22" t="s">
        <v>37</v>
      </c>
      <c r="D306" s="114">
        <v>0.18285777031796577</v>
      </c>
      <c r="J306" s="22"/>
      <c r="K306" s="7" t="s">
        <v>455</v>
      </c>
      <c r="L306" s="8" t="s">
        <v>48</v>
      </c>
      <c r="M306" s="8" t="s">
        <v>37</v>
      </c>
      <c r="N306" s="72">
        <v>0.18285777031796577</v>
      </c>
    </row>
    <row r="307" spans="1:14" x14ac:dyDescent="0.25">
      <c r="A307" s="22" t="s">
        <v>456</v>
      </c>
      <c r="B307" s="22" t="s">
        <v>56</v>
      </c>
      <c r="C307" s="22" t="s">
        <v>57</v>
      </c>
      <c r="D307" s="114">
        <v>0.18465736810187994</v>
      </c>
      <c r="J307" s="22"/>
      <c r="K307" s="7" t="s">
        <v>456</v>
      </c>
      <c r="L307" s="8" t="s">
        <v>56</v>
      </c>
      <c r="M307" s="8" t="s">
        <v>57</v>
      </c>
      <c r="N307" s="72">
        <v>0.18465736810187994</v>
      </c>
    </row>
    <row r="308" spans="1:14" x14ac:dyDescent="0.25">
      <c r="A308" s="22" t="s">
        <v>457</v>
      </c>
      <c r="B308" s="22" t="s">
        <v>63</v>
      </c>
      <c r="C308" s="22" t="s">
        <v>37</v>
      </c>
      <c r="D308" s="114">
        <v>0.34218240141585088</v>
      </c>
      <c r="J308" s="22"/>
      <c r="K308" s="7" t="s">
        <v>457</v>
      </c>
      <c r="L308" s="8" t="s">
        <v>63</v>
      </c>
      <c r="M308" s="8" t="s">
        <v>37</v>
      </c>
      <c r="N308" s="72">
        <v>0.34218240141585088</v>
      </c>
    </row>
    <row r="309" spans="1:14" x14ac:dyDescent="0.25">
      <c r="A309" s="22" t="s">
        <v>458</v>
      </c>
      <c r="B309" s="22" t="s">
        <v>17</v>
      </c>
      <c r="C309" s="22" t="s">
        <v>18</v>
      </c>
      <c r="D309" s="114">
        <v>0.26174631982254487</v>
      </c>
      <c r="J309" s="22"/>
      <c r="K309" s="7" t="s">
        <v>458</v>
      </c>
      <c r="L309" s="8" t="s">
        <v>17</v>
      </c>
      <c r="M309" s="8" t="s">
        <v>18</v>
      </c>
      <c r="N309" s="72">
        <v>0.26174631982254487</v>
      </c>
    </row>
    <row r="310" spans="1:14" x14ac:dyDescent="0.25">
      <c r="A310" s="22" t="s">
        <v>459</v>
      </c>
      <c r="B310" s="22" t="s">
        <v>36</v>
      </c>
      <c r="C310" s="22" t="s">
        <v>37</v>
      </c>
      <c r="D310" s="114">
        <v>0.19520520758910853</v>
      </c>
      <c r="J310" s="22"/>
      <c r="K310" s="7" t="s">
        <v>459</v>
      </c>
      <c r="L310" s="8" t="s">
        <v>36</v>
      </c>
      <c r="M310" s="8" t="s">
        <v>37</v>
      </c>
      <c r="N310" s="72">
        <v>0.19520520758910853</v>
      </c>
    </row>
    <row r="311" spans="1:14" x14ac:dyDescent="0.25">
      <c r="A311" s="22" t="s">
        <v>460</v>
      </c>
      <c r="B311" s="22" t="s">
        <v>17</v>
      </c>
      <c r="C311" s="22" t="s">
        <v>18</v>
      </c>
      <c r="D311" s="114">
        <v>0.22062236286919831</v>
      </c>
      <c r="J311" s="22"/>
      <c r="K311" s="7" t="s">
        <v>460</v>
      </c>
      <c r="L311" s="8" t="s">
        <v>17</v>
      </c>
      <c r="M311" s="8" t="s">
        <v>18</v>
      </c>
      <c r="N311" s="72">
        <v>0.22062236286919831</v>
      </c>
    </row>
    <row r="312" spans="1:14" x14ac:dyDescent="0.25">
      <c r="A312" s="22" t="s">
        <v>461</v>
      </c>
      <c r="B312" s="22" t="s">
        <v>48</v>
      </c>
      <c r="C312" s="22" t="s">
        <v>37</v>
      </c>
      <c r="D312" s="114">
        <v>0.38165694282380397</v>
      </c>
      <c r="J312" s="22"/>
      <c r="K312" s="7" t="s">
        <v>461</v>
      </c>
      <c r="L312" s="8" t="s">
        <v>48</v>
      </c>
      <c r="M312" s="8" t="s">
        <v>37</v>
      </c>
      <c r="N312" s="72">
        <v>0.38165694282380397</v>
      </c>
    </row>
    <row r="313" spans="1:14" x14ac:dyDescent="0.25">
      <c r="A313" s="22" t="s">
        <v>462</v>
      </c>
      <c r="B313" s="22" t="s">
        <v>25</v>
      </c>
      <c r="C313" s="22" t="s">
        <v>18</v>
      </c>
      <c r="D313" s="114">
        <v>0.31846886696155158</v>
      </c>
      <c r="J313" s="22"/>
      <c r="K313" s="7" t="s">
        <v>462</v>
      </c>
      <c r="L313" s="8" t="s">
        <v>25</v>
      </c>
      <c r="M313" s="8" t="s">
        <v>18</v>
      </c>
      <c r="N313" s="72">
        <v>0.31846886696155158</v>
      </c>
    </row>
    <row r="314" spans="1:14" x14ac:dyDescent="0.25">
      <c r="A314" s="22" t="s">
        <v>463</v>
      </c>
      <c r="B314" s="22" t="s">
        <v>25</v>
      </c>
      <c r="C314" s="22" t="s">
        <v>18</v>
      </c>
      <c r="D314" s="114">
        <v>0.33206270958126732</v>
      </c>
      <c r="J314" s="22"/>
      <c r="K314" s="7" t="s">
        <v>463</v>
      </c>
      <c r="L314" s="8" t="s">
        <v>25</v>
      </c>
      <c r="M314" s="8" t="s">
        <v>18</v>
      </c>
      <c r="N314" s="72">
        <v>0.33206270958126732</v>
      </c>
    </row>
    <row r="315" spans="1:14" x14ac:dyDescent="0.25">
      <c r="A315" s="22" t="s">
        <v>464</v>
      </c>
      <c r="B315" s="22" t="s">
        <v>63</v>
      </c>
      <c r="C315" s="22" t="s">
        <v>37</v>
      </c>
      <c r="D315" s="114">
        <v>0.27937267410951627</v>
      </c>
      <c r="J315" s="22"/>
      <c r="K315" s="7" t="s">
        <v>464</v>
      </c>
      <c r="L315" s="8" t="s">
        <v>63</v>
      </c>
      <c r="M315" s="8" t="s">
        <v>37</v>
      </c>
      <c r="N315" s="72">
        <v>0.27937267410951627</v>
      </c>
    </row>
    <row r="316" spans="1:14" x14ac:dyDescent="0.25">
      <c r="A316" s="22" t="s">
        <v>466</v>
      </c>
      <c r="B316" s="22" t="s">
        <v>51</v>
      </c>
      <c r="C316" s="22" t="s">
        <v>52</v>
      </c>
      <c r="D316" s="114">
        <v>0.16346153846153846</v>
      </c>
      <c r="J316" s="22"/>
      <c r="K316" s="7" t="s">
        <v>466</v>
      </c>
      <c r="L316" s="8" t="s">
        <v>51</v>
      </c>
      <c r="M316" s="8" t="s">
        <v>52</v>
      </c>
      <c r="N316" s="72">
        <v>0.16346153846153846</v>
      </c>
    </row>
    <row r="317" spans="1:14" x14ac:dyDescent="0.25">
      <c r="A317" s="22" t="s">
        <v>467</v>
      </c>
      <c r="B317" s="22" t="s">
        <v>51</v>
      </c>
      <c r="C317" s="22" t="s">
        <v>52</v>
      </c>
      <c r="D317" s="114">
        <v>0.14403375149342892</v>
      </c>
      <c r="J317" s="22"/>
      <c r="K317" s="7" t="s">
        <v>467</v>
      </c>
      <c r="L317" s="8" t="s">
        <v>51</v>
      </c>
      <c r="M317" s="8" t="s">
        <v>52</v>
      </c>
      <c r="N317" s="72">
        <v>0.14403375149342892</v>
      </c>
    </row>
    <row r="318" spans="1:14" x14ac:dyDescent="0.25">
      <c r="A318" s="22" t="s">
        <v>468</v>
      </c>
      <c r="B318" s="22" t="s">
        <v>56</v>
      </c>
      <c r="C318" s="22" t="s">
        <v>57</v>
      </c>
      <c r="D318" s="114">
        <v>0.29117527073134547</v>
      </c>
      <c r="J318" s="22"/>
      <c r="K318" s="7" t="s">
        <v>468</v>
      </c>
      <c r="L318" s="8" t="s">
        <v>56</v>
      </c>
      <c r="M318" s="8" t="s">
        <v>57</v>
      </c>
      <c r="N318" s="72">
        <v>0.29117527073134547</v>
      </c>
    </row>
    <row r="319" spans="1:14" x14ac:dyDescent="0.25">
      <c r="A319" s="22" t="s">
        <v>469</v>
      </c>
      <c r="B319" s="22" t="s">
        <v>51</v>
      </c>
      <c r="C319" s="22" t="s">
        <v>52</v>
      </c>
      <c r="D319" s="114">
        <v>0.22581022581022583</v>
      </c>
      <c r="J319" s="22"/>
      <c r="K319" s="7" t="s">
        <v>469</v>
      </c>
      <c r="L319" s="8" t="s">
        <v>51</v>
      </c>
      <c r="M319" s="8" t="s">
        <v>52</v>
      </c>
      <c r="N319" s="72">
        <v>0.22581022581022583</v>
      </c>
    </row>
    <row r="320" spans="1:14" x14ac:dyDescent="0.25">
      <c r="A320" s="22" t="s">
        <v>470</v>
      </c>
      <c r="B320" s="22" t="s">
        <v>48</v>
      </c>
      <c r="C320" s="22" t="s">
        <v>37</v>
      </c>
      <c r="D320" s="114">
        <v>0.20405541792825033</v>
      </c>
      <c r="J320" s="22"/>
      <c r="K320" s="7" t="s">
        <v>470</v>
      </c>
      <c r="L320" s="8" t="s">
        <v>48</v>
      </c>
      <c r="M320" s="8" t="s">
        <v>37</v>
      </c>
      <c r="N320" s="72">
        <v>0.20405541792825033</v>
      </c>
    </row>
    <row r="321" spans="1:14" x14ac:dyDescent="0.25">
      <c r="A321" s="22" t="s">
        <v>471</v>
      </c>
      <c r="B321" s="22" t="s">
        <v>56</v>
      </c>
      <c r="C321" s="22" t="s">
        <v>57</v>
      </c>
      <c r="D321" s="114">
        <v>9.3578691423519017E-2</v>
      </c>
      <c r="J321" s="22"/>
      <c r="K321" s="7" t="s">
        <v>471</v>
      </c>
      <c r="L321" s="8" t="s">
        <v>56</v>
      </c>
      <c r="M321" s="8" t="s">
        <v>57</v>
      </c>
      <c r="N321" s="72">
        <v>9.3578691423519017E-2</v>
      </c>
    </row>
    <row r="322" spans="1:14" x14ac:dyDescent="0.25">
      <c r="A322" s="22" t="s">
        <v>472</v>
      </c>
      <c r="B322" s="22" t="s">
        <v>48</v>
      </c>
      <c r="C322" s="22" t="s">
        <v>37</v>
      </c>
      <c r="D322" s="114">
        <v>0.27408424908424911</v>
      </c>
      <c r="J322" s="22"/>
      <c r="K322" s="7" t="s">
        <v>472</v>
      </c>
      <c r="L322" s="8" t="s">
        <v>48</v>
      </c>
      <c r="M322" s="8" t="s">
        <v>37</v>
      </c>
      <c r="N322" s="72">
        <v>0.27408424908424911</v>
      </c>
    </row>
    <row r="323" spans="1:14" x14ac:dyDescent="0.25">
      <c r="A323" s="22" t="s">
        <v>474</v>
      </c>
      <c r="B323" s="22" t="s">
        <v>48</v>
      </c>
      <c r="C323" s="22" t="s">
        <v>37</v>
      </c>
      <c r="D323" s="114">
        <v>0.20285152409046212</v>
      </c>
      <c r="J323" s="22"/>
      <c r="K323" s="7" t="s">
        <v>474</v>
      </c>
      <c r="L323" s="8" t="s">
        <v>48</v>
      </c>
      <c r="M323" s="8" t="s">
        <v>37</v>
      </c>
      <c r="N323" s="72">
        <v>0.20285152409046212</v>
      </c>
    </row>
    <row r="324" spans="1:14" x14ac:dyDescent="0.25">
      <c r="A324" s="22" t="s">
        <v>475</v>
      </c>
      <c r="B324" s="22" t="s">
        <v>63</v>
      </c>
      <c r="C324" s="22" t="s">
        <v>37</v>
      </c>
      <c r="D324" s="114">
        <v>0.2594783962631374</v>
      </c>
      <c r="J324" s="22"/>
      <c r="K324" s="7" t="s">
        <v>475</v>
      </c>
      <c r="L324" s="8" t="s">
        <v>63</v>
      </c>
      <c r="M324" s="8" t="s">
        <v>37</v>
      </c>
      <c r="N324" s="72">
        <v>0.2594783962631374</v>
      </c>
    </row>
    <row r="325" spans="1:14" x14ac:dyDescent="0.25">
      <c r="A325" s="22" t="s">
        <v>476</v>
      </c>
      <c r="B325" s="22" t="s">
        <v>17</v>
      </c>
      <c r="C325" s="22" t="s">
        <v>18</v>
      </c>
      <c r="D325" s="114">
        <v>0.28280770380028791</v>
      </c>
      <c r="J325" s="22"/>
      <c r="K325" s="7" t="s">
        <v>476</v>
      </c>
      <c r="L325" s="8" t="s">
        <v>17</v>
      </c>
      <c r="M325" s="8" t="s">
        <v>18</v>
      </c>
      <c r="N325" s="72">
        <v>0.28280770380028791</v>
      </c>
    </row>
    <row r="326" spans="1:14" x14ac:dyDescent="0.25">
      <c r="A326" s="22" t="s">
        <v>477</v>
      </c>
      <c r="B326" s="22" t="s">
        <v>83</v>
      </c>
      <c r="C326" s="22" t="s">
        <v>52</v>
      </c>
      <c r="D326" s="114">
        <v>0.32477375565610861</v>
      </c>
      <c r="J326" s="22"/>
      <c r="K326" s="7" t="s">
        <v>477</v>
      </c>
      <c r="L326" s="8" t="s">
        <v>83</v>
      </c>
      <c r="M326" s="8" t="s">
        <v>52</v>
      </c>
      <c r="N326" s="72">
        <v>0.32477375565610861</v>
      </c>
    </row>
    <row r="327" spans="1:14" x14ac:dyDescent="0.25">
      <c r="A327" s="22" t="s">
        <v>478</v>
      </c>
      <c r="B327" s="22" t="s">
        <v>17</v>
      </c>
      <c r="C327" s="22" t="s">
        <v>18</v>
      </c>
      <c r="D327" s="114">
        <v>0.38605762054037918</v>
      </c>
      <c r="J327" s="22"/>
      <c r="K327" s="7" t="s">
        <v>478</v>
      </c>
      <c r="L327" s="8" t="s">
        <v>17</v>
      </c>
      <c r="M327" s="8" t="s">
        <v>18</v>
      </c>
      <c r="N327" s="72">
        <v>0.38605762054037918</v>
      </c>
    </row>
    <row r="328" spans="1:14" x14ac:dyDescent="0.25">
      <c r="A328" s="22" t="s">
        <v>479</v>
      </c>
      <c r="B328" s="22" t="s">
        <v>63</v>
      </c>
      <c r="C328" s="22" t="s">
        <v>37</v>
      </c>
      <c r="D328" s="114">
        <v>0.3510821615660325</v>
      </c>
      <c r="J328" s="22"/>
      <c r="K328" s="7" t="s">
        <v>479</v>
      </c>
      <c r="L328" s="8" t="s">
        <v>63</v>
      </c>
      <c r="M328" s="8" t="s">
        <v>37</v>
      </c>
      <c r="N328" s="72">
        <v>0.3510821615660325</v>
      </c>
    </row>
    <row r="329" spans="1:14" x14ac:dyDescent="0.25">
      <c r="A329" s="22" t="s">
        <v>480</v>
      </c>
      <c r="B329" s="22" t="s">
        <v>83</v>
      </c>
      <c r="C329" s="22" t="s">
        <v>52</v>
      </c>
      <c r="D329" s="114">
        <v>0.28104144394739844</v>
      </c>
      <c r="J329" s="22"/>
      <c r="K329" s="7" t="s">
        <v>480</v>
      </c>
      <c r="L329" s="8" t="s">
        <v>83</v>
      </c>
      <c r="M329" s="8" t="s">
        <v>52</v>
      </c>
      <c r="N329" s="72">
        <v>0.28104144394739844</v>
      </c>
    </row>
    <row r="330" spans="1:14" x14ac:dyDescent="0.25">
      <c r="A330" s="22" t="s">
        <v>481</v>
      </c>
      <c r="B330" s="22" t="s">
        <v>63</v>
      </c>
      <c r="C330" s="22" t="s">
        <v>37</v>
      </c>
      <c r="D330" s="114">
        <v>0.3446218192966321</v>
      </c>
      <c r="J330" s="22"/>
      <c r="K330" s="7" t="s">
        <v>481</v>
      </c>
      <c r="L330" s="8" t="s">
        <v>63</v>
      </c>
      <c r="M330" s="8" t="s">
        <v>37</v>
      </c>
      <c r="N330" s="72">
        <v>0.3446218192966321</v>
      </c>
    </row>
    <row r="331" spans="1:14" x14ac:dyDescent="0.25">
      <c r="A331" s="22" t="s">
        <v>482</v>
      </c>
      <c r="B331" s="22" t="s">
        <v>51</v>
      </c>
      <c r="C331" s="22" t="s">
        <v>52</v>
      </c>
      <c r="D331" s="114">
        <v>0.31096863077575237</v>
      </c>
      <c r="J331" s="22"/>
      <c r="K331" s="7" t="s">
        <v>482</v>
      </c>
      <c r="L331" s="8" t="s">
        <v>51</v>
      </c>
      <c r="M331" s="8" t="s">
        <v>52</v>
      </c>
      <c r="N331" s="72">
        <v>0.31096863077575237</v>
      </c>
    </row>
    <row r="332" spans="1:14" x14ac:dyDescent="0.25">
      <c r="A332" s="22" t="s">
        <v>484</v>
      </c>
      <c r="B332" s="22" t="s">
        <v>17</v>
      </c>
      <c r="C332" s="22" t="s">
        <v>18</v>
      </c>
      <c r="D332" s="114">
        <v>0.12854240615405685</v>
      </c>
      <c r="J332" s="22"/>
      <c r="K332" s="7" t="s">
        <v>484</v>
      </c>
      <c r="L332" s="8" t="s">
        <v>17</v>
      </c>
      <c r="M332" s="8" t="s">
        <v>18</v>
      </c>
      <c r="N332" s="72">
        <v>0.12854240615405685</v>
      </c>
    </row>
    <row r="333" spans="1:14" x14ac:dyDescent="0.25">
      <c r="A333" s="22" t="s">
        <v>485</v>
      </c>
      <c r="B333" s="22" t="s">
        <v>48</v>
      </c>
      <c r="C333" s="22" t="s">
        <v>37</v>
      </c>
      <c r="D333" s="114">
        <v>0.27522365805168986</v>
      </c>
      <c r="J333" s="22"/>
      <c r="K333" s="7" t="s">
        <v>485</v>
      </c>
      <c r="L333" s="8" t="s">
        <v>48</v>
      </c>
      <c r="M333" s="8" t="s">
        <v>37</v>
      </c>
      <c r="N333" s="72">
        <v>0.27522365805168986</v>
      </c>
    </row>
    <row r="334" spans="1:14" x14ac:dyDescent="0.25">
      <c r="A334" s="22" t="s">
        <v>486</v>
      </c>
      <c r="B334" s="22" t="s">
        <v>60</v>
      </c>
      <c r="C334" s="22" t="s">
        <v>52</v>
      </c>
      <c r="D334" s="114">
        <v>0.15735400962673693</v>
      </c>
      <c r="J334" s="22"/>
      <c r="K334" s="7" t="s">
        <v>486</v>
      </c>
      <c r="L334" s="8" t="s">
        <v>60</v>
      </c>
      <c r="M334" s="8" t="s">
        <v>52</v>
      </c>
      <c r="N334" s="72">
        <v>0.15735400962673693</v>
      </c>
    </row>
    <row r="335" spans="1:14" x14ac:dyDescent="0.25">
      <c r="A335" s="22" t="s">
        <v>487</v>
      </c>
      <c r="B335" s="22" t="s">
        <v>48</v>
      </c>
      <c r="C335" s="22" t="s">
        <v>37</v>
      </c>
      <c r="D335" s="114">
        <v>0.23126897389192475</v>
      </c>
      <c r="J335" s="22"/>
      <c r="K335" s="7" t="s">
        <v>487</v>
      </c>
      <c r="L335" s="8" t="s">
        <v>48</v>
      </c>
      <c r="M335" s="8" t="s">
        <v>37</v>
      </c>
      <c r="N335" s="72">
        <v>0.23126897389192475</v>
      </c>
    </row>
    <row r="336" spans="1:14" x14ac:dyDescent="0.25">
      <c r="A336" s="22" t="s">
        <v>488</v>
      </c>
      <c r="B336" s="22" t="s">
        <v>48</v>
      </c>
      <c r="C336" s="22" t="s">
        <v>37</v>
      </c>
      <c r="D336" s="114">
        <v>0.32129287134193907</v>
      </c>
      <c r="J336" s="22"/>
      <c r="K336" s="7" t="s">
        <v>488</v>
      </c>
      <c r="L336" s="8" t="s">
        <v>48</v>
      </c>
      <c r="M336" s="8" t="s">
        <v>37</v>
      </c>
      <c r="N336" s="72">
        <v>0.32129287134193907</v>
      </c>
    </row>
    <row r="337" spans="1:14" x14ac:dyDescent="0.25">
      <c r="A337" s="22" t="s">
        <v>489</v>
      </c>
      <c r="B337" s="22" t="s">
        <v>56</v>
      </c>
      <c r="C337" s="22" t="s">
        <v>57</v>
      </c>
      <c r="D337" s="114">
        <v>0.14831097964531251</v>
      </c>
      <c r="J337" s="22"/>
      <c r="K337" s="7" t="s">
        <v>489</v>
      </c>
      <c r="L337" s="8" t="s">
        <v>56</v>
      </c>
      <c r="M337" s="8" t="s">
        <v>57</v>
      </c>
      <c r="N337" s="72">
        <v>0.14831097964531251</v>
      </c>
    </row>
    <row r="338" spans="1:14" x14ac:dyDescent="0.25">
      <c r="A338" s="22" t="s">
        <v>490</v>
      </c>
      <c r="B338" s="22" t="s">
        <v>25</v>
      </c>
      <c r="C338" s="22" t="s">
        <v>18</v>
      </c>
      <c r="D338" s="114">
        <v>0.37334067316766284</v>
      </c>
      <c r="J338" s="22"/>
      <c r="K338" s="7" t="s">
        <v>490</v>
      </c>
      <c r="L338" s="8" t="s">
        <v>25</v>
      </c>
      <c r="M338" s="8" t="s">
        <v>18</v>
      </c>
      <c r="N338" s="72">
        <v>0.37334067316766284</v>
      </c>
    </row>
    <row r="339" spans="1:14" x14ac:dyDescent="0.25">
      <c r="A339" s="22" t="s">
        <v>491</v>
      </c>
      <c r="B339" s="22" t="s">
        <v>25</v>
      </c>
      <c r="C339" s="22" t="s">
        <v>18</v>
      </c>
      <c r="D339" s="114">
        <v>0.34778852798894261</v>
      </c>
      <c r="J339" s="22"/>
      <c r="K339" s="7" t="s">
        <v>491</v>
      </c>
      <c r="L339" s="8" t="s">
        <v>25</v>
      </c>
      <c r="M339" s="8" t="s">
        <v>18</v>
      </c>
      <c r="N339" s="72">
        <v>0.34778852798894261</v>
      </c>
    </row>
    <row r="340" spans="1:14" x14ac:dyDescent="0.25">
      <c r="A340" s="22" t="s">
        <v>492</v>
      </c>
      <c r="B340" s="22" t="s">
        <v>25</v>
      </c>
      <c r="C340" s="22" t="s">
        <v>18</v>
      </c>
      <c r="D340" s="114">
        <v>0.34341161121983038</v>
      </c>
      <c r="J340" s="22"/>
      <c r="K340" s="7" t="s">
        <v>492</v>
      </c>
      <c r="L340" s="8" t="s">
        <v>25</v>
      </c>
      <c r="M340" s="8" t="s">
        <v>18</v>
      </c>
      <c r="N340" s="72">
        <v>0.34341161121983038</v>
      </c>
    </row>
    <row r="341" spans="1:14" x14ac:dyDescent="0.25">
      <c r="A341" s="22" t="s">
        <v>493</v>
      </c>
      <c r="B341" s="22" t="s">
        <v>36</v>
      </c>
      <c r="C341" s="22" t="s">
        <v>37</v>
      </c>
      <c r="D341" s="114">
        <v>0.36369098640313285</v>
      </c>
      <c r="J341" s="22"/>
      <c r="K341" s="7" t="s">
        <v>493</v>
      </c>
      <c r="L341" s="8" t="s">
        <v>36</v>
      </c>
      <c r="M341" s="8" t="s">
        <v>37</v>
      </c>
      <c r="N341" s="72">
        <v>0.36369098640313285</v>
      </c>
    </row>
    <row r="342" spans="1:14" x14ac:dyDescent="0.25">
      <c r="A342" s="22" t="s">
        <v>494</v>
      </c>
      <c r="B342" s="22" t="s">
        <v>43</v>
      </c>
      <c r="C342" s="22" t="s">
        <v>44</v>
      </c>
      <c r="D342" s="114">
        <v>0.35039102191900129</v>
      </c>
      <c r="J342" s="22"/>
      <c r="K342" s="7" t="s">
        <v>494</v>
      </c>
      <c r="L342" s="8" t="s">
        <v>43</v>
      </c>
      <c r="M342" s="8" t="s">
        <v>44</v>
      </c>
      <c r="N342" s="72">
        <v>0.35039102191900129</v>
      </c>
    </row>
    <row r="343" spans="1:14" x14ac:dyDescent="0.25">
      <c r="A343" s="22" t="s">
        <v>495</v>
      </c>
      <c r="B343" s="22" t="s">
        <v>17</v>
      </c>
      <c r="C343" s="22" t="s">
        <v>18</v>
      </c>
      <c r="D343" s="114">
        <v>0.1406888958792073</v>
      </c>
      <c r="J343" s="22"/>
      <c r="K343" s="7" t="s">
        <v>495</v>
      </c>
      <c r="L343" s="8" t="s">
        <v>17</v>
      </c>
      <c r="M343" s="8" t="s">
        <v>18</v>
      </c>
      <c r="N343" s="72">
        <v>0.1406888958792073</v>
      </c>
    </row>
    <row r="344" spans="1:14" x14ac:dyDescent="0.25">
      <c r="A344" s="22" t="s">
        <v>496</v>
      </c>
      <c r="B344" s="22" t="s">
        <v>83</v>
      </c>
      <c r="C344" s="22" t="s">
        <v>52</v>
      </c>
      <c r="D344" s="114">
        <v>0.12481617647058822</v>
      </c>
      <c r="J344" s="22"/>
      <c r="K344" s="7" t="s">
        <v>496</v>
      </c>
      <c r="L344" s="8" t="s">
        <v>83</v>
      </c>
      <c r="M344" s="8" t="s">
        <v>52</v>
      </c>
      <c r="N344" s="72">
        <v>0.12481617647058822</v>
      </c>
    </row>
    <row r="345" spans="1:14" x14ac:dyDescent="0.25">
      <c r="A345" s="22" t="s">
        <v>497</v>
      </c>
      <c r="B345" s="22" t="s">
        <v>25</v>
      </c>
      <c r="C345" s="22" t="s">
        <v>18</v>
      </c>
      <c r="D345" s="114">
        <v>0.33008667607337228</v>
      </c>
      <c r="J345" s="22"/>
      <c r="K345" s="7" t="s">
        <v>497</v>
      </c>
      <c r="L345" s="8" t="s">
        <v>25</v>
      </c>
      <c r="M345" s="8" t="s">
        <v>18</v>
      </c>
      <c r="N345" s="72">
        <v>0.33008667607337228</v>
      </c>
    </row>
    <row r="346" spans="1:14" x14ac:dyDescent="0.25">
      <c r="A346" s="22" t="s">
        <v>498</v>
      </c>
      <c r="B346" s="22" t="s">
        <v>60</v>
      </c>
      <c r="C346" s="22" t="s">
        <v>52</v>
      </c>
      <c r="D346" s="114">
        <v>0.32596654013777587</v>
      </c>
      <c r="J346" s="22"/>
      <c r="K346" s="7" t="s">
        <v>498</v>
      </c>
      <c r="L346" s="8" t="s">
        <v>60</v>
      </c>
      <c r="M346" s="8" t="s">
        <v>52</v>
      </c>
      <c r="N346" s="72">
        <v>0.32596654013777587</v>
      </c>
    </row>
    <row r="347" spans="1:14" x14ac:dyDescent="0.25">
      <c r="A347" s="22" t="s">
        <v>499</v>
      </c>
      <c r="B347" s="22" t="s">
        <v>36</v>
      </c>
      <c r="C347" s="22" t="s">
        <v>37</v>
      </c>
      <c r="D347" s="114">
        <v>0.28060830342902709</v>
      </c>
      <c r="J347" s="22"/>
      <c r="K347" s="7" t="s">
        <v>499</v>
      </c>
      <c r="L347" s="8" t="s">
        <v>36</v>
      </c>
      <c r="M347" s="8" t="s">
        <v>37</v>
      </c>
      <c r="N347" s="72">
        <v>0.28060830342902709</v>
      </c>
    </row>
    <row r="348" spans="1:14" x14ac:dyDescent="0.25">
      <c r="A348" s="22" t="s">
        <v>500</v>
      </c>
      <c r="B348" s="22" t="s">
        <v>17</v>
      </c>
      <c r="C348" s="22" t="s">
        <v>18</v>
      </c>
      <c r="D348" s="114">
        <v>0.28153570026361546</v>
      </c>
      <c r="J348" s="22"/>
      <c r="K348" s="7" t="s">
        <v>500</v>
      </c>
      <c r="L348" s="8" t="s">
        <v>17</v>
      </c>
      <c r="M348" s="8" t="s">
        <v>18</v>
      </c>
      <c r="N348" s="72">
        <v>0.28153570026361546</v>
      </c>
    </row>
    <row r="349" spans="1:14" x14ac:dyDescent="0.25">
      <c r="A349" s="22" t="s">
        <v>501</v>
      </c>
      <c r="B349" s="22" t="s">
        <v>48</v>
      </c>
      <c r="C349" s="22" t="s">
        <v>37</v>
      </c>
      <c r="D349" s="114">
        <v>0.32675159235668788</v>
      </c>
      <c r="J349" s="22"/>
      <c r="K349" s="7" t="s">
        <v>501</v>
      </c>
      <c r="L349" s="8" t="s">
        <v>48</v>
      </c>
      <c r="M349" s="8" t="s">
        <v>37</v>
      </c>
      <c r="N349" s="72">
        <v>0.32675159235668788</v>
      </c>
    </row>
    <row r="350" spans="1:14" x14ac:dyDescent="0.25">
      <c r="A350" s="22" t="s">
        <v>502</v>
      </c>
      <c r="B350" s="22" t="s">
        <v>63</v>
      </c>
      <c r="C350" s="22" t="s">
        <v>37</v>
      </c>
      <c r="D350" s="114">
        <v>0.28709751786674864</v>
      </c>
      <c r="J350" s="22"/>
      <c r="K350" s="7" t="s">
        <v>502</v>
      </c>
      <c r="L350" s="8" t="s">
        <v>63</v>
      </c>
      <c r="M350" s="8" t="s">
        <v>37</v>
      </c>
      <c r="N350" s="72">
        <v>0.28709751786674864</v>
      </c>
    </row>
    <row r="351" spans="1:14" x14ac:dyDescent="0.25">
      <c r="A351" s="22" t="s">
        <v>503</v>
      </c>
      <c r="B351" s="22" t="s">
        <v>60</v>
      </c>
      <c r="C351" s="22" t="s">
        <v>52</v>
      </c>
      <c r="D351" s="114">
        <v>0.21671829622458857</v>
      </c>
      <c r="J351" s="22"/>
      <c r="K351" s="7" t="s">
        <v>503</v>
      </c>
      <c r="L351" s="8" t="s">
        <v>60</v>
      </c>
      <c r="M351" s="8" t="s">
        <v>52</v>
      </c>
      <c r="N351" s="72">
        <v>0.21671829622458857</v>
      </c>
    </row>
    <row r="352" spans="1:14" x14ac:dyDescent="0.25">
      <c r="A352" s="22" t="s">
        <v>505</v>
      </c>
      <c r="B352" s="22" t="s">
        <v>17</v>
      </c>
      <c r="C352" s="22" t="s">
        <v>18</v>
      </c>
      <c r="D352" s="114">
        <v>0.17798155298155299</v>
      </c>
      <c r="J352" s="22"/>
      <c r="K352" s="7" t="s">
        <v>505</v>
      </c>
      <c r="L352" s="8" t="s">
        <v>17</v>
      </c>
      <c r="M352" s="8" t="s">
        <v>18</v>
      </c>
      <c r="N352" s="72">
        <v>0.17798155298155299</v>
      </c>
    </row>
    <row r="353" spans="1:14" x14ac:dyDescent="0.25">
      <c r="A353" s="22" t="s">
        <v>506</v>
      </c>
      <c r="B353" s="22" t="s">
        <v>60</v>
      </c>
      <c r="C353" s="22" t="s">
        <v>52</v>
      </c>
      <c r="D353" s="114">
        <v>0.26499126361574782</v>
      </c>
      <c r="J353" s="22"/>
      <c r="K353" s="7" t="s">
        <v>506</v>
      </c>
      <c r="L353" s="8" t="s">
        <v>60</v>
      </c>
      <c r="M353" s="8" t="s">
        <v>52</v>
      </c>
      <c r="N353" s="72">
        <v>0.26499126361574782</v>
      </c>
    </row>
    <row r="354" spans="1:14" x14ac:dyDescent="0.25">
      <c r="A354" s="22" t="s">
        <v>507</v>
      </c>
      <c r="B354" s="22" t="s">
        <v>60</v>
      </c>
      <c r="C354" s="22" t="s">
        <v>52</v>
      </c>
      <c r="D354" s="114">
        <v>0.37581209395302351</v>
      </c>
      <c r="J354" s="22"/>
      <c r="K354" s="7" t="s">
        <v>507</v>
      </c>
      <c r="L354" s="8" t="s">
        <v>60</v>
      </c>
      <c r="M354" s="8" t="s">
        <v>52</v>
      </c>
      <c r="N354" s="72">
        <v>0.37581209395302351</v>
      </c>
    </row>
    <row r="355" spans="1:14" x14ac:dyDescent="0.25">
      <c r="A355" s="22" t="s">
        <v>508</v>
      </c>
      <c r="B355" s="22" t="s">
        <v>56</v>
      </c>
      <c r="C355" s="22" t="s">
        <v>57</v>
      </c>
      <c r="D355" s="114">
        <v>0.34809473766152887</v>
      </c>
      <c r="J355" s="22"/>
      <c r="K355" s="7" t="s">
        <v>508</v>
      </c>
      <c r="L355" s="8" t="s">
        <v>56</v>
      </c>
      <c r="M355" s="8" t="s">
        <v>57</v>
      </c>
      <c r="N355" s="72">
        <v>0.34809473766152887</v>
      </c>
    </row>
    <row r="356" spans="1:14" x14ac:dyDescent="0.25">
      <c r="A356" s="22" t="s">
        <v>509</v>
      </c>
      <c r="B356" s="22" t="s">
        <v>51</v>
      </c>
      <c r="C356" s="22" t="s">
        <v>52</v>
      </c>
      <c r="D356" s="114">
        <v>0.3007379248658319</v>
      </c>
      <c r="J356" s="22"/>
      <c r="K356" s="7" t="s">
        <v>509</v>
      </c>
      <c r="L356" s="8" t="s">
        <v>51</v>
      </c>
      <c r="M356" s="8" t="s">
        <v>52</v>
      </c>
      <c r="N356" s="72">
        <v>0.3007379248658319</v>
      </c>
    </row>
    <row r="357" spans="1:14" x14ac:dyDescent="0.25">
      <c r="A357" s="22" t="s">
        <v>510</v>
      </c>
      <c r="B357" s="22" t="s">
        <v>17</v>
      </c>
      <c r="C357" s="22" t="s">
        <v>18</v>
      </c>
      <c r="D357" s="114">
        <v>0.19855628178573631</v>
      </c>
      <c r="J357" s="22"/>
      <c r="K357" s="7" t="s">
        <v>510</v>
      </c>
      <c r="L357" s="8" t="s">
        <v>17</v>
      </c>
      <c r="M357" s="8" t="s">
        <v>18</v>
      </c>
      <c r="N357" s="72">
        <v>0.19855628178573631</v>
      </c>
    </row>
    <row r="358" spans="1:14" x14ac:dyDescent="0.25">
      <c r="A358" s="22" t="s">
        <v>511</v>
      </c>
      <c r="B358" s="22" t="s">
        <v>60</v>
      </c>
      <c r="C358" s="22" t="s">
        <v>52</v>
      </c>
      <c r="D358" s="114">
        <v>0.14621131270010676</v>
      </c>
      <c r="J358" s="22"/>
      <c r="K358" s="7" t="s">
        <v>511</v>
      </c>
      <c r="L358" s="8" t="s">
        <v>60</v>
      </c>
      <c r="M358" s="8" t="s">
        <v>52</v>
      </c>
      <c r="N358" s="72">
        <v>0.14621131270010676</v>
      </c>
    </row>
    <row r="359" spans="1:14" x14ac:dyDescent="0.25">
      <c r="A359" s="22" t="s">
        <v>512</v>
      </c>
      <c r="B359" s="22" t="s">
        <v>51</v>
      </c>
      <c r="C359" s="22" t="s">
        <v>52</v>
      </c>
      <c r="D359" s="114">
        <v>0.32391834900795469</v>
      </c>
      <c r="J359" s="22"/>
      <c r="K359" s="7" t="s">
        <v>512</v>
      </c>
      <c r="L359" s="8" t="s">
        <v>51</v>
      </c>
      <c r="M359" s="8" t="s">
        <v>52</v>
      </c>
      <c r="N359" s="72">
        <v>0.32391834900795469</v>
      </c>
    </row>
    <row r="360" spans="1:14" x14ac:dyDescent="0.25">
      <c r="A360" s="22" t="s">
        <v>513</v>
      </c>
      <c r="B360" s="22" t="s">
        <v>63</v>
      </c>
      <c r="C360" s="22" t="s">
        <v>37</v>
      </c>
      <c r="D360" s="114">
        <v>0.29600261587509197</v>
      </c>
      <c r="J360" s="22"/>
      <c r="K360" s="7" t="s">
        <v>513</v>
      </c>
      <c r="L360" s="8" t="s">
        <v>63</v>
      </c>
      <c r="M360" s="8" t="s">
        <v>37</v>
      </c>
      <c r="N360" s="72">
        <v>0.29600261587509197</v>
      </c>
    </row>
    <row r="361" spans="1:14" x14ac:dyDescent="0.25">
      <c r="A361" s="22" t="s">
        <v>514</v>
      </c>
      <c r="B361" s="22" t="s">
        <v>83</v>
      </c>
      <c r="C361" s="22" t="s">
        <v>52</v>
      </c>
      <c r="D361" s="114">
        <v>0.30467192608948551</v>
      </c>
      <c r="J361" s="22"/>
      <c r="K361" s="7" t="s">
        <v>514</v>
      </c>
      <c r="L361" s="8" t="s">
        <v>83</v>
      </c>
      <c r="M361" s="8" t="s">
        <v>52</v>
      </c>
      <c r="N361" s="72">
        <v>0.30467192608948551</v>
      </c>
    </row>
    <row r="362" spans="1:14" x14ac:dyDescent="0.25">
      <c r="A362" s="22" t="s">
        <v>515</v>
      </c>
      <c r="B362" s="22" t="s">
        <v>83</v>
      </c>
      <c r="C362" s="22" t="s">
        <v>52</v>
      </c>
      <c r="D362" s="114">
        <v>0.26814582840935947</v>
      </c>
      <c r="J362" s="22"/>
      <c r="K362" s="7" t="s">
        <v>515</v>
      </c>
      <c r="L362" s="8" t="s">
        <v>83</v>
      </c>
      <c r="M362" s="8" t="s">
        <v>52</v>
      </c>
      <c r="N362" s="72">
        <v>0.26814582840935947</v>
      </c>
    </row>
    <row r="363" spans="1:14" x14ac:dyDescent="0.25">
      <c r="A363" s="22" t="s">
        <v>516</v>
      </c>
      <c r="B363" s="22" t="s">
        <v>36</v>
      </c>
      <c r="C363" s="22" t="s">
        <v>37</v>
      </c>
      <c r="D363" s="114">
        <v>0.36815398075240596</v>
      </c>
      <c r="J363" s="22"/>
      <c r="K363" s="7" t="s">
        <v>516</v>
      </c>
      <c r="L363" s="8" t="s">
        <v>36</v>
      </c>
      <c r="M363" s="8" t="s">
        <v>37</v>
      </c>
      <c r="N363" s="72">
        <v>0.36815398075240596</v>
      </c>
    </row>
    <row r="364" spans="1:14" x14ac:dyDescent="0.25">
      <c r="A364" s="22" t="s">
        <v>517</v>
      </c>
      <c r="B364" s="22" t="s">
        <v>48</v>
      </c>
      <c r="C364" s="22" t="s">
        <v>37</v>
      </c>
      <c r="D364" s="114">
        <v>0.26742146742146738</v>
      </c>
      <c r="J364" s="22"/>
      <c r="K364" s="7" t="s">
        <v>517</v>
      </c>
      <c r="L364" s="8" t="s">
        <v>48</v>
      </c>
      <c r="M364" s="8" t="s">
        <v>37</v>
      </c>
      <c r="N364" s="72">
        <v>0.26742146742146738</v>
      </c>
    </row>
    <row r="365" spans="1:14" x14ac:dyDescent="0.25">
      <c r="A365" s="22" t="s">
        <v>518</v>
      </c>
      <c r="B365" s="22" t="s">
        <v>48</v>
      </c>
      <c r="C365" s="22" t="s">
        <v>37</v>
      </c>
      <c r="D365" s="114">
        <v>0.29533322549336782</v>
      </c>
      <c r="J365" s="22"/>
      <c r="K365" s="7" t="s">
        <v>518</v>
      </c>
      <c r="L365" s="8" t="s">
        <v>48</v>
      </c>
      <c r="M365" s="8" t="s">
        <v>37</v>
      </c>
      <c r="N365" s="72">
        <v>0.29533322549336782</v>
      </c>
    </row>
    <row r="366" spans="1:14" x14ac:dyDescent="0.25">
      <c r="A366" s="22" t="s">
        <v>519</v>
      </c>
      <c r="B366" s="22" t="s">
        <v>51</v>
      </c>
      <c r="C366" s="22" t="s">
        <v>52</v>
      </c>
      <c r="D366" s="114">
        <v>0.25500931966449208</v>
      </c>
      <c r="J366" s="22"/>
      <c r="K366" s="7" t="s">
        <v>519</v>
      </c>
      <c r="L366" s="8" t="s">
        <v>51</v>
      </c>
      <c r="M366" s="8" t="s">
        <v>52</v>
      </c>
      <c r="N366" s="72">
        <v>0.25500931966449208</v>
      </c>
    </row>
    <row r="367" spans="1:14" x14ac:dyDescent="0.25">
      <c r="A367" s="22" t="s">
        <v>520</v>
      </c>
      <c r="B367" s="22" t="s">
        <v>43</v>
      </c>
      <c r="C367" s="22" t="s">
        <v>44</v>
      </c>
      <c r="D367" s="114">
        <v>0.3128769173213618</v>
      </c>
      <c r="J367" s="22"/>
      <c r="K367" s="7" t="s">
        <v>520</v>
      </c>
      <c r="L367" s="8" t="s">
        <v>43</v>
      </c>
      <c r="M367" s="8" t="s">
        <v>44</v>
      </c>
      <c r="N367" s="72">
        <v>0.3128769173213618</v>
      </c>
    </row>
    <row r="368" spans="1:14" x14ac:dyDescent="0.25">
      <c r="A368" s="22" t="s">
        <v>521</v>
      </c>
      <c r="B368" s="22" t="s">
        <v>43</v>
      </c>
      <c r="C368" s="22" t="s">
        <v>44</v>
      </c>
      <c r="D368" s="114">
        <v>0.37442436700288412</v>
      </c>
      <c r="J368" s="22"/>
      <c r="K368" s="7" t="s">
        <v>521</v>
      </c>
      <c r="L368" s="8" t="s">
        <v>43</v>
      </c>
      <c r="M368" s="8" t="s">
        <v>44</v>
      </c>
      <c r="N368" s="72">
        <v>0.37442436700288412</v>
      </c>
    </row>
    <row r="369" spans="1:14" x14ac:dyDescent="0.25">
      <c r="A369" s="22" t="s">
        <v>522</v>
      </c>
      <c r="B369" s="22" t="s">
        <v>17</v>
      </c>
      <c r="C369" s="22" t="s">
        <v>18</v>
      </c>
      <c r="D369" s="114">
        <v>0.27549075662283207</v>
      </c>
      <c r="J369" s="22"/>
      <c r="K369" s="7" t="s">
        <v>522</v>
      </c>
      <c r="L369" s="8" t="s">
        <v>17</v>
      </c>
      <c r="M369" s="8" t="s">
        <v>18</v>
      </c>
      <c r="N369" s="72">
        <v>0.27549075662283207</v>
      </c>
    </row>
    <row r="370" spans="1:14" x14ac:dyDescent="0.25">
      <c r="A370" s="22" t="s">
        <v>523</v>
      </c>
      <c r="B370" s="22" t="s">
        <v>83</v>
      </c>
      <c r="C370" s="22" t="s">
        <v>52</v>
      </c>
      <c r="D370" s="114">
        <v>0.1565296652303613</v>
      </c>
      <c r="J370" s="22"/>
      <c r="K370" s="7" t="s">
        <v>523</v>
      </c>
      <c r="L370" s="8" t="s">
        <v>83</v>
      </c>
      <c r="M370" s="8" t="s">
        <v>52</v>
      </c>
      <c r="N370" s="72">
        <v>0.1565296652303613</v>
      </c>
    </row>
    <row r="371" spans="1:14" x14ac:dyDescent="0.25">
      <c r="A371" s="22" t="s">
        <v>524</v>
      </c>
      <c r="B371" s="22" t="s">
        <v>48</v>
      </c>
      <c r="C371" s="22" t="s">
        <v>37</v>
      </c>
      <c r="D371" s="114">
        <v>0.14019509596235077</v>
      </c>
      <c r="J371" s="22"/>
      <c r="K371" s="7" t="s">
        <v>524</v>
      </c>
      <c r="L371" s="8" t="s">
        <v>48</v>
      </c>
      <c r="M371" s="8" t="s">
        <v>37</v>
      </c>
      <c r="N371" s="72">
        <v>0.14019509596235077</v>
      </c>
    </row>
    <row r="372" spans="1:14" x14ac:dyDescent="0.25">
      <c r="A372" s="22" t="s">
        <v>525</v>
      </c>
      <c r="B372" s="22" t="s">
        <v>48</v>
      </c>
      <c r="C372" s="22" t="s">
        <v>37</v>
      </c>
      <c r="D372" s="114">
        <v>0.34450104493207939</v>
      </c>
      <c r="J372" s="22"/>
      <c r="K372" s="7" t="s">
        <v>525</v>
      </c>
      <c r="L372" s="8" t="s">
        <v>48</v>
      </c>
      <c r="M372" s="8" t="s">
        <v>37</v>
      </c>
      <c r="N372" s="72">
        <v>0.34450104493207939</v>
      </c>
    </row>
    <row r="373" spans="1:14" x14ac:dyDescent="0.25">
      <c r="A373" s="22" t="s">
        <v>526</v>
      </c>
      <c r="B373" s="22" t="s">
        <v>83</v>
      </c>
      <c r="C373" s="22" t="s">
        <v>52</v>
      </c>
      <c r="D373" s="114">
        <v>0.11379954755581782</v>
      </c>
      <c r="J373" s="22"/>
      <c r="K373" s="7" t="s">
        <v>526</v>
      </c>
      <c r="L373" s="8" t="s">
        <v>83</v>
      </c>
      <c r="M373" s="8" t="s">
        <v>52</v>
      </c>
      <c r="N373" s="72">
        <v>0.11379954755581782</v>
      </c>
    </row>
    <row r="374" spans="1:14" x14ac:dyDescent="0.25">
      <c r="A374" s="22" t="s">
        <v>527</v>
      </c>
      <c r="B374" s="22" t="s">
        <v>25</v>
      </c>
      <c r="C374" s="22" t="s">
        <v>18</v>
      </c>
      <c r="D374" s="114">
        <v>0.12820512820512819</v>
      </c>
      <c r="J374" s="22"/>
      <c r="K374" s="7" t="s">
        <v>527</v>
      </c>
      <c r="L374" s="8" t="s">
        <v>25</v>
      </c>
      <c r="M374" s="8" t="s">
        <v>18</v>
      </c>
      <c r="N374" s="72">
        <v>0.12820512820512819</v>
      </c>
    </row>
    <row r="375" spans="1:14" x14ac:dyDescent="0.25">
      <c r="A375" s="22" t="s">
        <v>528</v>
      </c>
      <c r="B375" s="22" t="s">
        <v>51</v>
      </c>
      <c r="C375" s="22" t="s">
        <v>52</v>
      </c>
      <c r="D375" s="114">
        <v>0.34971793507184673</v>
      </c>
      <c r="J375" s="22"/>
      <c r="K375" s="7" t="s">
        <v>528</v>
      </c>
      <c r="L375" s="8" t="s">
        <v>51</v>
      </c>
      <c r="M375" s="8" t="s">
        <v>52</v>
      </c>
      <c r="N375" s="72">
        <v>0.34971793507184673</v>
      </c>
    </row>
    <row r="376" spans="1:14" x14ac:dyDescent="0.25">
      <c r="A376" s="22" t="s">
        <v>529</v>
      </c>
      <c r="B376" s="22" t="s">
        <v>48</v>
      </c>
      <c r="C376" s="22" t="s">
        <v>37</v>
      </c>
      <c r="D376" s="114">
        <v>0.16150990099009901</v>
      </c>
      <c r="J376" s="22"/>
      <c r="K376" s="7" t="s">
        <v>529</v>
      </c>
      <c r="L376" s="8" t="s">
        <v>48</v>
      </c>
      <c r="M376" s="8" t="s">
        <v>37</v>
      </c>
      <c r="N376" s="72">
        <v>0.16150990099009901</v>
      </c>
    </row>
    <row r="377" spans="1:14" x14ac:dyDescent="0.25">
      <c r="A377" s="22" t="s">
        <v>530</v>
      </c>
      <c r="B377" s="22" t="s">
        <v>60</v>
      </c>
      <c r="C377" s="22" t="s">
        <v>52</v>
      </c>
      <c r="D377" s="114">
        <v>0.3672434523498353</v>
      </c>
      <c r="J377" s="22"/>
      <c r="K377" s="7" t="s">
        <v>530</v>
      </c>
      <c r="L377" s="8" t="s">
        <v>60</v>
      </c>
      <c r="M377" s="8" t="s">
        <v>52</v>
      </c>
      <c r="N377" s="72">
        <v>0.3672434523498353</v>
      </c>
    </row>
    <row r="378" spans="1:14" x14ac:dyDescent="0.25">
      <c r="A378" s="22" t="s">
        <v>531</v>
      </c>
      <c r="B378" s="22" t="s">
        <v>48</v>
      </c>
      <c r="C378" s="22" t="s">
        <v>37</v>
      </c>
      <c r="D378" s="114">
        <v>0.14307931570762053</v>
      </c>
      <c r="J378" s="22"/>
      <c r="K378" s="7" t="s">
        <v>531</v>
      </c>
      <c r="L378" s="8" t="s">
        <v>48</v>
      </c>
      <c r="M378" s="8" t="s">
        <v>37</v>
      </c>
      <c r="N378" s="72">
        <v>0.14307931570762053</v>
      </c>
    </row>
    <row r="379" spans="1:14" x14ac:dyDescent="0.25">
      <c r="A379" s="22" t="s">
        <v>532</v>
      </c>
      <c r="B379" s="22" t="s">
        <v>83</v>
      </c>
      <c r="C379" s="22" t="s">
        <v>52</v>
      </c>
      <c r="D379" s="114">
        <v>0.32543393552957856</v>
      </c>
      <c r="J379" s="22"/>
      <c r="K379" s="7" t="s">
        <v>532</v>
      </c>
      <c r="L379" s="8" t="s">
        <v>83</v>
      </c>
      <c r="M379" s="8" t="s">
        <v>52</v>
      </c>
      <c r="N379" s="72">
        <v>0.32543393552957856</v>
      </c>
    </row>
    <row r="380" spans="1:14" x14ac:dyDescent="0.25">
      <c r="A380" s="22" t="s">
        <v>533</v>
      </c>
      <c r="B380" s="22" t="s">
        <v>48</v>
      </c>
      <c r="C380" s="22" t="s">
        <v>37</v>
      </c>
      <c r="D380" s="114">
        <v>0.31102482743264304</v>
      </c>
      <c r="J380" s="22"/>
      <c r="K380" s="7" t="s">
        <v>533</v>
      </c>
      <c r="L380" s="8" t="s">
        <v>48</v>
      </c>
      <c r="M380" s="8" t="s">
        <v>37</v>
      </c>
      <c r="N380" s="72">
        <v>0.31102482743264304</v>
      </c>
    </row>
    <row r="381" spans="1:14" x14ac:dyDescent="0.25">
      <c r="A381" s="22" t="s">
        <v>534</v>
      </c>
      <c r="B381" s="22" t="s">
        <v>51</v>
      </c>
      <c r="C381" s="22" t="s">
        <v>52</v>
      </c>
      <c r="D381" s="114">
        <v>0.33886864723467863</v>
      </c>
      <c r="J381" s="22"/>
      <c r="K381" s="7" t="s">
        <v>534</v>
      </c>
      <c r="L381" s="8" t="s">
        <v>51</v>
      </c>
      <c r="M381" s="8" t="s">
        <v>52</v>
      </c>
      <c r="N381" s="72">
        <v>0.33886864723467863</v>
      </c>
    </row>
    <row r="382" spans="1:14" x14ac:dyDescent="0.25">
      <c r="A382" s="22" t="s">
        <v>535</v>
      </c>
      <c r="B382" s="22" t="s">
        <v>36</v>
      </c>
      <c r="C382" s="22" t="s">
        <v>37</v>
      </c>
      <c r="D382" s="114">
        <v>0.27955528521221951</v>
      </c>
      <c r="J382" s="22"/>
      <c r="K382" s="7" t="s">
        <v>535</v>
      </c>
      <c r="L382" s="8" t="s">
        <v>36</v>
      </c>
      <c r="M382" s="8" t="s">
        <v>37</v>
      </c>
      <c r="N382" s="72">
        <v>0.27955528521221951</v>
      </c>
    </row>
    <row r="383" spans="1:14" x14ac:dyDescent="0.25">
      <c r="A383" s="22" t="s">
        <v>536</v>
      </c>
      <c r="B383" s="22" t="s">
        <v>83</v>
      </c>
      <c r="C383" s="22" t="s">
        <v>52</v>
      </c>
      <c r="D383" s="114">
        <v>0.17753794133836598</v>
      </c>
      <c r="J383" s="22"/>
      <c r="K383" s="7" t="s">
        <v>536</v>
      </c>
      <c r="L383" s="8" t="s">
        <v>83</v>
      </c>
      <c r="M383" s="8" t="s">
        <v>52</v>
      </c>
      <c r="N383" s="72">
        <v>0.17753794133836598</v>
      </c>
    </row>
    <row r="384" spans="1:14" x14ac:dyDescent="0.25">
      <c r="A384" s="22" t="s">
        <v>537</v>
      </c>
      <c r="B384" s="22" t="s">
        <v>56</v>
      </c>
      <c r="C384" s="22" t="s">
        <v>57</v>
      </c>
      <c r="D384" s="114">
        <v>0.264778516292</v>
      </c>
      <c r="J384" s="22"/>
      <c r="K384" s="7" t="s">
        <v>537</v>
      </c>
      <c r="L384" s="8" t="s">
        <v>56</v>
      </c>
      <c r="M384" s="8" t="s">
        <v>57</v>
      </c>
      <c r="N384" s="72">
        <v>0.264778516292</v>
      </c>
    </row>
    <row r="385" spans="1:14" x14ac:dyDescent="0.25">
      <c r="A385" s="22" t="s">
        <v>538</v>
      </c>
      <c r="B385" s="22" t="s">
        <v>60</v>
      </c>
      <c r="C385" s="22" t="s">
        <v>52</v>
      </c>
      <c r="D385" s="114">
        <v>0.30556411837237979</v>
      </c>
      <c r="J385" s="22"/>
      <c r="K385" s="7" t="s">
        <v>538</v>
      </c>
      <c r="L385" s="8" t="s">
        <v>60</v>
      </c>
      <c r="M385" s="8" t="s">
        <v>52</v>
      </c>
      <c r="N385" s="72">
        <v>0.30556411837237979</v>
      </c>
    </row>
    <row r="386" spans="1:14" x14ac:dyDescent="0.25">
      <c r="A386" s="22" t="s">
        <v>539</v>
      </c>
      <c r="B386" s="22" t="s">
        <v>60</v>
      </c>
      <c r="C386" s="22" t="s">
        <v>52</v>
      </c>
      <c r="D386" s="114">
        <v>0.26758303411131057</v>
      </c>
      <c r="J386" s="22"/>
      <c r="K386" s="7" t="s">
        <v>539</v>
      </c>
      <c r="L386" s="8" t="s">
        <v>60</v>
      </c>
      <c r="M386" s="8" t="s">
        <v>52</v>
      </c>
      <c r="N386" s="72">
        <v>0.26758303411131057</v>
      </c>
    </row>
    <row r="387" spans="1:14" x14ac:dyDescent="0.25">
      <c r="A387" s="22" t="s">
        <v>540</v>
      </c>
      <c r="B387" s="22" t="s">
        <v>63</v>
      </c>
      <c r="C387" s="22" t="s">
        <v>37</v>
      </c>
      <c r="D387" s="114">
        <v>0.35989559342852756</v>
      </c>
      <c r="J387" s="22"/>
      <c r="K387" s="7" t="s">
        <v>540</v>
      </c>
      <c r="L387" s="8" t="s">
        <v>63</v>
      </c>
      <c r="M387" s="8" t="s">
        <v>37</v>
      </c>
      <c r="N387" s="72">
        <v>0.35989559342852756</v>
      </c>
    </row>
    <row r="388" spans="1:14" x14ac:dyDescent="0.25">
      <c r="A388" s="22" t="s">
        <v>541</v>
      </c>
      <c r="B388" s="22" t="s">
        <v>56</v>
      </c>
      <c r="C388" s="22" t="s">
        <v>57</v>
      </c>
      <c r="D388" s="114">
        <v>0.15123109108464758</v>
      </c>
      <c r="J388" s="22"/>
      <c r="K388" s="7" t="s">
        <v>541</v>
      </c>
      <c r="L388" s="8" t="s">
        <v>56</v>
      </c>
      <c r="M388" s="8" t="s">
        <v>57</v>
      </c>
      <c r="N388" s="72">
        <v>0.15123109108464758</v>
      </c>
    </row>
    <row r="389" spans="1:14" x14ac:dyDescent="0.25">
      <c r="A389" s="22" t="s">
        <v>542</v>
      </c>
      <c r="B389" s="22" t="s">
        <v>63</v>
      </c>
      <c r="C389" s="22" t="s">
        <v>37</v>
      </c>
      <c r="D389" s="114">
        <v>0.3497297979062976</v>
      </c>
      <c r="J389" s="22"/>
      <c r="K389" s="7" t="s">
        <v>542</v>
      </c>
      <c r="L389" s="8" t="s">
        <v>63</v>
      </c>
      <c r="M389" s="8" t="s">
        <v>37</v>
      </c>
      <c r="N389" s="72">
        <v>0.3497297979062976</v>
      </c>
    </row>
    <row r="390" spans="1:14" x14ac:dyDescent="0.25">
      <c r="A390" s="22" t="s">
        <v>543</v>
      </c>
      <c r="B390" s="22" t="s">
        <v>63</v>
      </c>
      <c r="C390" s="22" t="s">
        <v>37</v>
      </c>
      <c r="D390" s="114">
        <v>0.38394991693342512</v>
      </c>
      <c r="J390" s="22"/>
      <c r="K390" s="7" t="s">
        <v>543</v>
      </c>
      <c r="L390" s="8" t="s">
        <v>63</v>
      </c>
      <c r="M390" s="8" t="s">
        <v>37</v>
      </c>
      <c r="N390" s="72">
        <v>0.38394991693342512</v>
      </c>
    </row>
    <row r="391" spans="1:14" x14ac:dyDescent="0.25">
      <c r="A391" s="22" t="s">
        <v>544</v>
      </c>
      <c r="B391" s="22" t="s">
        <v>83</v>
      </c>
      <c r="C391" s="22" t="s">
        <v>52</v>
      </c>
      <c r="D391" s="114">
        <v>0.34882755366831802</v>
      </c>
      <c r="J391" s="22"/>
      <c r="K391" s="7" t="s">
        <v>544</v>
      </c>
      <c r="L391" s="8" t="s">
        <v>83</v>
      </c>
      <c r="M391" s="8" t="s">
        <v>52</v>
      </c>
      <c r="N391" s="72">
        <v>0.34882755366831802</v>
      </c>
    </row>
    <row r="392" spans="1:14" x14ac:dyDescent="0.25">
      <c r="A392" s="22" t="s">
        <v>545</v>
      </c>
      <c r="B392" s="22" t="s">
        <v>17</v>
      </c>
      <c r="C392" s="22" t="s">
        <v>18</v>
      </c>
      <c r="D392" s="114">
        <v>0.32278806584362141</v>
      </c>
      <c r="J392" s="22"/>
      <c r="K392" s="7" t="s">
        <v>545</v>
      </c>
      <c r="L392" s="8" t="s">
        <v>17</v>
      </c>
      <c r="M392" s="8" t="s">
        <v>18</v>
      </c>
      <c r="N392" s="72">
        <v>0.32278806584362141</v>
      </c>
    </row>
    <row r="393" spans="1:14" x14ac:dyDescent="0.25">
      <c r="A393" s="22" t="s">
        <v>546</v>
      </c>
      <c r="B393" s="22" t="s">
        <v>17</v>
      </c>
      <c r="C393" s="22" t="s">
        <v>18</v>
      </c>
      <c r="D393" s="114">
        <v>0.35187795155505536</v>
      </c>
      <c r="J393" s="22"/>
      <c r="K393" s="7" t="s">
        <v>546</v>
      </c>
      <c r="L393" s="8" t="s">
        <v>17</v>
      </c>
      <c r="M393" s="8" t="s">
        <v>18</v>
      </c>
      <c r="N393" s="72">
        <v>0.35187795155505536</v>
      </c>
    </row>
    <row r="394" spans="1:14" x14ac:dyDescent="0.25">
      <c r="A394" s="22" t="s">
        <v>547</v>
      </c>
      <c r="B394" s="22" t="s">
        <v>56</v>
      </c>
      <c r="C394" s="22" t="s">
        <v>57</v>
      </c>
      <c r="D394" s="114">
        <v>0.37512528473804102</v>
      </c>
      <c r="J394" s="22"/>
      <c r="K394" s="7" t="s">
        <v>547</v>
      </c>
      <c r="L394" s="8" t="s">
        <v>56</v>
      </c>
      <c r="M394" s="8" t="s">
        <v>57</v>
      </c>
      <c r="N394" s="72">
        <v>0.37512528473804102</v>
      </c>
    </row>
    <row r="395" spans="1:14" x14ac:dyDescent="0.25">
      <c r="A395" s="22" t="s">
        <v>548</v>
      </c>
      <c r="B395" s="22" t="s">
        <v>63</v>
      </c>
      <c r="C395" s="22" t="s">
        <v>37</v>
      </c>
      <c r="D395" s="114">
        <v>0.32963955187530442</v>
      </c>
      <c r="J395" s="22"/>
      <c r="K395" s="7" t="s">
        <v>548</v>
      </c>
      <c r="L395" s="8" t="s">
        <v>63</v>
      </c>
      <c r="M395" s="8" t="s">
        <v>37</v>
      </c>
      <c r="N395" s="72">
        <v>0.32963955187530442</v>
      </c>
    </row>
    <row r="396" spans="1:14" x14ac:dyDescent="0.25">
      <c r="A396" s="22" t="s">
        <v>549</v>
      </c>
      <c r="B396" s="22" t="s">
        <v>48</v>
      </c>
      <c r="C396" s="22" t="s">
        <v>37</v>
      </c>
      <c r="D396" s="114">
        <v>0.1649122807017544</v>
      </c>
      <c r="J396" s="22"/>
      <c r="K396" s="7" t="s">
        <v>549</v>
      </c>
      <c r="L396" s="8" t="s">
        <v>48</v>
      </c>
      <c r="M396" s="8" t="s">
        <v>37</v>
      </c>
      <c r="N396" s="72">
        <v>0.1649122807017544</v>
      </c>
    </row>
    <row r="397" spans="1:14" x14ac:dyDescent="0.25">
      <c r="A397" s="22" t="s">
        <v>550</v>
      </c>
      <c r="B397" s="22" t="s">
        <v>63</v>
      </c>
      <c r="C397" s="22" t="s">
        <v>37</v>
      </c>
      <c r="D397" s="114">
        <v>0.29327622656014052</v>
      </c>
      <c r="J397" s="22"/>
      <c r="K397" s="7" t="s">
        <v>550</v>
      </c>
      <c r="L397" s="8" t="s">
        <v>63</v>
      </c>
      <c r="M397" s="8" t="s">
        <v>37</v>
      </c>
      <c r="N397" s="72">
        <v>0.29327622656014052</v>
      </c>
    </row>
    <row r="398" spans="1:14" x14ac:dyDescent="0.25">
      <c r="A398" s="22" t="s">
        <v>551</v>
      </c>
      <c r="B398" s="22" t="s">
        <v>43</v>
      </c>
      <c r="C398" s="22" t="s">
        <v>44</v>
      </c>
      <c r="D398" s="114">
        <v>0.22784008683068019</v>
      </c>
      <c r="J398" s="22"/>
      <c r="K398" s="7" t="s">
        <v>551</v>
      </c>
      <c r="L398" s="8" t="s">
        <v>43</v>
      </c>
      <c r="M398" s="8" t="s">
        <v>44</v>
      </c>
      <c r="N398" s="72">
        <v>0.22784008683068019</v>
      </c>
    </row>
    <row r="399" spans="1:14" x14ac:dyDescent="0.25">
      <c r="A399" s="22" t="s">
        <v>552</v>
      </c>
      <c r="B399" s="22" t="s">
        <v>56</v>
      </c>
      <c r="C399" s="22" t="s">
        <v>57</v>
      </c>
      <c r="D399" s="114">
        <v>0.40111731324276467</v>
      </c>
      <c r="J399" s="22"/>
      <c r="K399" s="7" t="s">
        <v>552</v>
      </c>
      <c r="L399" s="8" t="s">
        <v>56</v>
      </c>
      <c r="M399" s="8" t="s">
        <v>57</v>
      </c>
      <c r="N399" s="72">
        <v>0.40111731324276467</v>
      </c>
    </row>
    <row r="400" spans="1:14" x14ac:dyDescent="0.25">
      <c r="A400" s="22" t="s">
        <v>553</v>
      </c>
      <c r="B400" s="22" t="s">
        <v>56</v>
      </c>
      <c r="C400" s="22" t="s">
        <v>57</v>
      </c>
      <c r="D400" s="114">
        <v>0.35564877694995706</v>
      </c>
      <c r="J400" s="22"/>
      <c r="K400" s="7" t="s">
        <v>553</v>
      </c>
      <c r="L400" s="8" t="s">
        <v>56</v>
      </c>
      <c r="M400" s="8" t="s">
        <v>57</v>
      </c>
      <c r="N400" s="72">
        <v>0.35564877694995706</v>
      </c>
    </row>
    <row r="401" spans="1:14" x14ac:dyDescent="0.25">
      <c r="A401" s="22" t="s">
        <v>554</v>
      </c>
      <c r="B401" s="22" t="s">
        <v>60</v>
      </c>
      <c r="C401" s="22" t="s">
        <v>52</v>
      </c>
      <c r="D401" s="114">
        <v>0.38715288088713162</v>
      </c>
      <c r="J401" s="22"/>
      <c r="K401" s="7" t="s">
        <v>554</v>
      </c>
      <c r="L401" s="8" t="s">
        <v>60</v>
      </c>
      <c r="M401" s="8" t="s">
        <v>52</v>
      </c>
      <c r="N401" s="72">
        <v>0.38715288088713162</v>
      </c>
    </row>
    <row r="402" spans="1:14" x14ac:dyDescent="0.25">
      <c r="A402" s="22" t="s">
        <v>555</v>
      </c>
      <c r="B402" s="22" t="s">
        <v>48</v>
      </c>
      <c r="C402" s="22" t="s">
        <v>37</v>
      </c>
      <c r="D402" s="114">
        <v>0.31101938262742279</v>
      </c>
      <c r="J402" s="22"/>
      <c r="K402" s="7" t="s">
        <v>555</v>
      </c>
      <c r="L402" s="8" t="s">
        <v>48</v>
      </c>
      <c r="M402" s="8" t="s">
        <v>37</v>
      </c>
      <c r="N402" s="72">
        <v>0.31101938262742279</v>
      </c>
    </row>
    <row r="403" spans="1:14" x14ac:dyDescent="0.25">
      <c r="A403" s="22" t="s">
        <v>556</v>
      </c>
      <c r="B403" s="22" t="s">
        <v>56</v>
      </c>
      <c r="C403" s="22" t="s">
        <v>57</v>
      </c>
      <c r="D403" s="114">
        <v>0.26216384991496594</v>
      </c>
      <c r="J403" s="22"/>
      <c r="K403" s="7" t="s">
        <v>556</v>
      </c>
      <c r="L403" s="8" t="s">
        <v>56</v>
      </c>
      <c r="M403" s="8" t="s">
        <v>57</v>
      </c>
      <c r="N403" s="72">
        <v>0.26216384991496594</v>
      </c>
    </row>
    <row r="404" spans="1:14" x14ac:dyDescent="0.25">
      <c r="A404" s="22" t="s">
        <v>557</v>
      </c>
      <c r="B404" s="22" t="s">
        <v>51</v>
      </c>
      <c r="C404" s="22" t="s">
        <v>52</v>
      </c>
      <c r="D404" s="114">
        <v>0.19386995982740665</v>
      </c>
      <c r="J404" s="22"/>
      <c r="K404" s="7" t="s">
        <v>557</v>
      </c>
      <c r="L404" s="8" t="s">
        <v>51</v>
      </c>
      <c r="M404" s="8" t="s">
        <v>52</v>
      </c>
      <c r="N404" s="72">
        <v>0.19386995982740665</v>
      </c>
    </row>
    <row r="405" spans="1:14" x14ac:dyDescent="0.25">
      <c r="A405" s="22" t="s">
        <v>558</v>
      </c>
      <c r="B405" s="22" t="s">
        <v>83</v>
      </c>
      <c r="C405" s="22" t="s">
        <v>52</v>
      </c>
      <c r="D405" s="114">
        <v>0.32942699461742869</v>
      </c>
      <c r="J405" s="22"/>
      <c r="K405" s="7" t="s">
        <v>558</v>
      </c>
      <c r="L405" s="8" t="s">
        <v>83</v>
      </c>
      <c r="M405" s="8" t="s">
        <v>52</v>
      </c>
      <c r="N405" s="72">
        <v>0.32942699461742869</v>
      </c>
    </row>
    <row r="406" spans="1:14" x14ac:dyDescent="0.25">
      <c r="A406" s="22" t="s">
        <v>559</v>
      </c>
      <c r="B406" s="22" t="s">
        <v>17</v>
      </c>
      <c r="C406" s="22" t="s">
        <v>18</v>
      </c>
      <c r="D406" s="114">
        <v>0.1508677868671236</v>
      </c>
      <c r="J406" s="22"/>
      <c r="K406" s="7" t="s">
        <v>559</v>
      </c>
      <c r="L406" s="8" t="s">
        <v>17</v>
      </c>
      <c r="M406" s="8" t="s">
        <v>18</v>
      </c>
      <c r="N406" s="72">
        <v>0.1508677868671236</v>
      </c>
    </row>
    <row r="407" spans="1:14" x14ac:dyDescent="0.25">
      <c r="A407" s="22" t="s">
        <v>560</v>
      </c>
      <c r="B407" s="22" t="s">
        <v>25</v>
      </c>
      <c r="C407" s="22" t="s">
        <v>18</v>
      </c>
      <c r="D407" s="114">
        <v>0.16875093685089618</v>
      </c>
      <c r="J407" s="22"/>
      <c r="K407" s="7" t="s">
        <v>560</v>
      </c>
      <c r="L407" s="8" t="s">
        <v>25</v>
      </c>
      <c r="M407" s="8" t="s">
        <v>18</v>
      </c>
      <c r="N407" s="72">
        <v>0.16875093685089618</v>
      </c>
    </row>
    <row r="408" spans="1:14" x14ac:dyDescent="0.25">
      <c r="A408" s="22" t="s">
        <v>561</v>
      </c>
      <c r="B408" s="22" t="s">
        <v>60</v>
      </c>
      <c r="C408" s="22" t="s">
        <v>52</v>
      </c>
      <c r="D408" s="114">
        <v>0.28900308574483075</v>
      </c>
      <c r="J408" s="22"/>
      <c r="K408" s="7" t="s">
        <v>561</v>
      </c>
      <c r="L408" s="8" t="s">
        <v>60</v>
      </c>
      <c r="M408" s="8" t="s">
        <v>52</v>
      </c>
      <c r="N408" s="72">
        <v>0.28900308574483075</v>
      </c>
    </row>
    <row r="409" spans="1:14" x14ac:dyDescent="0.25">
      <c r="A409" s="22" t="s">
        <v>562</v>
      </c>
      <c r="B409" s="22" t="s">
        <v>48</v>
      </c>
      <c r="C409" s="22" t="s">
        <v>37</v>
      </c>
      <c r="D409" s="114">
        <v>0.39380836429360377</v>
      </c>
      <c r="J409" s="22"/>
      <c r="K409" s="7" t="s">
        <v>562</v>
      </c>
      <c r="L409" s="8" t="s">
        <v>48</v>
      </c>
      <c r="M409" s="8" t="s">
        <v>37</v>
      </c>
      <c r="N409" s="72">
        <v>0.39380836429360377</v>
      </c>
    </row>
    <row r="410" spans="1:14" x14ac:dyDescent="0.25">
      <c r="A410" s="22" t="s">
        <v>563</v>
      </c>
      <c r="B410" s="22" t="s">
        <v>48</v>
      </c>
      <c r="C410" s="22" t="s">
        <v>37</v>
      </c>
      <c r="D410" s="114">
        <v>0.20417590539541761</v>
      </c>
      <c r="J410" s="22"/>
      <c r="K410" s="7" t="s">
        <v>563</v>
      </c>
      <c r="L410" s="8" t="s">
        <v>48</v>
      </c>
      <c r="M410" s="8" t="s">
        <v>37</v>
      </c>
      <c r="N410" s="72">
        <v>0.20417590539541761</v>
      </c>
    </row>
    <row r="411" spans="1:14" x14ac:dyDescent="0.25">
      <c r="A411" s="22" t="s">
        <v>564</v>
      </c>
      <c r="B411" s="22" t="s">
        <v>25</v>
      </c>
      <c r="C411" s="22" t="s">
        <v>18</v>
      </c>
      <c r="D411" s="114">
        <v>0.31569115815691157</v>
      </c>
      <c r="J411" s="22"/>
      <c r="K411" s="7" t="s">
        <v>564</v>
      </c>
      <c r="L411" s="8" t="s">
        <v>25</v>
      </c>
      <c r="M411" s="8" t="s">
        <v>18</v>
      </c>
      <c r="N411" s="72">
        <v>0.31569115815691157</v>
      </c>
    </row>
    <row r="412" spans="1:14" x14ac:dyDescent="0.25">
      <c r="A412" s="22" t="s">
        <v>565</v>
      </c>
      <c r="B412" s="22" t="s">
        <v>83</v>
      </c>
      <c r="C412" s="22" t="s">
        <v>52</v>
      </c>
      <c r="D412" s="114">
        <v>0.24149702984642135</v>
      </c>
      <c r="J412" s="22"/>
      <c r="K412" s="7" t="s">
        <v>565</v>
      </c>
      <c r="L412" s="8" t="s">
        <v>83</v>
      </c>
      <c r="M412" s="8" t="s">
        <v>52</v>
      </c>
      <c r="N412" s="72">
        <v>0.24149702984642135</v>
      </c>
    </row>
    <row r="413" spans="1:14" x14ac:dyDescent="0.25">
      <c r="A413" s="22" t="s">
        <v>566</v>
      </c>
      <c r="B413" s="22" t="s">
        <v>83</v>
      </c>
      <c r="C413" s="22" t="s">
        <v>52</v>
      </c>
      <c r="D413" s="114">
        <v>0.28914343897161771</v>
      </c>
      <c r="J413" s="22"/>
      <c r="K413" s="7" t="s">
        <v>566</v>
      </c>
      <c r="L413" s="8" t="s">
        <v>83</v>
      </c>
      <c r="M413" s="8" t="s">
        <v>52</v>
      </c>
      <c r="N413" s="72">
        <v>0.28914343897161771</v>
      </c>
    </row>
    <row r="414" spans="1:14" x14ac:dyDescent="0.25">
      <c r="A414" s="22" t="s">
        <v>567</v>
      </c>
      <c r="B414" s="22" t="s">
        <v>17</v>
      </c>
      <c r="C414" s="22" t="s">
        <v>18</v>
      </c>
      <c r="D414" s="114">
        <v>0.28245102158623697</v>
      </c>
      <c r="J414" s="22"/>
      <c r="K414" s="7" t="s">
        <v>567</v>
      </c>
      <c r="L414" s="8" t="s">
        <v>17</v>
      </c>
      <c r="M414" s="8" t="s">
        <v>18</v>
      </c>
      <c r="N414" s="72">
        <v>0.28245102158623697</v>
      </c>
    </row>
    <row r="415" spans="1:14" x14ac:dyDescent="0.25">
      <c r="A415" s="22" t="s">
        <v>568</v>
      </c>
      <c r="B415" s="22" t="s">
        <v>56</v>
      </c>
      <c r="C415" s="22" t="s">
        <v>57</v>
      </c>
      <c r="D415" s="114">
        <v>0.30038618098319592</v>
      </c>
      <c r="J415" s="22"/>
      <c r="K415" s="7" t="s">
        <v>568</v>
      </c>
      <c r="L415" s="8" t="s">
        <v>56</v>
      </c>
      <c r="M415" s="8" t="s">
        <v>57</v>
      </c>
      <c r="N415" s="72">
        <v>0.30038618098319592</v>
      </c>
    </row>
    <row r="416" spans="1:14" x14ac:dyDescent="0.25">
      <c r="A416" s="22" t="s">
        <v>569</v>
      </c>
      <c r="B416" s="22" t="s">
        <v>36</v>
      </c>
      <c r="C416" s="22" t="s">
        <v>37</v>
      </c>
      <c r="D416" s="114">
        <v>0.10517952106737152</v>
      </c>
      <c r="J416" s="22"/>
      <c r="K416" s="7" t="s">
        <v>569</v>
      </c>
      <c r="L416" s="8" t="s">
        <v>36</v>
      </c>
      <c r="M416" s="8" t="s">
        <v>37</v>
      </c>
      <c r="N416" s="72">
        <v>0.10517952106737152</v>
      </c>
    </row>
    <row r="417" spans="1:14" x14ac:dyDescent="0.25">
      <c r="A417" s="22" t="s">
        <v>570</v>
      </c>
      <c r="B417" s="22" t="s">
        <v>60</v>
      </c>
      <c r="C417" s="22" t="s">
        <v>52</v>
      </c>
      <c r="D417" s="114">
        <v>0.37869966913160608</v>
      </c>
      <c r="J417" s="22"/>
      <c r="K417" s="7" t="s">
        <v>570</v>
      </c>
      <c r="L417" s="8" t="s">
        <v>60</v>
      </c>
      <c r="M417" s="8" t="s">
        <v>52</v>
      </c>
      <c r="N417" s="72">
        <v>0.37869966913160608</v>
      </c>
    </row>
    <row r="418" spans="1:14" x14ac:dyDescent="0.25">
      <c r="A418" s="22" t="s">
        <v>571</v>
      </c>
      <c r="B418" s="22" t="s">
        <v>60</v>
      </c>
      <c r="C418" s="22" t="s">
        <v>52</v>
      </c>
      <c r="D418" s="114">
        <v>0.26750848896434637</v>
      </c>
      <c r="J418" s="22"/>
      <c r="K418" s="7" t="s">
        <v>571</v>
      </c>
      <c r="L418" s="8" t="s">
        <v>60</v>
      </c>
      <c r="M418" s="8" t="s">
        <v>52</v>
      </c>
      <c r="N418" s="72">
        <v>0.26750848896434637</v>
      </c>
    </row>
    <row r="419" spans="1:14" x14ac:dyDescent="0.25">
      <c r="A419" s="22" t="s">
        <v>572</v>
      </c>
      <c r="B419" s="22" t="s">
        <v>36</v>
      </c>
      <c r="C419" s="22" t="s">
        <v>37</v>
      </c>
      <c r="D419" s="114">
        <v>0.36789927731680705</v>
      </c>
      <c r="J419" s="22"/>
      <c r="K419" s="7" t="s">
        <v>572</v>
      </c>
      <c r="L419" s="8" t="s">
        <v>36</v>
      </c>
      <c r="M419" s="8" t="s">
        <v>37</v>
      </c>
      <c r="N419" s="72">
        <v>0.36789927731680705</v>
      </c>
    </row>
    <row r="420" spans="1:14" x14ac:dyDescent="0.25">
      <c r="A420" s="22" t="s">
        <v>573</v>
      </c>
      <c r="B420" s="22" t="s">
        <v>56</v>
      </c>
      <c r="C420" s="22" t="s">
        <v>57</v>
      </c>
      <c r="D420" s="114">
        <v>0.27033775087000045</v>
      </c>
      <c r="J420" s="22"/>
      <c r="K420" s="7" t="s">
        <v>573</v>
      </c>
      <c r="L420" s="8" t="s">
        <v>56</v>
      </c>
      <c r="M420" s="8" t="s">
        <v>57</v>
      </c>
      <c r="N420" s="72">
        <v>0.27033775087000045</v>
      </c>
    </row>
    <row r="421" spans="1:14" x14ac:dyDescent="0.25">
      <c r="A421" s="22" t="s">
        <v>574</v>
      </c>
      <c r="B421" s="22" t="s">
        <v>25</v>
      </c>
      <c r="C421" s="22" t="s">
        <v>18</v>
      </c>
      <c r="D421" s="114">
        <v>0.1819047619047619</v>
      </c>
      <c r="J421" s="22"/>
      <c r="K421" s="7" t="s">
        <v>574</v>
      </c>
      <c r="L421" s="8" t="s">
        <v>25</v>
      </c>
      <c r="M421" s="8" t="s">
        <v>18</v>
      </c>
      <c r="N421" s="72">
        <v>0.1819047619047619</v>
      </c>
    </row>
    <row r="422" spans="1:14" x14ac:dyDescent="0.25">
      <c r="A422" s="22" t="s">
        <v>575</v>
      </c>
      <c r="B422" s="22" t="s">
        <v>60</v>
      </c>
      <c r="C422" s="22" t="s">
        <v>52</v>
      </c>
      <c r="D422" s="114">
        <v>0.35585284280936458</v>
      </c>
      <c r="J422" s="22"/>
      <c r="K422" s="7" t="s">
        <v>575</v>
      </c>
      <c r="L422" s="8" t="s">
        <v>60</v>
      </c>
      <c r="M422" s="8" t="s">
        <v>52</v>
      </c>
      <c r="N422" s="72">
        <v>0.35585284280936458</v>
      </c>
    </row>
    <row r="423" spans="1:14" x14ac:dyDescent="0.25">
      <c r="A423" s="22" t="s">
        <v>576</v>
      </c>
      <c r="B423" s="22" t="s">
        <v>43</v>
      </c>
      <c r="C423" s="22" t="s">
        <v>44</v>
      </c>
      <c r="D423" s="114">
        <v>0.26537139009786714</v>
      </c>
      <c r="J423" s="22"/>
      <c r="K423" s="7" t="s">
        <v>576</v>
      </c>
      <c r="L423" s="8" t="s">
        <v>43</v>
      </c>
      <c r="M423" s="8" t="s">
        <v>44</v>
      </c>
      <c r="N423" s="72">
        <v>0.26537139009786714</v>
      </c>
    </row>
    <row r="424" spans="1:14" x14ac:dyDescent="0.25">
      <c r="A424" s="22" t="s">
        <v>577</v>
      </c>
      <c r="B424" s="22" t="s">
        <v>56</v>
      </c>
      <c r="C424" s="22" t="s">
        <v>57</v>
      </c>
      <c r="D424" s="114">
        <v>0.29227530599481816</v>
      </c>
      <c r="J424" s="22"/>
      <c r="K424" s="7" t="s">
        <v>577</v>
      </c>
      <c r="L424" s="8" t="s">
        <v>56</v>
      </c>
      <c r="M424" s="8" t="s">
        <v>57</v>
      </c>
      <c r="N424" s="72">
        <v>0.29227530599481816</v>
      </c>
    </row>
    <row r="425" spans="1:14" x14ac:dyDescent="0.25">
      <c r="A425" s="22" t="s">
        <v>578</v>
      </c>
      <c r="B425" s="22" t="s">
        <v>43</v>
      </c>
      <c r="C425" s="22" t="s">
        <v>44</v>
      </c>
      <c r="D425" s="114">
        <v>0.19713714450556558</v>
      </c>
      <c r="J425" s="22"/>
      <c r="K425" s="7" t="s">
        <v>578</v>
      </c>
      <c r="L425" s="8" t="s">
        <v>43</v>
      </c>
      <c r="M425" s="8" t="s">
        <v>44</v>
      </c>
      <c r="N425" s="72">
        <v>0.19713714450556558</v>
      </c>
    </row>
    <row r="426" spans="1:14" x14ac:dyDescent="0.25">
      <c r="A426" s="22" t="s">
        <v>579</v>
      </c>
      <c r="B426" s="22" t="s">
        <v>25</v>
      </c>
      <c r="C426" s="22" t="s">
        <v>18</v>
      </c>
      <c r="D426" s="114">
        <v>0.29752676264304173</v>
      </c>
      <c r="J426" s="22"/>
      <c r="K426" s="7" t="s">
        <v>579</v>
      </c>
      <c r="L426" s="8" t="s">
        <v>25</v>
      </c>
      <c r="M426" s="8" t="s">
        <v>18</v>
      </c>
      <c r="N426" s="72">
        <v>0.29752676264304173</v>
      </c>
    </row>
    <row r="427" spans="1:14" x14ac:dyDescent="0.25">
      <c r="A427" s="22" t="s">
        <v>580</v>
      </c>
      <c r="B427" s="22" t="s">
        <v>51</v>
      </c>
      <c r="C427" s="22" t="s">
        <v>52</v>
      </c>
      <c r="D427" s="114">
        <v>0.21732250743215165</v>
      </c>
      <c r="J427" s="22"/>
      <c r="K427" s="7" t="s">
        <v>580</v>
      </c>
      <c r="L427" s="8" t="s">
        <v>51</v>
      </c>
      <c r="M427" s="8" t="s">
        <v>52</v>
      </c>
      <c r="N427" s="72">
        <v>0.21732250743215165</v>
      </c>
    </row>
    <row r="428" spans="1:14" x14ac:dyDescent="0.25">
      <c r="A428" s="22" t="s">
        <v>581</v>
      </c>
      <c r="B428" s="22" t="s">
        <v>83</v>
      </c>
      <c r="C428" s="22" t="s">
        <v>52</v>
      </c>
      <c r="D428" s="114">
        <v>0.2399694144134577</v>
      </c>
      <c r="J428" s="22"/>
      <c r="K428" s="7" t="s">
        <v>581</v>
      </c>
      <c r="L428" s="8" t="s">
        <v>83</v>
      </c>
      <c r="M428" s="8" t="s">
        <v>52</v>
      </c>
      <c r="N428" s="72">
        <v>0.2399694144134577</v>
      </c>
    </row>
    <row r="429" spans="1:14" x14ac:dyDescent="0.25">
      <c r="A429" s="22" t="s">
        <v>582</v>
      </c>
      <c r="B429" s="22" t="s">
        <v>83</v>
      </c>
      <c r="C429" s="22" t="s">
        <v>52</v>
      </c>
      <c r="D429" s="114">
        <v>0.25048233322536578</v>
      </c>
      <c r="J429" s="22"/>
      <c r="K429" s="7" t="s">
        <v>582</v>
      </c>
      <c r="L429" s="8" t="s">
        <v>83</v>
      </c>
      <c r="M429" s="8" t="s">
        <v>52</v>
      </c>
      <c r="N429" s="72">
        <v>0.25048233322536578</v>
      </c>
    </row>
    <row r="430" spans="1:14" x14ac:dyDescent="0.25">
      <c r="A430" s="22" t="s">
        <v>583</v>
      </c>
      <c r="B430" s="22" t="s">
        <v>43</v>
      </c>
      <c r="C430" s="22" t="s">
        <v>44</v>
      </c>
      <c r="D430" s="114">
        <v>0.3687884038296656</v>
      </c>
      <c r="J430" s="22"/>
      <c r="K430" s="7" t="s">
        <v>583</v>
      </c>
      <c r="L430" s="8" t="s">
        <v>43</v>
      </c>
      <c r="M430" s="8" t="s">
        <v>44</v>
      </c>
      <c r="N430" s="72">
        <v>0.3687884038296656</v>
      </c>
    </row>
    <row r="431" spans="1:14" x14ac:dyDescent="0.25">
      <c r="A431" s="22" t="s">
        <v>584</v>
      </c>
      <c r="B431" s="22" t="s">
        <v>17</v>
      </c>
      <c r="C431" s="22" t="s">
        <v>18</v>
      </c>
      <c r="D431" s="114">
        <v>0.10974597995805174</v>
      </c>
      <c r="J431" s="22"/>
      <c r="K431" s="7" t="s">
        <v>584</v>
      </c>
      <c r="L431" s="8" t="s">
        <v>17</v>
      </c>
      <c r="M431" s="8" t="s">
        <v>18</v>
      </c>
      <c r="N431" s="72">
        <v>0.10974597995805174</v>
      </c>
    </row>
    <row r="432" spans="1:14" x14ac:dyDescent="0.25">
      <c r="A432" s="22" t="s">
        <v>585</v>
      </c>
      <c r="B432" s="22" t="s">
        <v>63</v>
      </c>
      <c r="C432" s="22" t="s">
        <v>37</v>
      </c>
      <c r="D432" s="114">
        <v>0.39134007585335012</v>
      </c>
      <c r="J432" s="22"/>
      <c r="K432" s="7" t="s">
        <v>585</v>
      </c>
      <c r="L432" s="8" t="s">
        <v>63</v>
      </c>
      <c r="M432" s="8" t="s">
        <v>37</v>
      </c>
      <c r="N432" s="72">
        <v>0.39134007585335012</v>
      </c>
    </row>
    <row r="433" spans="1:14" x14ac:dyDescent="0.25">
      <c r="A433" s="22" t="s">
        <v>586</v>
      </c>
      <c r="B433" s="22" t="s">
        <v>63</v>
      </c>
      <c r="C433" s="22" t="s">
        <v>37</v>
      </c>
      <c r="D433" s="114">
        <v>0.27129273504273504</v>
      </c>
      <c r="J433" s="22"/>
      <c r="K433" s="7" t="s">
        <v>586</v>
      </c>
      <c r="L433" s="8" t="s">
        <v>63</v>
      </c>
      <c r="M433" s="8" t="s">
        <v>37</v>
      </c>
      <c r="N433" s="72">
        <v>0.27129273504273504</v>
      </c>
    </row>
    <row r="434" spans="1:14" x14ac:dyDescent="0.25">
      <c r="A434" s="22" t="s">
        <v>587</v>
      </c>
      <c r="B434" s="22" t="s">
        <v>43</v>
      </c>
      <c r="C434" s="22" t="s">
        <v>44</v>
      </c>
      <c r="D434" s="114">
        <v>0.17256603962377426</v>
      </c>
      <c r="J434" s="22"/>
      <c r="K434" s="7" t="s">
        <v>587</v>
      </c>
      <c r="L434" s="8" t="s">
        <v>43</v>
      </c>
      <c r="M434" s="8" t="s">
        <v>44</v>
      </c>
      <c r="N434" s="72">
        <v>0.17256603962377426</v>
      </c>
    </row>
    <row r="435" spans="1:14" x14ac:dyDescent="0.25">
      <c r="A435" s="22" t="s">
        <v>588</v>
      </c>
      <c r="B435" s="22" t="s">
        <v>60</v>
      </c>
      <c r="C435" s="22" t="s">
        <v>52</v>
      </c>
      <c r="D435" s="114">
        <v>0.31960549113687858</v>
      </c>
      <c r="J435" s="22"/>
      <c r="K435" s="7" t="s">
        <v>588</v>
      </c>
      <c r="L435" s="8" t="s">
        <v>60</v>
      </c>
      <c r="M435" s="8" t="s">
        <v>52</v>
      </c>
      <c r="N435" s="72">
        <v>0.31960549113687858</v>
      </c>
    </row>
    <row r="436" spans="1:14" x14ac:dyDescent="0.25">
      <c r="A436" s="22" t="s">
        <v>589</v>
      </c>
      <c r="B436" s="22" t="s">
        <v>63</v>
      </c>
      <c r="C436" s="22" t="s">
        <v>37</v>
      </c>
      <c r="D436" s="114">
        <v>0.21679535679121104</v>
      </c>
      <c r="J436" s="22"/>
      <c r="K436" s="7" t="s">
        <v>589</v>
      </c>
      <c r="L436" s="8" t="s">
        <v>63</v>
      </c>
      <c r="M436" s="8" t="s">
        <v>37</v>
      </c>
      <c r="N436" s="72">
        <v>0.21679535679121104</v>
      </c>
    </row>
    <row r="437" spans="1:14" x14ac:dyDescent="0.25">
      <c r="A437" s="22" t="s">
        <v>590</v>
      </c>
      <c r="B437" s="22" t="s">
        <v>36</v>
      </c>
      <c r="C437" s="22" t="s">
        <v>37</v>
      </c>
      <c r="D437" s="114">
        <v>0.21304528212422949</v>
      </c>
      <c r="J437" s="22"/>
      <c r="K437" s="7" t="s">
        <v>590</v>
      </c>
      <c r="L437" s="8" t="s">
        <v>36</v>
      </c>
      <c r="M437" s="8" t="s">
        <v>37</v>
      </c>
      <c r="N437" s="72">
        <v>0.21304528212422949</v>
      </c>
    </row>
    <row r="438" spans="1:14" x14ac:dyDescent="0.25">
      <c r="A438" s="22" t="s">
        <v>591</v>
      </c>
      <c r="B438" s="22" t="s">
        <v>56</v>
      </c>
      <c r="C438" s="22" t="s">
        <v>57</v>
      </c>
      <c r="D438" s="114">
        <v>0.21723381946430273</v>
      </c>
      <c r="J438" s="22"/>
      <c r="K438" s="7" t="s">
        <v>591</v>
      </c>
      <c r="L438" s="8" t="s">
        <v>56</v>
      </c>
      <c r="M438" s="8" t="s">
        <v>57</v>
      </c>
      <c r="N438" s="72">
        <v>0.21723381946430273</v>
      </c>
    </row>
    <row r="439" spans="1:14" x14ac:dyDescent="0.25">
      <c r="A439" s="22" t="s">
        <v>592</v>
      </c>
      <c r="B439" s="22" t="s">
        <v>48</v>
      </c>
      <c r="C439" s="22" t="s">
        <v>37</v>
      </c>
      <c r="D439" s="114">
        <v>0.37985262228704109</v>
      </c>
      <c r="J439" s="22"/>
      <c r="K439" s="7" t="s">
        <v>592</v>
      </c>
      <c r="L439" s="8" t="s">
        <v>48</v>
      </c>
      <c r="M439" s="8" t="s">
        <v>37</v>
      </c>
      <c r="N439" s="72">
        <v>0.37985262228704109</v>
      </c>
    </row>
    <row r="440" spans="1:14" x14ac:dyDescent="0.25">
      <c r="A440" s="22" t="s">
        <v>593</v>
      </c>
      <c r="B440" s="22" t="s">
        <v>51</v>
      </c>
      <c r="C440" s="22" t="s">
        <v>52</v>
      </c>
      <c r="D440" s="114">
        <v>0.24213023560209429</v>
      </c>
      <c r="J440" s="22"/>
      <c r="K440" s="7" t="s">
        <v>593</v>
      </c>
      <c r="L440" s="8" t="s">
        <v>51</v>
      </c>
      <c r="M440" s="8" t="s">
        <v>52</v>
      </c>
      <c r="N440" s="72">
        <v>0.24213023560209429</v>
      </c>
    </row>
    <row r="441" spans="1:14" x14ac:dyDescent="0.25">
      <c r="A441" s="22" t="s">
        <v>594</v>
      </c>
      <c r="B441" s="22" t="s">
        <v>17</v>
      </c>
      <c r="C441" s="22" t="s">
        <v>18</v>
      </c>
      <c r="D441" s="114">
        <v>0.407201679315356</v>
      </c>
      <c r="J441" s="22"/>
      <c r="K441" s="7" t="s">
        <v>594</v>
      </c>
      <c r="L441" s="8" t="s">
        <v>17</v>
      </c>
      <c r="M441" s="8" t="s">
        <v>18</v>
      </c>
      <c r="N441" s="72">
        <v>0.407201679315356</v>
      </c>
    </row>
    <row r="442" spans="1:14" x14ac:dyDescent="0.25">
      <c r="A442" s="22" t="s">
        <v>595</v>
      </c>
      <c r="B442" s="22" t="s">
        <v>48</v>
      </c>
      <c r="C442" s="22" t="s">
        <v>37</v>
      </c>
      <c r="D442" s="114">
        <v>0.38603578417668433</v>
      </c>
      <c r="J442" s="22"/>
      <c r="K442" s="7" t="s">
        <v>595</v>
      </c>
      <c r="L442" s="8" t="s">
        <v>48</v>
      </c>
      <c r="M442" s="8" t="s">
        <v>37</v>
      </c>
      <c r="N442" s="72">
        <v>0.38603578417668433</v>
      </c>
    </row>
    <row r="443" spans="1:14" x14ac:dyDescent="0.25">
      <c r="A443" s="22" t="s">
        <v>596</v>
      </c>
      <c r="B443" s="22" t="s">
        <v>63</v>
      </c>
      <c r="C443" s="22" t="s">
        <v>37</v>
      </c>
      <c r="D443" s="114">
        <v>0.40537620742247077</v>
      </c>
      <c r="J443" s="22"/>
      <c r="K443" s="7" t="s">
        <v>596</v>
      </c>
      <c r="L443" s="8" t="s">
        <v>63</v>
      </c>
      <c r="M443" s="8" t="s">
        <v>37</v>
      </c>
      <c r="N443" s="72">
        <v>0.40537620742247077</v>
      </c>
    </row>
    <row r="444" spans="1:14" x14ac:dyDescent="0.25">
      <c r="A444" s="22" t="s">
        <v>597</v>
      </c>
      <c r="B444" s="22" t="s">
        <v>25</v>
      </c>
      <c r="C444" s="22" t="s">
        <v>18</v>
      </c>
      <c r="D444" s="114">
        <v>0.28868507083181982</v>
      </c>
      <c r="J444" s="22"/>
      <c r="K444" s="7" t="s">
        <v>597</v>
      </c>
      <c r="L444" s="8" t="s">
        <v>25</v>
      </c>
      <c r="M444" s="8" t="s">
        <v>18</v>
      </c>
      <c r="N444" s="72">
        <v>0.28868507083181982</v>
      </c>
    </row>
    <row r="445" spans="1:14" x14ac:dyDescent="0.25">
      <c r="A445" s="22" t="s">
        <v>598</v>
      </c>
      <c r="B445" s="22" t="s">
        <v>51</v>
      </c>
      <c r="C445" s="22" t="s">
        <v>52</v>
      </c>
      <c r="D445" s="114">
        <v>0.38861466402450007</v>
      </c>
      <c r="J445" s="22"/>
      <c r="K445" s="7" t="s">
        <v>598</v>
      </c>
      <c r="L445" s="8" t="s">
        <v>51</v>
      </c>
      <c r="M445" s="8" t="s">
        <v>52</v>
      </c>
      <c r="N445" s="72">
        <v>0.38861466402450007</v>
      </c>
    </row>
    <row r="446" spans="1:14" x14ac:dyDescent="0.25">
      <c r="A446" s="22" t="s">
        <v>599</v>
      </c>
      <c r="B446" s="22" t="s">
        <v>60</v>
      </c>
      <c r="C446" s="22" t="s">
        <v>52</v>
      </c>
      <c r="D446" s="114">
        <v>0.30606418918918921</v>
      </c>
      <c r="J446" s="22"/>
      <c r="K446" s="7" t="s">
        <v>599</v>
      </c>
      <c r="L446" s="8" t="s">
        <v>60</v>
      </c>
      <c r="M446" s="8" t="s">
        <v>52</v>
      </c>
      <c r="N446" s="72">
        <v>0.30606418918918921</v>
      </c>
    </row>
    <row r="447" spans="1:14" x14ac:dyDescent="0.25">
      <c r="A447" s="22" t="s">
        <v>600</v>
      </c>
      <c r="B447" s="22" t="s">
        <v>63</v>
      </c>
      <c r="C447" s="22" t="s">
        <v>37</v>
      </c>
      <c r="D447" s="114">
        <v>0.2967188288743059</v>
      </c>
      <c r="J447" s="22"/>
      <c r="K447" s="7" t="s">
        <v>600</v>
      </c>
      <c r="L447" s="8" t="s">
        <v>63</v>
      </c>
      <c r="M447" s="8" t="s">
        <v>37</v>
      </c>
      <c r="N447" s="72">
        <v>0.2967188288743059</v>
      </c>
    </row>
    <row r="448" spans="1:14" x14ac:dyDescent="0.25">
      <c r="A448" s="22" t="s">
        <v>601</v>
      </c>
      <c r="B448" s="22" t="s">
        <v>63</v>
      </c>
      <c r="C448" s="22" t="s">
        <v>37</v>
      </c>
      <c r="D448" s="114">
        <v>0.21760029580329079</v>
      </c>
      <c r="J448" s="22"/>
      <c r="K448" s="7" t="s">
        <v>601</v>
      </c>
      <c r="L448" s="8" t="s">
        <v>63</v>
      </c>
      <c r="M448" s="8" t="s">
        <v>37</v>
      </c>
      <c r="N448" s="72">
        <v>0.21760029580329079</v>
      </c>
    </row>
    <row r="449" spans="1:14" x14ac:dyDescent="0.25">
      <c r="A449" s="22" t="s">
        <v>602</v>
      </c>
      <c r="B449" s="22" t="s">
        <v>25</v>
      </c>
      <c r="C449" s="22" t="s">
        <v>18</v>
      </c>
      <c r="D449" s="114">
        <v>0.2797375912860503</v>
      </c>
      <c r="J449" s="22"/>
      <c r="K449" s="7" t="s">
        <v>602</v>
      </c>
      <c r="L449" s="8" t="s">
        <v>25</v>
      </c>
      <c r="M449" s="8" t="s">
        <v>18</v>
      </c>
      <c r="N449" s="72">
        <v>0.2797375912860503</v>
      </c>
    </row>
    <row r="450" spans="1:14" x14ac:dyDescent="0.25">
      <c r="A450" s="22" t="s">
        <v>603</v>
      </c>
      <c r="B450" s="22" t="s">
        <v>48</v>
      </c>
      <c r="C450" s="22" t="s">
        <v>37</v>
      </c>
      <c r="D450" s="114">
        <v>0.34921634910878924</v>
      </c>
      <c r="J450" s="22"/>
      <c r="K450" s="7" t="s">
        <v>603</v>
      </c>
      <c r="L450" s="8" t="s">
        <v>48</v>
      </c>
      <c r="M450" s="8" t="s">
        <v>37</v>
      </c>
      <c r="N450" s="72">
        <v>0.34921634910878924</v>
      </c>
    </row>
    <row r="451" spans="1:14" x14ac:dyDescent="0.25">
      <c r="A451" s="22" t="s">
        <v>604</v>
      </c>
      <c r="B451" s="22" t="s">
        <v>51</v>
      </c>
      <c r="C451" s="22" t="s">
        <v>52</v>
      </c>
      <c r="D451" s="114">
        <v>0.29760867671399949</v>
      </c>
      <c r="J451" s="22"/>
      <c r="K451" s="7" t="s">
        <v>604</v>
      </c>
      <c r="L451" s="8" t="s">
        <v>51</v>
      </c>
      <c r="M451" s="8" t="s">
        <v>52</v>
      </c>
      <c r="N451" s="72">
        <v>0.29760867671399949</v>
      </c>
    </row>
    <row r="452" spans="1:14" x14ac:dyDescent="0.25">
      <c r="A452" s="22" t="s">
        <v>605</v>
      </c>
      <c r="B452" s="22" t="s">
        <v>63</v>
      </c>
      <c r="C452" s="22" t="s">
        <v>37</v>
      </c>
      <c r="D452" s="114">
        <v>0.1573905109489051</v>
      </c>
      <c r="J452" s="22"/>
      <c r="K452" s="7" t="s">
        <v>605</v>
      </c>
      <c r="L452" s="8" t="s">
        <v>63</v>
      </c>
      <c r="M452" s="8" t="s">
        <v>37</v>
      </c>
      <c r="N452" s="72">
        <v>0.1573905109489051</v>
      </c>
    </row>
    <row r="453" spans="1:14" x14ac:dyDescent="0.25">
      <c r="A453" s="22" t="s">
        <v>606</v>
      </c>
      <c r="B453" s="22" t="s">
        <v>83</v>
      </c>
      <c r="C453" s="22" t="s">
        <v>52</v>
      </c>
      <c r="D453" s="114">
        <v>0.37348229178788933</v>
      </c>
      <c r="J453" s="22"/>
      <c r="K453" s="7" t="s">
        <v>606</v>
      </c>
      <c r="L453" s="8" t="s">
        <v>83</v>
      </c>
      <c r="M453" s="8" t="s">
        <v>52</v>
      </c>
      <c r="N453" s="72">
        <v>0.37348229178788933</v>
      </c>
    </row>
    <row r="454" spans="1:14" x14ac:dyDescent="0.25">
      <c r="A454" s="22" t="s">
        <v>607</v>
      </c>
      <c r="B454" s="22" t="s">
        <v>56</v>
      </c>
      <c r="C454" s="22" t="s">
        <v>57</v>
      </c>
      <c r="D454" s="114">
        <v>0.17348986554284571</v>
      </c>
      <c r="J454" s="22"/>
      <c r="K454" s="7" t="s">
        <v>607</v>
      </c>
      <c r="L454" s="8" t="s">
        <v>56</v>
      </c>
      <c r="M454" s="8" t="s">
        <v>57</v>
      </c>
      <c r="N454" s="72">
        <v>0.17348986554284571</v>
      </c>
    </row>
    <row r="455" spans="1:14" x14ac:dyDescent="0.25">
      <c r="A455" s="22" t="s">
        <v>608</v>
      </c>
      <c r="B455" s="22" t="s">
        <v>43</v>
      </c>
      <c r="C455" s="22" t="s">
        <v>44</v>
      </c>
      <c r="D455" s="114">
        <v>0.38157460675061355</v>
      </c>
      <c r="J455" s="22"/>
      <c r="K455" s="7" t="s">
        <v>608</v>
      </c>
      <c r="L455" s="8" t="s">
        <v>43</v>
      </c>
      <c r="M455" s="8" t="s">
        <v>44</v>
      </c>
      <c r="N455" s="72">
        <v>0.38157460675061355</v>
      </c>
    </row>
    <row r="456" spans="1:14" x14ac:dyDescent="0.25">
      <c r="A456" s="22" t="s">
        <v>609</v>
      </c>
      <c r="B456" s="22" t="s">
        <v>83</v>
      </c>
      <c r="C456" s="22" t="s">
        <v>52</v>
      </c>
      <c r="D456" s="114">
        <v>0.28763885606239659</v>
      </c>
      <c r="J456" s="22"/>
      <c r="K456" s="7" t="s">
        <v>609</v>
      </c>
      <c r="L456" s="8" t="s">
        <v>83</v>
      </c>
      <c r="M456" s="8" t="s">
        <v>52</v>
      </c>
      <c r="N456" s="72">
        <v>0.28763885606239659</v>
      </c>
    </row>
    <row r="457" spans="1:14" x14ac:dyDescent="0.25">
      <c r="A457" s="22" t="s">
        <v>610</v>
      </c>
      <c r="B457" s="22" t="s">
        <v>56</v>
      </c>
      <c r="C457" s="22" t="s">
        <v>57</v>
      </c>
      <c r="D457" s="114">
        <v>0.35994922630560927</v>
      </c>
      <c r="J457" s="22"/>
      <c r="K457" s="7" t="s">
        <v>610</v>
      </c>
      <c r="L457" s="8" t="s">
        <v>56</v>
      </c>
      <c r="M457" s="8" t="s">
        <v>57</v>
      </c>
      <c r="N457" s="72">
        <v>0.35994922630560927</v>
      </c>
    </row>
    <row r="458" spans="1:14" x14ac:dyDescent="0.25">
      <c r="A458" s="22" t="s">
        <v>611</v>
      </c>
      <c r="B458" s="22" t="s">
        <v>25</v>
      </c>
      <c r="C458" s="22" t="s">
        <v>18</v>
      </c>
      <c r="D458" s="114">
        <v>0.39980885632366991</v>
      </c>
      <c r="J458" s="22"/>
      <c r="K458" s="7" t="s">
        <v>611</v>
      </c>
      <c r="L458" s="8" t="s">
        <v>25</v>
      </c>
      <c r="M458" s="8" t="s">
        <v>18</v>
      </c>
      <c r="N458" s="72">
        <v>0.39980885632366991</v>
      </c>
    </row>
    <row r="459" spans="1:14" x14ac:dyDescent="0.25">
      <c r="A459" s="22" t="s">
        <v>612</v>
      </c>
      <c r="B459" s="22" t="s">
        <v>51</v>
      </c>
      <c r="C459" s="22" t="s">
        <v>52</v>
      </c>
      <c r="D459" s="114">
        <v>0.26242189824457007</v>
      </c>
      <c r="J459" s="22"/>
      <c r="K459" s="7" t="s">
        <v>612</v>
      </c>
      <c r="L459" s="8" t="s">
        <v>51</v>
      </c>
      <c r="M459" s="8" t="s">
        <v>52</v>
      </c>
      <c r="N459" s="72">
        <v>0.26242189824457007</v>
      </c>
    </row>
    <row r="460" spans="1:14" x14ac:dyDescent="0.25">
      <c r="A460" s="22" t="s">
        <v>613</v>
      </c>
      <c r="B460" s="22" t="s">
        <v>36</v>
      </c>
      <c r="C460" s="22" t="s">
        <v>37</v>
      </c>
      <c r="D460" s="114">
        <v>0.29093480038001812</v>
      </c>
      <c r="J460" s="22"/>
      <c r="K460" s="7" t="s">
        <v>613</v>
      </c>
      <c r="L460" s="8" t="s">
        <v>36</v>
      </c>
      <c r="M460" s="8" t="s">
        <v>37</v>
      </c>
      <c r="N460" s="72">
        <v>0.29093480038001812</v>
      </c>
    </row>
    <row r="461" spans="1:14" x14ac:dyDescent="0.25">
      <c r="A461" s="22" t="s">
        <v>614</v>
      </c>
      <c r="B461" s="22" t="s">
        <v>51</v>
      </c>
      <c r="C461" s="22" t="s">
        <v>52</v>
      </c>
      <c r="D461" s="114">
        <v>0.31962719298245618</v>
      </c>
      <c r="J461" s="22"/>
      <c r="K461" s="7" t="s">
        <v>614</v>
      </c>
      <c r="L461" s="8" t="s">
        <v>51</v>
      </c>
      <c r="M461" s="8" t="s">
        <v>52</v>
      </c>
      <c r="N461" s="72">
        <v>0.31962719298245618</v>
      </c>
    </row>
    <row r="462" spans="1:14" x14ac:dyDescent="0.25">
      <c r="A462" s="22" t="s">
        <v>615</v>
      </c>
      <c r="B462" s="22" t="s">
        <v>17</v>
      </c>
      <c r="C462" s="22" t="s">
        <v>18</v>
      </c>
      <c r="D462" s="114">
        <v>0.27272905656428237</v>
      </c>
      <c r="J462" s="22"/>
      <c r="K462" s="7" t="s">
        <v>615</v>
      </c>
      <c r="L462" s="8" t="s">
        <v>17</v>
      </c>
      <c r="M462" s="8" t="s">
        <v>18</v>
      </c>
      <c r="N462" s="72">
        <v>0.27272905656428237</v>
      </c>
    </row>
    <row r="463" spans="1:14" x14ac:dyDescent="0.25">
      <c r="A463" s="22" t="s">
        <v>616</v>
      </c>
      <c r="B463" s="22" t="s">
        <v>60</v>
      </c>
      <c r="C463" s="22" t="s">
        <v>52</v>
      </c>
      <c r="D463" s="114">
        <v>0.27084922891956253</v>
      </c>
      <c r="J463" s="22"/>
      <c r="K463" s="7" t="s">
        <v>616</v>
      </c>
      <c r="L463" s="8" t="s">
        <v>60</v>
      </c>
      <c r="M463" s="8" t="s">
        <v>52</v>
      </c>
      <c r="N463" s="72">
        <v>0.27084922891956253</v>
      </c>
    </row>
    <row r="464" spans="1:14" x14ac:dyDescent="0.25">
      <c r="A464" s="22" t="s">
        <v>617</v>
      </c>
      <c r="B464" s="22" t="s">
        <v>60</v>
      </c>
      <c r="C464" s="22" t="s">
        <v>52</v>
      </c>
      <c r="D464" s="114">
        <v>0.22625318606627018</v>
      </c>
      <c r="J464" s="22"/>
      <c r="K464" s="7" t="s">
        <v>617</v>
      </c>
      <c r="L464" s="8" t="s">
        <v>60</v>
      </c>
      <c r="M464" s="8" t="s">
        <v>52</v>
      </c>
      <c r="N464" s="72">
        <v>0.22625318606627018</v>
      </c>
    </row>
    <row r="465" spans="1:14" x14ac:dyDescent="0.25">
      <c r="A465" s="22" t="s">
        <v>618</v>
      </c>
      <c r="B465" s="22" t="s">
        <v>56</v>
      </c>
      <c r="C465" s="22" t="s">
        <v>57</v>
      </c>
      <c r="D465" s="114">
        <v>0.23569196018175612</v>
      </c>
      <c r="J465" s="22"/>
      <c r="K465" s="7" t="s">
        <v>618</v>
      </c>
      <c r="L465" s="8" t="s">
        <v>56</v>
      </c>
      <c r="M465" s="8" t="s">
        <v>57</v>
      </c>
      <c r="N465" s="72">
        <v>0.23569196018175612</v>
      </c>
    </row>
    <row r="466" spans="1:14" x14ac:dyDescent="0.25">
      <c r="A466" s="22" t="s">
        <v>619</v>
      </c>
      <c r="B466" s="22" t="s">
        <v>51</v>
      </c>
      <c r="C466" s="22" t="s">
        <v>52</v>
      </c>
      <c r="D466" s="114">
        <v>0.30335483964402354</v>
      </c>
      <c r="J466" s="22"/>
      <c r="K466" s="7" t="s">
        <v>619</v>
      </c>
      <c r="L466" s="8" t="s">
        <v>51</v>
      </c>
      <c r="M466" s="8" t="s">
        <v>52</v>
      </c>
      <c r="N466" s="72">
        <v>0.30335483964402354</v>
      </c>
    </row>
    <row r="467" spans="1:14" x14ac:dyDescent="0.25">
      <c r="A467" s="22" t="s">
        <v>620</v>
      </c>
      <c r="B467" s="22" t="s">
        <v>25</v>
      </c>
      <c r="C467" s="22" t="s">
        <v>18</v>
      </c>
      <c r="D467" s="114">
        <v>0.26809168893263957</v>
      </c>
      <c r="J467" s="22"/>
      <c r="K467" s="7" t="s">
        <v>620</v>
      </c>
      <c r="L467" s="8" t="s">
        <v>25</v>
      </c>
      <c r="M467" s="8" t="s">
        <v>18</v>
      </c>
      <c r="N467" s="72">
        <v>0.26809168893263957</v>
      </c>
    </row>
    <row r="468" spans="1:14" x14ac:dyDescent="0.25">
      <c r="A468" s="22" t="s">
        <v>621</v>
      </c>
      <c r="B468" s="22" t="s">
        <v>63</v>
      </c>
      <c r="C468" s="22" t="s">
        <v>37</v>
      </c>
      <c r="D468" s="114">
        <v>0.3159274193548387</v>
      </c>
      <c r="J468" s="22"/>
      <c r="K468" s="7" t="s">
        <v>621</v>
      </c>
      <c r="L468" s="8" t="s">
        <v>63</v>
      </c>
      <c r="M468" s="8" t="s">
        <v>37</v>
      </c>
      <c r="N468" s="72">
        <v>0.3159274193548387</v>
      </c>
    </row>
    <row r="469" spans="1:14" x14ac:dyDescent="0.25">
      <c r="A469" s="22" t="s">
        <v>622</v>
      </c>
      <c r="B469" s="22" t="s">
        <v>60</v>
      </c>
      <c r="C469" s="22" t="s">
        <v>52</v>
      </c>
      <c r="D469" s="114">
        <v>0.38868029481296068</v>
      </c>
      <c r="J469" s="22"/>
      <c r="K469" s="7" t="s">
        <v>622</v>
      </c>
      <c r="L469" s="8" t="s">
        <v>60</v>
      </c>
      <c r="M469" s="8" t="s">
        <v>52</v>
      </c>
      <c r="N469" s="72">
        <v>0.38868029481296068</v>
      </c>
    </row>
    <row r="470" spans="1:14" x14ac:dyDescent="0.25">
      <c r="A470" s="22" t="s">
        <v>623</v>
      </c>
      <c r="B470" s="22" t="s">
        <v>36</v>
      </c>
      <c r="C470" s="22" t="s">
        <v>37</v>
      </c>
      <c r="D470" s="114">
        <v>0.26019021739130432</v>
      </c>
      <c r="J470" s="22"/>
      <c r="K470" s="7" t="s">
        <v>623</v>
      </c>
      <c r="L470" s="8" t="s">
        <v>36</v>
      </c>
      <c r="M470" s="8" t="s">
        <v>37</v>
      </c>
      <c r="N470" s="72">
        <v>0.26019021739130432</v>
      </c>
    </row>
    <row r="471" spans="1:14" x14ac:dyDescent="0.25">
      <c r="A471" s="22" t="s">
        <v>624</v>
      </c>
      <c r="B471" s="22" t="s">
        <v>51</v>
      </c>
      <c r="C471" s="22" t="s">
        <v>52</v>
      </c>
      <c r="D471" s="114">
        <v>0.28863562357538258</v>
      </c>
      <c r="J471" s="22"/>
      <c r="K471" s="7" t="s">
        <v>624</v>
      </c>
      <c r="L471" s="8" t="s">
        <v>51</v>
      </c>
      <c r="M471" s="8" t="s">
        <v>52</v>
      </c>
      <c r="N471" s="72">
        <v>0.28863562357538258</v>
      </c>
    </row>
    <row r="472" spans="1:14" x14ac:dyDescent="0.25">
      <c r="A472" s="22" t="s">
        <v>625</v>
      </c>
      <c r="B472" s="22" t="s">
        <v>25</v>
      </c>
      <c r="C472" s="22" t="s">
        <v>18</v>
      </c>
      <c r="D472" s="114">
        <v>0.29737275723178325</v>
      </c>
      <c r="J472" s="22"/>
      <c r="K472" s="7" t="s">
        <v>625</v>
      </c>
      <c r="L472" s="8" t="s">
        <v>25</v>
      </c>
      <c r="M472" s="8" t="s">
        <v>18</v>
      </c>
      <c r="N472" s="72">
        <v>0.29737275723178325</v>
      </c>
    </row>
    <row r="473" spans="1:14" x14ac:dyDescent="0.25">
      <c r="A473" s="22" t="s">
        <v>626</v>
      </c>
      <c r="B473" s="22" t="s">
        <v>25</v>
      </c>
      <c r="C473" s="22" t="s">
        <v>18</v>
      </c>
      <c r="D473" s="114">
        <v>0.34671097785644622</v>
      </c>
      <c r="J473" s="22"/>
      <c r="K473" s="7" t="s">
        <v>626</v>
      </c>
      <c r="L473" s="8" t="s">
        <v>25</v>
      </c>
      <c r="M473" s="8" t="s">
        <v>18</v>
      </c>
      <c r="N473" s="72">
        <v>0.34671097785644622</v>
      </c>
    </row>
    <row r="474" spans="1:14" x14ac:dyDescent="0.25">
      <c r="A474" s="22" t="s">
        <v>627</v>
      </c>
      <c r="B474" s="22" t="s">
        <v>17</v>
      </c>
      <c r="C474" s="22" t="s">
        <v>18</v>
      </c>
      <c r="D474" s="114">
        <v>0.3215123623894604</v>
      </c>
      <c r="J474" s="22"/>
      <c r="K474" s="7" t="s">
        <v>627</v>
      </c>
      <c r="L474" s="8" t="s">
        <v>17</v>
      </c>
      <c r="M474" s="8" t="s">
        <v>18</v>
      </c>
      <c r="N474" s="72">
        <v>0.3215123623894604</v>
      </c>
    </row>
    <row r="475" spans="1:14" x14ac:dyDescent="0.25">
      <c r="A475" s="22" t="s">
        <v>628</v>
      </c>
      <c r="B475" s="22" t="s">
        <v>25</v>
      </c>
      <c r="C475" s="22" t="s">
        <v>18</v>
      </c>
      <c r="D475" s="114">
        <v>0.33036635706914341</v>
      </c>
      <c r="J475" s="22"/>
      <c r="K475" s="7" t="s">
        <v>628</v>
      </c>
      <c r="L475" s="8" t="s">
        <v>25</v>
      </c>
      <c r="M475" s="8" t="s">
        <v>18</v>
      </c>
      <c r="N475" s="72">
        <v>0.33036635706914341</v>
      </c>
    </row>
    <row r="476" spans="1:14" x14ac:dyDescent="0.25">
      <c r="A476" s="22" t="s">
        <v>629</v>
      </c>
      <c r="B476" s="22" t="s">
        <v>51</v>
      </c>
      <c r="C476" s="22" t="s">
        <v>52</v>
      </c>
      <c r="D476" s="114">
        <v>0.12383567849154893</v>
      </c>
      <c r="J476" s="22"/>
      <c r="K476" s="7" t="s">
        <v>629</v>
      </c>
      <c r="L476" s="8" t="s">
        <v>51</v>
      </c>
      <c r="M476" s="8" t="s">
        <v>52</v>
      </c>
      <c r="N476" s="72">
        <v>0.12383567849154893</v>
      </c>
    </row>
    <row r="477" spans="1:14" x14ac:dyDescent="0.25">
      <c r="A477" s="22" t="s">
        <v>630</v>
      </c>
      <c r="B477" s="22" t="s">
        <v>17</v>
      </c>
      <c r="C477" s="22" t="s">
        <v>18</v>
      </c>
      <c r="D477" s="114">
        <v>0.24366511712697114</v>
      </c>
      <c r="J477" s="22"/>
      <c r="K477" s="7" t="s">
        <v>630</v>
      </c>
      <c r="L477" s="8" t="s">
        <v>17</v>
      </c>
      <c r="M477" s="8" t="s">
        <v>18</v>
      </c>
      <c r="N477" s="72">
        <v>0.24366511712697114</v>
      </c>
    </row>
    <row r="478" spans="1:14" x14ac:dyDescent="0.25">
      <c r="A478" s="22" t="s">
        <v>631</v>
      </c>
      <c r="B478" s="22" t="s">
        <v>51</v>
      </c>
      <c r="C478" s="22" t="s">
        <v>52</v>
      </c>
      <c r="D478" s="114">
        <v>0.24426865890280522</v>
      </c>
      <c r="J478" s="22"/>
      <c r="K478" s="7" t="s">
        <v>631</v>
      </c>
      <c r="L478" s="8" t="s">
        <v>51</v>
      </c>
      <c r="M478" s="8" t="s">
        <v>52</v>
      </c>
      <c r="N478" s="72">
        <v>0.24426865890280522</v>
      </c>
    </row>
    <row r="479" spans="1:14" x14ac:dyDescent="0.25">
      <c r="A479" s="22" t="s">
        <v>632</v>
      </c>
      <c r="B479" s="22" t="s">
        <v>63</v>
      </c>
      <c r="C479" s="22" t="s">
        <v>37</v>
      </c>
      <c r="D479" s="114">
        <v>0.16611766668056543</v>
      </c>
      <c r="J479" s="22"/>
      <c r="K479" s="7" t="s">
        <v>632</v>
      </c>
      <c r="L479" s="8" t="s">
        <v>63</v>
      </c>
      <c r="M479" s="8" t="s">
        <v>37</v>
      </c>
      <c r="N479" s="72">
        <v>0.16611766668056543</v>
      </c>
    </row>
    <row r="480" spans="1:14" x14ac:dyDescent="0.25">
      <c r="A480" s="22" t="s">
        <v>633</v>
      </c>
      <c r="B480" s="22" t="s">
        <v>56</v>
      </c>
      <c r="C480" s="22" t="s">
        <v>57</v>
      </c>
      <c r="D480" s="114">
        <v>0.39005630814427938</v>
      </c>
      <c r="J480" s="22"/>
      <c r="K480" s="7" t="s">
        <v>633</v>
      </c>
      <c r="L480" s="8" t="s">
        <v>56</v>
      </c>
      <c r="M480" s="8" t="s">
        <v>57</v>
      </c>
      <c r="N480" s="72">
        <v>0.39005630814427938</v>
      </c>
    </row>
    <row r="481" spans="1:14" x14ac:dyDescent="0.25">
      <c r="A481" s="22" t="s">
        <v>634</v>
      </c>
      <c r="B481" s="22" t="s">
        <v>36</v>
      </c>
      <c r="C481" s="22" t="s">
        <v>37</v>
      </c>
      <c r="D481" s="114">
        <v>0.20948191156766413</v>
      </c>
      <c r="J481" s="22"/>
      <c r="K481" s="7" t="s">
        <v>634</v>
      </c>
      <c r="L481" s="8" t="s">
        <v>36</v>
      </c>
      <c r="M481" s="8" t="s">
        <v>37</v>
      </c>
      <c r="N481" s="72">
        <v>0.20948191156766413</v>
      </c>
    </row>
    <row r="482" spans="1:14" x14ac:dyDescent="0.25">
      <c r="A482" s="22" t="s">
        <v>635</v>
      </c>
      <c r="B482" s="22" t="s">
        <v>25</v>
      </c>
      <c r="C482" s="22" t="s">
        <v>18</v>
      </c>
      <c r="D482" s="114">
        <v>0.16146897675107358</v>
      </c>
      <c r="J482" s="22"/>
      <c r="K482" s="7" t="s">
        <v>635</v>
      </c>
      <c r="L482" s="8" t="s">
        <v>25</v>
      </c>
      <c r="M482" s="8" t="s">
        <v>18</v>
      </c>
      <c r="N482" s="72">
        <v>0.16146897675107358</v>
      </c>
    </row>
    <row r="483" spans="1:14" x14ac:dyDescent="0.25">
      <c r="A483" s="22" t="s">
        <v>636</v>
      </c>
      <c r="B483" s="22" t="s">
        <v>60</v>
      </c>
      <c r="C483" s="22" t="s">
        <v>52</v>
      </c>
      <c r="D483" s="114">
        <v>0.39612214863870499</v>
      </c>
      <c r="J483" s="22"/>
      <c r="K483" s="7" t="s">
        <v>636</v>
      </c>
      <c r="L483" s="8" t="s">
        <v>60</v>
      </c>
      <c r="M483" s="8" t="s">
        <v>52</v>
      </c>
      <c r="N483" s="72">
        <v>0.39612214863870499</v>
      </c>
    </row>
    <row r="484" spans="1:14" x14ac:dyDescent="0.25">
      <c r="A484" s="22" t="s">
        <v>637</v>
      </c>
      <c r="B484" s="22" t="s">
        <v>83</v>
      </c>
      <c r="C484" s="22" t="s">
        <v>52</v>
      </c>
      <c r="D484" s="114">
        <v>0.20989640857676048</v>
      </c>
      <c r="J484" s="22"/>
      <c r="K484" s="7" t="s">
        <v>637</v>
      </c>
      <c r="L484" s="8" t="s">
        <v>83</v>
      </c>
      <c r="M484" s="8" t="s">
        <v>52</v>
      </c>
      <c r="N484" s="72">
        <v>0.20989640857676048</v>
      </c>
    </row>
    <row r="485" spans="1:14" x14ac:dyDescent="0.25">
      <c r="A485" s="22" t="s">
        <v>638</v>
      </c>
      <c r="B485" s="22" t="s">
        <v>43</v>
      </c>
      <c r="C485" s="22" t="s">
        <v>44</v>
      </c>
      <c r="D485" s="114">
        <v>0.18157140197356172</v>
      </c>
      <c r="J485" s="22"/>
      <c r="K485" s="7" t="s">
        <v>638</v>
      </c>
      <c r="L485" s="8" t="s">
        <v>43</v>
      </c>
      <c r="M485" s="8" t="s">
        <v>44</v>
      </c>
      <c r="N485" s="72">
        <v>0.18157140197356172</v>
      </c>
    </row>
    <row r="486" spans="1:14" x14ac:dyDescent="0.25">
      <c r="A486" s="22" t="s">
        <v>639</v>
      </c>
      <c r="B486" s="22" t="s">
        <v>60</v>
      </c>
      <c r="C486" s="22" t="s">
        <v>52</v>
      </c>
      <c r="D486" s="114">
        <v>0.10734425349087003</v>
      </c>
      <c r="J486" s="22"/>
      <c r="K486" s="7" t="s">
        <v>639</v>
      </c>
      <c r="L486" s="8" t="s">
        <v>60</v>
      </c>
      <c r="M486" s="8" t="s">
        <v>52</v>
      </c>
      <c r="N486" s="72">
        <v>0.10734425349087003</v>
      </c>
    </row>
    <row r="487" spans="1:14" x14ac:dyDescent="0.25">
      <c r="A487" s="22" t="s">
        <v>640</v>
      </c>
      <c r="B487" s="22" t="s">
        <v>43</v>
      </c>
      <c r="C487" s="22" t="s">
        <v>44</v>
      </c>
      <c r="D487" s="114">
        <v>0.15910478128179045</v>
      </c>
      <c r="J487" s="22"/>
      <c r="K487" s="7" t="s">
        <v>640</v>
      </c>
      <c r="L487" s="8" t="s">
        <v>43</v>
      </c>
      <c r="M487" s="8" t="s">
        <v>44</v>
      </c>
      <c r="N487" s="72">
        <v>0.15910478128179045</v>
      </c>
    </row>
    <row r="488" spans="1:14" x14ac:dyDescent="0.25">
      <c r="A488" s="22" t="s">
        <v>641</v>
      </c>
      <c r="B488" s="22" t="s">
        <v>43</v>
      </c>
      <c r="C488" s="22" t="s">
        <v>44</v>
      </c>
      <c r="D488" s="114">
        <v>0.15533658518352397</v>
      </c>
      <c r="J488" s="22"/>
      <c r="K488" s="7" t="s">
        <v>641</v>
      </c>
      <c r="L488" s="8" t="s">
        <v>43</v>
      </c>
      <c r="M488" s="8" t="s">
        <v>44</v>
      </c>
      <c r="N488" s="72">
        <v>0.15533658518352397</v>
      </c>
    </row>
    <row r="489" spans="1:14" x14ac:dyDescent="0.25">
      <c r="A489" s="22" t="s">
        <v>642</v>
      </c>
      <c r="B489" s="22" t="s">
        <v>56</v>
      </c>
      <c r="C489" s="22" t="s">
        <v>57</v>
      </c>
      <c r="D489" s="114">
        <v>0.27632209399427765</v>
      </c>
      <c r="J489" s="22"/>
      <c r="K489" s="7" t="s">
        <v>642</v>
      </c>
      <c r="L489" s="8" t="s">
        <v>56</v>
      </c>
      <c r="M489" s="8" t="s">
        <v>57</v>
      </c>
      <c r="N489" s="72">
        <v>0.27632209399427765</v>
      </c>
    </row>
    <row r="490" spans="1:14" x14ac:dyDescent="0.25">
      <c r="A490" s="22" t="s">
        <v>643</v>
      </c>
      <c r="B490" s="22" t="s">
        <v>63</v>
      </c>
      <c r="C490" s="22" t="s">
        <v>37</v>
      </c>
      <c r="D490" s="114">
        <v>0.33804809052333801</v>
      </c>
      <c r="J490" s="22"/>
      <c r="K490" s="7" t="s">
        <v>643</v>
      </c>
      <c r="L490" s="8" t="s">
        <v>63</v>
      </c>
      <c r="M490" s="8" t="s">
        <v>37</v>
      </c>
      <c r="N490" s="72">
        <v>0.33804809052333801</v>
      </c>
    </row>
    <row r="491" spans="1:14" x14ac:dyDescent="0.25">
      <c r="A491" s="22" t="s">
        <v>644</v>
      </c>
      <c r="B491" s="22" t="s">
        <v>63</v>
      </c>
      <c r="C491" s="22" t="s">
        <v>37</v>
      </c>
      <c r="D491" s="114">
        <v>0.23754994930518281</v>
      </c>
      <c r="J491" s="22"/>
      <c r="K491" s="7" t="s">
        <v>644</v>
      </c>
      <c r="L491" s="8" t="s">
        <v>63</v>
      </c>
      <c r="M491" s="8" t="s">
        <v>37</v>
      </c>
      <c r="N491" s="72">
        <v>0.23754994930518281</v>
      </c>
    </row>
    <row r="492" spans="1:14" x14ac:dyDescent="0.25">
      <c r="A492" s="22" t="s">
        <v>645</v>
      </c>
      <c r="B492" s="22" t="s">
        <v>51</v>
      </c>
      <c r="C492" s="22" t="s">
        <v>52</v>
      </c>
      <c r="D492" s="114">
        <v>0.12115337272279665</v>
      </c>
      <c r="J492" s="22"/>
      <c r="K492" s="7" t="s">
        <v>645</v>
      </c>
      <c r="L492" s="8" t="s">
        <v>51</v>
      </c>
      <c r="M492" s="8" t="s">
        <v>52</v>
      </c>
      <c r="N492" s="72">
        <v>0.12115337272279665</v>
      </c>
    </row>
    <row r="493" spans="1:14" x14ac:dyDescent="0.25">
      <c r="A493" s="22" t="s">
        <v>646</v>
      </c>
      <c r="B493" s="22" t="s">
        <v>56</v>
      </c>
      <c r="C493" s="22" t="s">
        <v>57</v>
      </c>
      <c r="D493" s="114">
        <v>0.20355169202111145</v>
      </c>
      <c r="J493" s="22"/>
      <c r="K493" s="7" t="s">
        <v>646</v>
      </c>
      <c r="L493" s="8" t="s">
        <v>56</v>
      </c>
      <c r="M493" s="8" t="s">
        <v>57</v>
      </c>
      <c r="N493" s="72">
        <v>0.20355169202111145</v>
      </c>
    </row>
    <row r="494" spans="1:14" x14ac:dyDescent="0.25">
      <c r="A494" s="22" t="s">
        <v>647</v>
      </c>
      <c r="B494" s="22" t="s">
        <v>63</v>
      </c>
      <c r="C494" s="22" t="s">
        <v>37</v>
      </c>
      <c r="D494" s="114">
        <v>0.30342647015095497</v>
      </c>
      <c r="J494" s="22"/>
      <c r="K494" s="7" t="s">
        <v>647</v>
      </c>
      <c r="L494" s="8" t="s">
        <v>63</v>
      </c>
      <c r="M494" s="8" t="s">
        <v>37</v>
      </c>
      <c r="N494" s="72">
        <v>0.30342647015095497</v>
      </c>
    </row>
    <row r="495" spans="1:14" x14ac:dyDescent="0.25">
      <c r="A495" s="22" t="s">
        <v>648</v>
      </c>
      <c r="B495" s="22" t="s">
        <v>48</v>
      </c>
      <c r="C495" s="22" t="s">
        <v>37</v>
      </c>
      <c r="D495" s="114">
        <v>0.25526307433397899</v>
      </c>
      <c r="J495" s="22"/>
      <c r="K495" s="7" t="s">
        <v>648</v>
      </c>
      <c r="L495" s="8" t="s">
        <v>48</v>
      </c>
      <c r="M495" s="8" t="s">
        <v>37</v>
      </c>
      <c r="N495" s="72">
        <v>0.25526307433397899</v>
      </c>
    </row>
    <row r="496" spans="1:14" x14ac:dyDescent="0.25">
      <c r="A496" s="22" t="s">
        <v>649</v>
      </c>
      <c r="B496" s="22" t="s">
        <v>43</v>
      </c>
      <c r="C496" s="22" t="s">
        <v>44</v>
      </c>
      <c r="D496" s="114">
        <v>0.22526404457979657</v>
      </c>
      <c r="J496" s="22"/>
      <c r="K496" s="7" t="s">
        <v>649</v>
      </c>
      <c r="L496" s="8" t="s">
        <v>43</v>
      </c>
      <c r="M496" s="8" t="s">
        <v>44</v>
      </c>
      <c r="N496" s="72">
        <v>0.22526404457979657</v>
      </c>
    </row>
    <row r="497" spans="1:14" x14ac:dyDescent="0.25">
      <c r="A497" s="22" t="s">
        <v>650</v>
      </c>
      <c r="B497" s="22" t="s">
        <v>56</v>
      </c>
      <c r="C497" s="22" t="s">
        <v>57</v>
      </c>
      <c r="D497" s="114">
        <v>0.11884715025906736</v>
      </c>
      <c r="J497" s="22"/>
      <c r="K497" s="7" t="s">
        <v>650</v>
      </c>
      <c r="L497" s="8" t="s">
        <v>56</v>
      </c>
      <c r="M497" s="8" t="s">
        <v>57</v>
      </c>
      <c r="N497" s="72">
        <v>0.11884715025906736</v>
      </c>
    </row>
    <row r="498" spans="1:14" x14ac:dyDescent="0.25">
      <c r="A498" s="22" t="s">
        <v>651</v>
      </c>
      <c r="B498" s="22" t="s">
        <v>43</v>
      </c>
      <c r="C498" s="22" t="s">
        <v>44</v>
      </c>
      <c r="D498" s="114">
        <v>0.34093214088143092</v>
      </c>
      <c r="J498" s="22"/>
      <c r="K498" s="7" t="s">
        <v>651</v>
      </c>
      <c r="L498" s="8" t="s">
        <v>43</v>
      </c>
      <c r="M498" s="8" t="s">
        <v>44</v>
      </c>
      <c r="N498" s="72">
        <v>0.34093214088143092</v>
      </c>
    </row>
    <row r="499" spans="1:14" x14ac:dyDescent="0.25">
      <c r="A499" s="22" t="s">
        <v>652</v>
      </c>
      <c r="B499" s="22" t="s">
        <v>83</v>
      </c>
      <c r="C499" s="22" t="s">
        <v>52</v>
      </c>
      <c r="D499" s="114">
        <v>0.33139654785922434</v>
      </c>
      <c r="J499" s="22"/>
      <c r="K499" s="7" t="s">
        <v>652</v>
      </c>
      <c r="L499" s="8" t="s">
        <v>83</v>
      </c>
      <c r="M499" s="8" t="s">
        <v>52</v>
      </c>
      <c r="N499" s="72">
        <v>0.33139654785922434</v>
      </c>
    </row>
    <row r="500" spans="1:14" x14ac:dyDescent="0.25">
      <c r="A500" s="22" t="s">
        <v>653</v>
      </c>
      <c r="B500" s="22" t="s">
        <v>63</v>
      </c>
      <c r="C500" s="22" t="s">
        <v>37</v>
      </c>
      <c r="D500" s="114">
        <v>0.29419666845781844</v>
      </c>
      <c r="J500" s="22"/>
      <c r="K500" s="7" t="s">
        <v>653</v>
      </c>
      <c r="L500" s="8" t="s">
        <v>63</v>
      </c>
      <c r="M500" s="8" t="s">
        <v>37</v>
      </c>
      <c r="N500" s="72">
        <v>0.29419666845781844</v>
      </c>
    </row>
    <row r="501" spans="1:14" x14ac:dyDescent="0.25">
      <c r="A501" s="22" t="s">
        <v>654</v>
      </c>
      <c r="B501" s="22" t="s">
        <v>60</v>
      </c>
      <c r="C501" s="22" t="s">
        <v>52</v>
      </c>
      <c r="D501" s="114">
        <v>0.31421605619086324</v>
      </c>
      <c r="J501" s="22"/>
      <c r="K501" s="11" t="s">
        <v>654</v>
      </c>
      <c r="L501" s="12" t="s">
        <v>60</v>
      </c>
      <c r="M501" s="12" t="s">
        <v>52</v>
      </c>
      <c r="N501" s="76">
        <v>0.31421605619086324</v>
      </c>
    </row>
  </sheetData>
  <mergeCells count="16">
    <mergeCell ref="F23:I23"/>
    <mergeCell ref="F24:I24"/>
    <mergeCell ref="F17:I17"/>
    <mergeCell ref="F14:I14"/>
    <mergeCell ref="F18:I18"/>
    <mergeCell ref="F19:I19"/>
    <mergeCell ref="F20:I20"/>
    <mergeCell ref="F15:I15"/>
    <mergeCell ref="F16:I16"/>
    <mergeCell ref="F21:I21"/>
    <mergeCell ref="F22:I22"/>
    <mergeCell ref="F25:I25"/>
    <mergeCell ref="F27:I27"/>
    <mergeCell ref="F28:I28"/>
    <mergeCell ref="F26:I26"/>
    <mergeCell ref="F29:I29"/>
  </mergeCells>
  <conditionalFormatting sqref="N2:N501">
    <cfRule type="cellIs" dxfId="13" priority="3" operator="greaterThan">
      <formula>0.25</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14" r:id="rId3" name="Button 2">
              <controlPr defaultSize="0" print="0" autoFill="0" autoPict="0" macro="[0]!Q9MacroFinal">
                <anchor moveWithCells="1" sizeWithCells="1">
                  <from>
                    <xdr:col>6</xdr:col>
                    <xdr:colOff>342900</xdr:colOff>
                    <xdr:row>8</xdr:row>
                    <xdr:rowOff>0</xdr:rowOff>
                  </from>
                  <to>
                    <xdr:col>8</xdr:col>
                    <xdr:colOff>352425</xdr:colOff>
                    <xdr:row>11</xdr:row>
                    <xdr:rowOff>19050</xdr:rowOff>
                  </to>
                </anchor>
              </controlPr>
            </control>
          </mc:Choice>
        </mc:AlternateContent>
      </controls>
    </mc:Choice>
  </mc:AlternateContent>
  <tableParts count="1">
    <tablePart r:id="rId4"/>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C2DC1A-C213-49D8-B03E-602CF97F19AD}">
  <sheetPr codeName="Sheet14"/>
  <dimension ref="A1:AD126"/>
  <sheetViews>
    <sheetView showGridLines="0" tabSelected="1" zoomScale="50" zoomScaleNormal="33" workbookViewId="0">
      <selection activeCell="O52" sqref="O52"/>
    </sheetView>
  </sheetViews>
  <sheetFormatPr defaultRowHeight="15" x14ac:dyDescent="0.25"/>
  <cols>
    <col min="6" max="6" width="23.28515625" customWidth="1"/>
    <col min="9" max="9" width="18.140625" customWidth="1"/>
    <col min="10" max="10" width="6.140625" customWidth="1"/>
    <col min="12" max="12" width="17.140625" customWidth="1"/>
    <col min="13" max="13" width="5" customWidth="1"/>
    <col min="15" max="15" width="12" customWidth="1"/>
    <col min="16" max="16" width="4.28515625" customWidth="1"/>
    <col min="18" max="18" width="17.85546875" customWidth="1"/>
    <col min="19" max="19" width="7.5703125" customWidth="1"/>
    <col min="21" max="21" width="15" customWidth="1"/>
  </cols>
  <sheetData>
    <row r="1" spans="2:30" ht="15.75" thickBot="1" x14ac:dyDescent="0.3"/>
    <row r="2" spans="2:30" ht="46.5" thickBot="1" x14ac:dyDescent="0.7">
      <c r="B2" s="25"/>
      <c r="C2" s="80"/>
      <c r="D2" s="80"/>
      <c r="E2" s="80"/>
      <c r="F2" s="80"/>
      <c r="G2" s="80"/>
      <c r="H2" s="151" t="s">
        <v>1071</v>
      </c>
      <c r="I2" s="152"/>
      <c r="J2" s="152"/>
      <c r="K2" s="152"/>
      <c r="L2" s="152"/>
      <c r="M2" s="152"/>
      <c r="N2" s="152"/>
      <c r="O2" s="152"/>
      <c r="P2" s="152"/>
      <c r="Q2" s="152"/>
      <c r="R2" s="152"/>
      <c r="S2" s="152"/>
      <c r="T2" s="152"/>
      <c r="U2" s="153"/>
      <c r="V2" s="80"/>
      <c r="W2" s="80"/>
      <c r="X2" s="80"/>
      <c r="Y2" s="80"/>
      <c r="Z2" s="80"/>
      <c r="AA2" s="80"/>
      <c r="AB2" s="80"/>
      <c r="AC2" s="80"/>
      <c r="AD2" s="26"/>
    </row>
    <row r="3" spans="2:30" ht="15.75" thickBot="1" x14ac:dyDescent="0.3">
      <c r="B3" s="81"/>
      <c r="AD3" s="82"/>
    </row>
    <row r="4" spans="2:30" ht="21" x14ac:dyDescent="0.35">
      <c r="B4" s="81"/>
      <c r="H4" s="146" t="s">
        <v>1072</v>
      </c>
      <c r="I4" s="147"/>
      <c r="K4" s="146" t="s">
        <v>1059</v>
      </c>
      <c r="L4" s="147"/>
      <c r="N4" s="146" t="s">
        <v>1073</v>
      </c>
      <c r="O4" s="147"/>
      <c r="Q4" s="146" t="s">
        <v>1074</v>
      </c>
      <c r="R4" s="147"/>
      <c r="T4" s="146" t="s">
        <v>1075</v>
      </c>
      <c r="U4" s="147"/>
      <c r="AD4" s="82"/>
    </row>
    <row r="5" spans="2:30" ht="21.75" thickBot="1" x14ac:dyDescent="0.4">
      <c r="B5" s="81"/>
      <c r="H5" s="148">
        <f>COUNTA('Sales Metrics Analysis'!$A$2:$A$501)</f>
        <v>500</v>
      </c>
      <c r="I5" s="149"/>
      <c r="K5" s="154">
        <f>SUM('Sales Metrics Analysis'!$I$2:$I$501)</f>
        <v>474704.6200000004</v>
      </c>
      <c r="L5" s="155"/>
      <c r="N5" s="154">
        <f>SUM('Sales Metrics Analysis'!$K$2:$K$501)</f>
        <v>133570.39999999991</v>
      </c>
      <c r="O5" s="155"/>
      <c r="Q5" s="150">
        <f>AVERAGE('Sales Metrics Analysis'!$Q$2:$Q$501)</f>
        <v>0.27267437490594426</v>
      </c>
      <c r="R5" s="149"/>
      <c r="T5" s="154">
        <f>AVERAGE('Sales Metrics Analysis'!$J$2:$J$501)</f>
        <v>47.214439999999982</v>
      </c>
      <c r="U5" s="155"/>
      <c r="AD5" s="82"/>
    </row>
    <row r="6" spans="2:30" ht="15.75" thickBot="1" x14ac:dyDescent="0.3">
      <c r="B6" s="81"/>
      <c r="AD6" s="82"/>
    </row>
    <row r="7" spans="2:30" ht="21" x14ac:dyDescent="0.35">
      <c r="B7" s="81"/>
      <c r="K7" s="146" t="s">
        <v>1076</v>
      </c>
      <c r="L7" s="147"/>
      <c r="Q7" s="146" t="s">
        <v>1077</v>
      </c>
      <c r="R7" s="147"/>
      <c r="AD7" s="82"/>
    </row>
    <row r="8" spans="2:30" ht="21.75" thickBot="1" x14ac:dyDescent="0.4">
      <c r="B8" s="81"/>
      <c r="K8" s="148" t="str" cm="1">
        <f t="array" ref="K8">INDEX('Sales Metrics Analysis'!$N$2:$N$501,MATCH(MAX(SUMIF('Sales Metrics Analysis'!$N$2:$N$501,'Sales Metrics Analysis'!$N$2:$N$501,'Sales Metrics Analysis'!$I$2:$I$501)),SUMIF('Sales Metrics Analysis'!$N$2:$N$501,'Sales Metrics Analysis'!$N$2:$N$501,'Sales Metrics Analysis'!$I$2:$I$501),0))</f>
        <v>AS</v>
      </c>
      <c r="L8" s="149"/>
      <c r="Q8" s="148" t="str" cm="1">
        <f t="array" ref="Q8">INDEX('Sales Metrics Analysis'!$E$2:$E$501, MATCH(MAX(SUMIF('Sales Metrics Analysis'!$E$2:$E$501, 'Sales Metrics Analysis'!$E$2:$E$501, 'Sales Metrics Analysis'!$K$2:$K$501)), SUMIF('Sales Metrics Analysis'!$E$2:$E$501, 'Sales Metrics Analysis'!$E$2:$E$501, 'Sales Metrics Analysis'!$K$2:$K$501), 0))</f>
        <v>Denim Jacket</v>
      </c>
      <c r="R8" s="149"/>
      <c r="AD8" s="82"/>
    </row>
    <row r="9" spans="2:30" x14ac:dyDescent="0.25">
      <c r="B9" s="81"/>
      <c r="AD9" s="82"/>
    </row>
    <row r="10" spans="2:30" x14ac:dyDescent="0.25">
      <c r="B10" s="81"/>
      <c r="AD10" s="82"/>
    </row>
    <row r="11" spans="2:30" x14ac:dyDescent="0.25">
      <c r="B11" s="81"/>
      <c r="AD11" s="82"/>
    </row>
    <row r="12" spans="2:30" x14ac:dyDescent="0.25">
      <c r="B12" s="81"/>
      <c r="AD12" s="82"/>
    </row>
    <row r="13" spans="2:30" x14ac:dyDescent="0.25">
      <c r="B13" s="81"/>
      <c r="AD13" s="82"/>
    </row>
    <row r="14" spans="2:30" x14ac:dyDescent="0.25">
      <c r="B14" s="81"/>
      <c r="AD14" s="82"/>
    </row>
    <row r="15" spans="2:30" x14ac:dyDescent="0.25">
      <c r="B15" s="81"/>
      <c r="AD15" s="82"/>
    </row>
    <row r="16" spans="2:30" x14ac:dyDescent="0.25">
      <c r="B16" s="81"/>
      <c r="AD16" s="82"/>
    </row>
    <row r="17" spans="1:30" ht="15" customHeight="1" x14ac:dyDescent="0.25">
      <c r="A17" s="77"/>
      <c r="B17" s="81"/>
      <c r="O17" s="77"/>
      <c r="AD17" s="82"/>
    </row>
    <row r="18" spans="1:30" ht="15" customHeight="1" x14ac:dyDescent="0.25">
      <c r="A18" s="77"/>
      <c r="B18" s="81"/>
      <c r="O18" s="77"/>
      <c r="AD18" s="82"/>
    </row>
    <row r="19" spans="1:30" ht="15" customHeight="1" x14ac:dyDescent="0.25">
      <c r="A19" s="77"/>
      <c r="B19" s="81"/>
      <c r="O19" s="77"/>
      <c r="AD19" s="82"/>
    </row>
    <row r="20" spans="1:30" ht="15" customHeight="1" x14ac:dyDescent="0.25">
      <c r="A20" s="77"/>
      <c r="B20" s="81"/>
      <c r="O20" s="77"/>
      <c r="AD20" s="82"/>
    </row>
    <row r="21" spans="1:30" ht="15" customHeight="1" x14ac:dyDescent="0.25">
      <c r="A21" s="77"/>
      <c r="B21" s="81"/>
      <c r="O21" s="77"/>
      <c r="AD21" s="82"/>
    </row>
    <row r="22" spans="1:30" ht="15" customHeight="1" x14ac:dyDescent="0.25">
      <c r="A22" s="77"/>
      <c r="B22" s="81"/>
      <c r="O22" s="77"/>
      <c r="AD22" s="82"/>
    </row>
    <row r="23" spans="1:30" x14ac:dyDescent="0.25">
      <c r="B23" s="81"/>
      <c r="AD23" s="82"/>
    </row>
    <row r="24" spans="1:30" x14ac:dyDescent="0.25">
      <c r="B24" s="81"/>
      <c r="AD24" s="82"/>
    </row>
    <row r="25" spans="1:30" x14ac:dyDescent="0.25">
      <c r="B25" s="81"/>
      <c r="AD25" s="82"/>
    </row>
    <row r="26" spans="1:30" x14ac:dyDescent="0.25">
      <c r="B26" s="81"/>
      <c r="AD26" s="82"/>
    </row>
    <row r="27" spans="1:30" x14ac:dyDescent="0.25">
      <c r="B27" s="81"/>
      <c r="AD27" s="82"/>
    </row>
    <row r="28" spans="1:30" x14ac:dyDescent="0.25">
      <c r="B28" s="81"/>
      <c r="AD28" s="82"/>
    </row>
    <row r="29" spans="1:30" x14ac:dyDescent="0.25">
      <c r="B29" s="81"/>
      <c r="AD29" s="82"/>
    </row>
    <row r="30" spans="1:30" x14ac:dyDescent="0.25">
      <c r="B30" s="81"/>
      <c r="AD30" s="82"/>
    </row>
    <row r="31" spans="1:30" x14ac:dyDescent="0.25">
      <c r="B31" s="81"/>
      <c r="AD31" s="82"/>
    </row>
    <row r="32" spans="1:30" x14ac:dyDescent="0.25">
      <c r="B32" s="81"/>
      <c r="AD32" s="82"/>
    </row>
    <row r="33" spans="2:30" x14ac:dyDescent="0.25">
      <c r="B33" s="81"/>
      <c r="AD33" s="82"/>
    </row>
    <row r="34" spans="2:30" x14ac:dyDescent="0.25">
      <c r="B34" s="81"/>
      <c r="AD34" s="82"/>
    </row>
    <row r="35" spans="2:30" x14ac:dyDescent="0.25">
      <c r="B35" s="81"/>
      <c r="AD35" s="82"/>
    </row>
    <row r="36" spans="2:30" x14ac:dyDescent="0.25">
      <c r="B36" s="81"/>
      <c r="AD36" s="82"/>
    </row>
    <row r="37" spans="2:30" x14ac:dyDescent="0.25">
      <c r="B37" s="81"/>
      <c r="AD37" s="82"/>
    </row>
    <row r="38" spans="2:30" x14ac:dyDescent="0.25">
      <c r="B38" s="81"/>
      <c r="AD38" s="82"/>
    </row>
    <row r="39" spans="2:30" x14ac:dyDescent="0.25">
      <c r="B39" s="81"/>
      <c r="AD39" s="82"/>
    </row>
    <row r="40" spans="2:30" x14ac:dyDescent="0.25">
      <c r="B40" s="81"/>
      <c r="AD40" s="82"/>
    </row>
    <row r="41" spans="2:30" x14ac:dyDescent="0.25">
      <c r="B41" s="81"/>
      <c r="AD41" s="82"/>
    </row>
    <row r="42" spans="2:30" x14ac:dyDescent="0.25">
      <c r="B42" s="81"/>
      <c r="AD42" s="82"/>
    </row>
    <row r="43" spans="2:30" x14ac:dyDescent="0.25">
      <c r="B43" s="81"/>
      <c r="AD43" s="82"/>
    </row>
    <row r="44" spans="2:30" x14ac:dyDescent="0.25">
      <c r="B44" s="81"/>
      <c r="AD44" s="82"/>
    </row>
    <row r="45" spans="2:30" x14ac:dyDescent="0.25">
      <c r="B45" s="81"/>
      <c r="AD45" s="82"/>
    </row>
    <row r="46" spans="2:30" x14ac:dyDescent="0.25">
      <c r="B46" s="81"/>
      <c r="AD46" s="82"/>
    </row>
    <row r="47" spans="2:30" x14ac:dyDescent="0.25">
      <c r="B47" s="81"/>
      <c r="AD47" s="82"/>
    </row>
    <row r="48" spans="2:30" x14ac:dyDescent="0.25">
      <c r="B48" s="81"/>
      <c r="AD48" s="82"/>
    </row>
    <row r="49" spans="2:30" x14ac:dyDescent="0.25">
      <c r="B49" s="81"/>
      <c r="AD49" s="82"/>
    </row>
    <row r="50" spans="2:30" x14ac:dyDescent="0.25">
      <c r="B50" s="81"/>
      <c r="AD50" s="82"/>
    </row>
    <row r="51" spans="2:30" x14ac:dyDescent="0.25">
      <c r="B51" s="81"/>
      <c r="AD51" s="82"/>
    </row>
    <row r="52" spans="2:30" x14ac:dyDescent="0.25">
      <c r="B52" s="81"/>
      <c r="AD52" s="82"/>
    </row>
    <row r="53" spans="2:30" x14ac:dyDescent="0.25">
      <c r="B53" s="81"/>
      <c r="AD53" s="82"/>
    </row>
    <row r="54" spans="2:30" x14ac:dyDescent="0.25">
      <c r="B54" s="81"/>
      <c r="AD54" s="82"/>
    </row>
    <row r="55" spans="2:30" x14ac:dyDescent="0.25">
      <c r="B55" s="81"/>
      <c r="AD55" s="82"/>
    </row>
    <row r="56" spans="2:30" x14ac:dyDescent="0.25">
      <c r="B56" s="81"/>
      <c r="AD56" s="82"/>
    </row>
    <row r="57" spans="2:30" x14ac:dyDescent="0.25">
      <c r="B57" s="81"/>
      <c r="AD57" s="82"/>
    </row>
    <row r="58" spans="2:30" x14ac:dyDescent="0.25">
      <c r="B58" s="81"/>
      <c r="AD58" s="82"/>
    </row>
    <row r="59" spans="2:30" x14ac:dyDescent="0.25">
      <c r="B59" s="81"/>
      <c r="AD59" s="82"/>
    </row>
    <row r="60" spans="2:30" x14ac:dyDescent="0.25">
      <c r="B60" s="81"/>
      <c r="AD60" s="82"/>
    </row>
    <row r="61" spans="2:30" x14ac:dyDescent="0.25">
      <c r="B61" s="81"/>
      <c r="AD61" s="82"/>
    </row>
    <row r="62" spans="2:30" x14ac:dyDescent="0.25">
      <c r="B62" s="81"/>
      <c r="AD62" s="82"/>
    </row>
    <row r="63" spans="2:30" x14ac:dyDescent="0.25">
      <c r="B63" s="81"/>
      <c r="AD63" s="82"/>
    </row>
    <row r="64" spans="2:30" x14ac:dyDescent="0.25">
      <c r="B64" s="81"/>
      <c r="AD64" s="82"/>
    </row>
    <row r="65" spans="2:30" x14ac:dyDescent="0.25">
      <c r="B65" s="81"/>
      <c r="AD65" s="82"/>
    </row>
    <row r="66" spans="2:30" x14ac:dyDescent="0.25">
      <c r="B66" s="81"/>
      <c r="AD66" s="82"/>
    </row>
    <row r="67" spans="2:30" x14ac:dyDescent="0.25">
      <c r="B67" s="81"/>
      <c r="AD67" s="82"/>
    </row>
    <row r="68" spans="2:30" x14ac:dyDescent="0.25">
      <c r="B68" s="81"/>
      <c r="AD68" s="82"/>
    </row>
    <row r="69" spans="2:30" x14ac:dyDescent="0.25">
      <c r="B69" s="81"/>
      <c r="AD69" s="82"/>
    </row>
    <row r="70" spans="2:30" x14ac:dyDescent="0.25">
      <c r="B70" s="81"/>
      <c r="AD70" s="82"/>
    </row>
    <row r="71" spans="2:30" x14ac:dyDescent="0.25">
      <c r="B71" s="81"/>
      <c r="AD71" s="82"/>
    </row>
    <row r="72" spans="2:30" x14ac:dyDescent="0.25">
      <c r="B72" s="81"/>
      <c r="AD72" s="82"/>
    </row>
    <row r="73" spans="2:30" x14ac:dyDescent="0.25">
      <c r="B73" s="81"/>
      <c r="AD73" s="82"/>
    </row>
    <row r="74" spans="2:30" x14ac:dyDescent="0.25">
      <c r="B74" s="81"/>
      <c r="AD74" s="82"/>
    </row>
    <row r="75" spans="2:30" x14ac:dyDescent="0.25">
      <c r="B75" s="81"/>
      <c r="AD75" s="82"/>
    </row>
    <row r="76" spans="2:30" x14ac:dyDescent="0.25">
      <c r="B76" s="81"/>
      <c r="AD76" s="82"/>
    </row>
    <row r="77" spans="2:30" x14ac:dyDescent="0.25">
      <c r="B77" s="81"/>
      <c r="AD77" s="82"/>
    </row>
    <row r="78" spans="2:30" x14ac:dyDescent="0.25">
      <c r="B78" s="81"/>
      <c r="AD78" s="82"/>
    </row>
    <row r="79" spans="2:30" x14ac:dyDescent="0.25">
      <c r="B79" s="81"/>
      <c r="AD79" s="82"/>
    </row>
    <row r="80" spans="2:30" x14ac:dyDescent="0.25">
      <c r="B80" s="81"/>
      <c r="AD80" s="82"/>
    </row>
    <row r="81" spans="2:30" x14ac:dyDescent="0.25">
      <c r="B81" s="81"/>
      <c r="AD81" s="82"/>
    </row>
    <row r="82" spans="2:30" x14ac:dyDescent="0.25">
      <c r="B82" s="81"/>
      <c r="AD82" s="82"/>
    </row>
    <row r="83" spans="2:30" x14ac:dyDescent="0.25">
      <c r="B83" s="81"/>
      <c r="AD83" s="82"/>
    </row>
    <row r="84" spans="2:30" x14ac:dyDescent="0.25">
      <c r="B84" s="81"/>
      <c r="AD84" s="82"/>
    </row>
    <row r="85" spans="2:30" x14ac:dyDescent="0.25">
      <c r="B85" s="81"/>
      <c r="AD85" s="82"/>
    </row>
    <row r="86" spans="2:30" x14ac:dyDescent="0.25">
      <c r="B86" s="81"/>
      <c r="AD86" s="82"/>
    </row>
    <row r="87" spans="2:30" x14ac:dyDescent="0.25">
      <c r="B87" s="81"/>
      <c r="AD87" s="82"/>
    </row>
    <row r="88" spans="2:30" x14ac:dyDescent="0.25">
      <c r="B88" s="81"/>
      <c r="AD88" s="82"/>
    </row>
    <row r="89" spans="2:30" x14ac:dyDescent="0.25">
      <c r="B89" s="81"/>
      <c r="AD89" s="82"/>
    </row>
    <row r="90" spans="2:30" x14ac:dyDescent="0.25">
      <c r="B90" s="81"/>
      <c r="AD90" s="82"/>
    </row>
    <row r="91" spans="2:30" x14ac:dyDescent="0.25">
      <c r="B91" s="81"/>
      <c r="AD91" s="82"/>
    </row>
    <row r="92" spans="2:30" x14ac:dyDescent="0.25">
      <c r="B92" s="81"/>
      <c r="AD92" s="82"/>
    </row>
    <row r="93" spans="2:30" x14ac:dyDescent="0.25">
      <c r="B93" s="81"/>
      <c r="AD93" s="82"/>
    </row>
    <row r="94" spans="2:30" x14ac:dyDescent="0.25">
      <c r="B94" s="81"/>
      <c r="AD94" s="82"/>
    </row>
    <row r="95" spans="2:30" x14ac:dyDescent="0.25">
      <c r="B95" s="81"/>
      <c r="AD95" s="82"/>
    </row>
    <row r="96" spans="2:30" x14ac:dyDescent="0.25">
      <c r="B96" s="81"/>
      <c r="AD96" s="82"/>
    </row>
    <row r="97" spans="2:30" x14ac:dyDescent="0.25">
      <c r="B97" s="81"/>
      <c r="AD97" s="82"/>
    </row>
    <row r="98" spans="2:30" x14ac:dyDescent="0.25">
      <c r="B98" s="81"/>
      <c r="AD98" s="82"/>
    </row>
    <row r="99" spans="2:30" x14ac:dyDescent="0.25">
      <c r="B99" s="81"/>
      <c r="AD99" s="82"/>
    </row>
    <row r="100" spans="2:30" x14ac:dyDescent="0.25">
      <c r="B100" s="81"/>
      <c r="AD100" s="82"/>
    </row>
    <row r="101" spans="2:30" x14ac:dyDescent="0.25">
      <c r="B101" s="81"/>
      <c r="AD101" s="82"/>
    </row>
    <row r="102" spans="2:30" x14ac:dyDescent="0.25">
      <c r="B102" s="81"/>
      <c r="AD102" s="82"/>
    </row>
    <row r="103" spans="2:30" x14ac:dyDescent="0.25">
      <c r="B103" s="81"/>
      <c r="AD103" s="82"/>
    </row>
    <row r="104" spans="2:30" x14ac:dyDescent="0.25">
      <c r="B104" s="81"/>
      <c r="AD104" s="82"/>
    </row>
    <row r="105" spans="2:30" x14ac:dyDescent="0.25">
      <c r="B105" s="81"/>
      <c r="AD105" s="82"/>
    </row>
    <row r="106" spans="2:30" x14ac:dyDescent="0.25">
      <c r="B106" s="81"/>
      <c r="AD106" s="82"/>
    </row>
    <row r="107" spans="2:30" x14ac:dyDescent="0.25">
      <c r="B107" s="81"/>
      <c r="AD107" s="82"/>
    </row>
    <row r="108" spans="2:30" x14ac:dyDescent="0.25">
      <c r="B108" s="81"/>
      <c r="AD108" s="82"/>
    </row>
    <row r="109" spans="2:30" x14ac:dyDescent="0.25">
      <c r="B109" s="81"/>
      <c r="AD109" s="82"/>
    </row>
    <row r="110" spans="2:30" x14ac:dyDescent="0.25">
      <c r="B110" s="81"/>
      <c r="AD110" s="82"/>
    </row>
    <row r="111" spans="2:30" x14ac:dyDescent="0.25">
      <c r="B111" s="81"/>
      <c r="AD111" s="82"/>
    </row>
    <row r="112" spans="2:30" x14ac:dyDescent="0.25">
      <c r="B112" s="81"/>
      <c r="AD112" s="82"/>
    </row>
    <row r="113" spans="2:30" x14ac:dyDescent="0.25">
      <c r="B113" s="81"/>
      <c r="AD113" s="82"/>
    </row>
    <row r="114" spans="2:30" x14ac:dyDescent="0.25">
      <c r="B114" s="81"/>
      <c r="AD114" s="82"/>
    </row>
    <row r="115" spans="2:30" x14ac:dyDescent="0.25">
      <c r="B115" s="81"/>
      <c r="AD115" s="82"/>
    </row>
    <row r="116" spans="2:30" x14ac:dyDescent="0.25">
      <c r="B116" s="81"/>
      <c r="AD116" s="82"/>
    </row>
    <row r="117" spans="2:30" x14ac:dyDescent="0.25">
      <c r="B117" s="81"/>
      <c r="AD117" s="82"/>
    </row>
    <row r="118" spans="2:30" x14ac:dyDescent="0.25">
      <c r="B118" s="81"/>
      <c r="AD118" s="82"/>
    </row>
    <row r="119" spans="2:30" x14ac:dyDescent="0.25">
      <c r="B119" s="81"/>
      <c r="AD119" s="82"/>
    </row>
    <row r="120" spans="2:30" x14ac:dyDescent="0.25">
      <c r="B120" s="81"/>
      <c r="AD120" s="82"/>
    </row>
    <row r="121" spans="2:30" x14ac:dyDescent="0.25">
      <c r="B121" s="81"/>
      <c r="AD121" s="82"/>
    </row>
    <row r="122" spans="2:30" x14ac:dyDescent="0.25">
      <c r="B122" s="81"/>
      <c r="AD122" s="82"/>
    </row>
    <row r="123" spans="2:30" x14ac:dyDescent="0.25">
      <c r="B123" s="81"/>
      <c r="AD123" s="82"/>
    </row>
    <row r="124" spans="2:30" x14ac:dyDescent="0.25">
      <c r="B124" s="81"/>
      <c r="AD124" s="82"/>
    </row>
    <row r="125" spans="2:30" x14ac:dyDescent="0.25">
      <c r="B125" s="81"/>
      <c r="AD125" s="82"/>
    </row>
    <row r="126" spans="2:30" x14ac:dyDescent="0.25">
      <c r="B126" s="85"/>
      <c r="C126" s="83"/>
      <c r="D126" s="83"/>
      <c r="E126" s="83"/>
      <c r="F126" s="83"/>
      <c r="G126" s="83"/>
      <c r="H126" s="83"/>
      <c r="I126" s="83"/>
      <c r="J126" s="83"/>
      <c r="K126" s="83"/>
      <c r="L126" s="83"/>
      <c r="M126" s="83"/>
      <c r="N126" s="83"/>
      <c r="O126" s="83"/>
      <c r="P126" s="83"/>
      <c r="Q126" s="83"/>
      <c r="R126" s="83"/>
      <c r="S126" s="83"/>
      <c r="T126" s="83"/>
      <c r="U126" s="83"/>
      <c r="V126" s="83"/>
      <c r="W126" s="83"/>
      <c r="X126" s="83"/>
      <c r="Y126" s="83"/>
      <c r="Z126" s="83"/>
      <c r="AA126" s="83"/>
      <c r="AB126" s="83"/>
      <c r="AC126" s="83"/>
      <c r="AD126" s="84"/>
    </row>
  </sheetData>
  <mergeCells count="15">
    <mergeCell ref="H2:U2"/>
    <mergeCell ref="T4:U4"/>
    <mergeCell ref="T5:U5"/>
    <mergeCell ref="H4:I4"/>
    <mergeCell ref="H5:I5"/>
    <mergeCell ref="K4:L4"/>
    <mergeCell ref="K5:L5"/>
    <mergeCell ref="N4:O4"/>
    <mergeCell ref="N5:O5"/>
    <mergeCell ref="K7:L7"/>
    <mergeCell ref="K8:L8"/>
    <mergeCell ref="Q7:R7"/>
    <mergeCell ref="Q8:R8"/>
    <mergeCell ref="Q4:R4"/>
    <mergeCell ref="Q5:R5"/>
  </mergeCells>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FD9498-567B-4186-8512-F6F33D004FDC}">
  <dimension ref="A1:M39"/>
  <sheetViews>
    <sheetView topLeftCell="A14" zoomScale="93" zoomScaleNormal="151" workbookViewId="0">
      <selection activeCell="I25" sqref="I25"/>
    </sheetView>
  </sheetViews>
  <sheetFormatPr defaultRowHeight="15" x14ac:dyDescent="0.25"/>
  <cols>
    <col min="1" max="1" width="17" bestFit="1" customWidth="1"/>
    <col min="2" max="2" width="23.140625" customWidth="1"/>
    <col min="3" max="3" width="19" customWidth="1"/>
    <col min="4" max="4" width="13.5703125" customWidth="1"/>
    <col min="5" max="5" width="12.28515625" bestFit="1" customWidth="1"/>
    <col min="6" max="6" width="22.5703125" customWidth="1"/>
    <col min="7" max="7" width="13.5703125" customWidth="1"/>
    <col min="8" max="8" width="16" customWidth="1"/>
    <col min="9" max="9" width="15.7109375" customWidth="1"/>
    <col min="12" max="12" width="13.85546875" bestFit="1" customWidth="1"/>
  </cols>
  <sheetData>
    <row r="1" spans="1:13" x14ac:dyDescent="0.25">
      <c r="A1" s="63" t="s">
        <v>13</v>
      </c>
      <c r="B1" s="69" t="s">
        <v>18</v>
      </c>
      <c r="C1" s="69" t="s">
        <v>44</v>
      </c>
      <c r="D1" s="70" t="s">
        <v>37</v>
      </c>
      <c r="E1" s="70" t="s">
        <v>52</v>
      </c>
      <c r="F1" s="45" t="s">
        <v>57</v>
      </c>
      <c r="I1" t="s">
        <v>18</v>
      </c>
      <c r="J1" t="s">
        <v>44</v>
      </c>
      <c r="K1" t="s">
        <v>37</v>
      </c>
      <c r="L1" t="s">
        <v>52</v>
      </c>
      <c r="M1" t="s">
        <v>57</v>
      </c>
    </row>
    <row r="2" spans="1:13" x14ac:dyDescent="0.25">
      <c r="A2" s="16" t="s">
        <v>21</v>
      </c>
      <c r="B2" s="47">
        <v>24079.71</v>
      </c>
      <c r="C2" s="47">
        <v>9625.9699999999993</v>
      </c>
      <c r="D2" s="47">
        <v>22495.010000000002</v>
      </c>
      <c r="E2" s="47">
        <v>26924.320000000003</v>
      </c>
      <c r="F2" s="47">
        <v>3820.0600000000004</v>
      </c>
      <c r="I2">
        <v>24079.71</v>
      </c>
      <c r="J2">
        <v>9625.9699999999993</v>
      </c>
      <c r="K2">
        <v>22495.010000000002</v>
      </c>
      <c r="L2">
        <v>26924.320000000003</v>
      </c>
      <c r="M2">
        <v>3820.0600000000004</v>
      </c>
    </row>
    <row r="3" spans="1:13" x14ac:dyDescent="0.25">
      <c r="A3" s="16" t="s">
        <v>28</v>
      </c>
      <c r="B3" s="47">
        <v>30642.080000000002</v>
      </c>
      <c r="C3" s="47">
        <v>11433.35</v>
      </c>
      <c r="D3" s="47">
        <v>25086.150000000005</v>
      </c>
      <c r="E3" s="47">
        <v>33685.94</v>
      </c>
      <c r="F3" s="47">
        <v>14367.099999999999</v>
      </c>
      <c r="I3">
        <v>30642.080000000002</v>
      </c>
      <c r="J3">
        <v>11433.35</v>
      </c>
      <c r="K3">
        <v>25086.150000000005</v>
      </c>
      <c r="L3">
        <v>33685.94</v>
      </c>
      <c r="M3">
        <v>14367.099999999999</v>
      </c>
    </row>
    <row r="4" spans="1:13" x14ac:dyDescent="0.25">
      <c r="A4" s="16" t="s">
        <v>58</v>
      </c>
      <c r="B4" s="47">
        <v>33225.64</v>
      </c>
      <c r="C4" s="47">
        <v>30263.43</v>
      </c>
      <c r="D4" s="47">
        <v>34174.130000000005</v>
      </c>
      <c r="E4" s="47">
        <v>51860.89</v>
      </c>
      <c r="F4" s="47">
        <v>21644.31</v>
      </c>
      <c r="I4">
        <v>33225.64</v>
      </c>
      <c r="J4">
        <v>30263.43</v>
      </c>
      <c r="K4">
        <v>34174.130000000005</v>
      </c>
      <c r="L4">
        <v>51860.89</v>
      </c>
      <c r="M4">
        <v>21644.31</v>
      </c>
    </row>
    <row r="5" spans="1:13" x14ac:dyDescent="0.25">
      <c r="A5" s="16" t="s">
        <v>87</v>
      </c>
      <c r="B5" s="47">
        <v>6956.41</v>
      </c>
      <c r="C5" s="47">
        <v>6721.25</v>
      </c>
      <c r="D5" s="47">
        <v>7452.9400000000005</v>
      </c>
      <c r="E5" s="47">
        <v>8364.44</v>
      </c>
      <c r="F5" s="47">
        <v>0</v>
      </c>
      <c r="I5">
        <v>6956.41</v>
      </c>
      <c r="J5">
        <v>6721.25</v>
      </c>
      <c r="K5">
        <v>7452.9400000000005</v>
      </c>
      <c r="L5">
        <v>8364.44</v>
      </c>
      <c r="M5">
        <v>0</v>
      </c>
    </row>
    <row r="6" spans="1:13" x14ac:dyDescent="0.25">
      <c r="A6" s="16" t="s">
        <v>39</v>
      </c>
      <c r="B6" s="47">
        <v>8480.99</v>
      </c>
      <c r="C6" s="47">
        <v>2134.23</v>
      </c>
      <c r="D6" s="47">
        <v>16927.670000000002</v>
      </c>
      <c r="E6" s="47">
        <v>2088.92</v>
      </c>
      <c r="F6" s="47">
        <v>5232.2199999999993</v>
      </c>
      <c r="I6">
        <v>8480.99</v>
      </c>
      <c r="J6">
        <v>2134.23</v>
      </c>
      <c r="K6">
        <v>16927.670000000002</v>
      </c>
      <c r="L6">
        <v>2088.92</v>
      </c>
      <c r="M6">
        <v>5232.2199999999993</v>
      </c>
    </row>
    <row r="7" spans="1:13" x14ac:dyDescent="0.25">
      <c r="A7" s="16" t="s">
        <v>130</v>
      </c>
      <c r="B7" s="47">
        <v>6810.06</v>
      </c>
      <c r="C7" s="47">
        <v>12174.14</v>
      </c>
      <c r="D7" s="47">
        <v>8892.01</v>
      </c>
      <c r="E7" s="47">
        <v>6972.93</v>
      </c>
      <c r="F7" s="47">
        <v>2168.3200000000002</v>
      </c>
      <c r="I7">
        <v>6810.06</v>
      </c>
      <c r="J7">
        <v>12174.14</v>
      </c>
      <c r="K7">
        <v>8892.01</v>
      </c>
      <c r="L7">
        <v>6972.93</v>
      </c>
      <c r="M7">
        <v>2168.3200000000002</v>
      </c>
    </row>
    <row r="8" spans="1:13" x14ac:dyDescent="0.25">
      <c r="A8" s="20" t="s">
        <v>21</v>
      </c>
      <c r="B8" s="20">
        <v>6581.57</v>
      </c>
      <c r="C8" s="20">
        <v>3119.2200000000003</v>
      </c>
      <c r="D8" s="20">
        <v>5558.34</v>
      </c>
      <c r="E8" s="20">
        <v>7966.090000000002</v>
      </c>
      <c r="F8" s="20">
        <v>828.0200000000001</v>
      </c>
    </row>
    <row r="9" spans="1:13" x14ac:dyDescent="0.25">
      <c r="A9" s="20" t="s">
        <v>28</v>
      </c>
      <c r="B9" s="20">
        <v>8020.6899999999987</v>
      </c>
      <c r="C9" s="20">
        <v>3735.35</v>
      </c>
      <c r="D9" s="20">
        <v>7458.03</v>
      </c>
      <c r="E9" s="20">
        <v>9028.2000000000007</v>
      </c>
      <c r="F9" s="20">
        <v>3892.48</v>
      </c>
      <c r="H9" s="1" t="s">
        <v>1081</v>
      </c>
      <c r="I9" s="1" t="s">
        <v>1074</v>
      </c>
      <c r="L9" s="71" t="s">
        <v>12</v>
      </c>
      <c r="M9" s="1" t="s">
        <v>1082</v>
      </c>
    </row>
    <row r="10" spans="1:13" x14ac:dyDescent="0.25">
      <c r="A10" s="20" t="s">
        <v>58</v>
      </c>
      <c r="B10" s="20">
        <v>9628.14</v>
      </c>
      <c r="C10" s="20">
        <v>8316.67</v>
      </c>
      <c r="D10" s="20">
        <v>9565.6799999999985</v>
      </c>
      <c r="E10" s="20">
        <v>14439.739999999996</v>
      </c>
      <c r="F10" s="20">
        <v>5965.63</v>
      </c>
      <c r="H10" s="1" t="s">
        <v>21</v>
      </c>
      <c r="I10" s="79">
        <f>AVERAGEIFS(Table15[Profit Margin %],Table15[Region_Code],Rough_Sheet!H10)</f>
        <v>0.26854646749217259</v>
      </c>
      <c r="L10" s="1" t="s">
        <v>32</v>
      </c>
      <c r="M10" s="1">
        <f>COUNTIF(Table15[Order_Priority],Rough_Sheet!L10)</f>
        <v>161</v>
      </c>
    </row>
    <row r="11" spans="1:13" x14ac:dyDescent="0.25">
      <c r="A11" s="20" t="s">
        <v>87</v>
      </c>
      <c r="B11" s="20">
        <v>1989.71</v>
      </c>
      <c r="C11" s="20">
        <v>2149.62</v>
      </c>
      <c r="D11" s="20">
        <v>2392.4</v>
      </c>
      <c r="E11" s="20">
        <v>2435.5899999999997</v>
      </c>
      <c r="F11" s="20">
        <v>0</v>
      </c>
      <c r="H11" s="1" t="s">
        <v>28</v>
      </c>
      <c r="I11" s="79">
        <f>AVERAGEIFS(Table15[Profit Margin %],Table15[Region_Code],Rough_Sheet!H11)</f>
        <v>0.27512997100174685</v>
      </c>
      <c r="L11" s="1" t="s">
        <v>27</v>
      </c>
      <c r="M11" s="1">
        <f>COUNTIF(Table15[Order_Priority],Rough_Sheet!L11)</f>
        <v>171</v>
      </c>
    </row>
    <row r="12" spans="1:13" x14ac:dyDescent="0.25">
      <c r="A12" s="20" t="s">
        <v>39</v>
      </c>
      <c r="B12" s="20">
        <v>2878.44</v>
      </c>
      <c r="C12" s="20">
        <v>416.33</v>
      </c>
      <c r="D12" s="20">
        <v>4721.5000000000009</v>
      </c>
      <c r="E12" s="20">
        <v>451.49</v>
      </c>
      <c r="F12" s="20">
        <v>1868.77</v>
      </c>
      <c r="H12" s="1" t="s">
        <v>58</v>
      </c>
      <c r="I12" s="79">
        <f>AVERAGEIFS(Table15[Profit Margin %],Table15[Region_Code],Rough_Sheet!H12)</f>
        <v>0.27023591536060088</v>
      </c>
      <c r="L12" s="1" t="s">
        <v>20</v>
      </c>
      <c r="M12" s="1">
        <f>COUNTIF(Table15[Order_Priority],Rough_Sheet!L12)</f>
        <v>168</v>
      </c>
    </row>
    <row r="13" spans="1:13" x14ac:dyDescent="0.25">
      <c r="A13" s="20" t="s">
        <v>130</v>
      </c>
      <c r="B13" s="20">
        <v>1578.49</v>
      </c>
      <c r="C13" s="20">
        <v>3656.58</v>
      </c>
      <c r="D13" s="20">
        <v>2126.5400000000004</v>
      </c>
      <c r="E13" s="20">
        <v>2156.23</v>
      </c>
      <c r="F13" s="20">
        <v>644.86</v>
      </c>
      <c r="H13" s="1" t="s">
        <v>87</v>
      </c>
      <c r="I13" s="79">
        <f>AVERAGEIFS(Table15[Profit Margin %],Table15[Region_Code],Rough_Sheet!H13)</f>
        <v>0.29066277278231434</v>
      </c>
    </row>
    <row r="14" spans="1:13" x14ac:dyDescent="0.25">
      <c r="H14" s="1" t="s">
        <v>39</v>
      </c>
      <c r="I14" s="79">
        <f>AVERAGEIFS(Table15[Profit Margin %],Table15[Region_Code],Rough_Sheet!H14)</f>
        <v>0.27734290368891584</v>
      </c>
    </row>
    <row r="15" spans="1:13" x14ac:dyDescent="0.25">
      <c r="H15" s="1" t="s">
        <v>130</v>
      </c>
      <c r="I15" s="79">
        <f>AVERAGEIFS(Table15[Profit Margin %],Table15[Region_Code],Rough_Sheet!H15)</f>
        <v>0.2635977089513406</v>
      </c>
    </row>
    <row r="18" spans="1:6" x14ac:dyDescent="0.25">
      <c r="A18" s="63" t="s">
        <v>13</v>
      </c>
      <c r="B18" s="1" t="s">
        <v>726</v>
      </c>
      <c r="C18" s="40" t="s">
        <v>728</v>
      </c>
      <c r="E18" s="46" t="s">
        <v>18</v>
      </c>
      <c r="F18" s="1">
        <f>SUM(I2:I7)</f>
        <v>110194.89</v>
      </c>
    </row>
    <row r="19" spans="1:6" x14ac:dyDescent="0.25">
      <c r="A19" s="16" t="s">
        <v>21</v>
      </c>
      <c r="B19" s="47">
        <v>86945.07</v>
      </c>
      <c r="C19" s="78">
        <v>24053.24</v>
      </c>
      <c r="E19" s="46" t="s">
        <v>44</v>
      </c>
      <c r="F19" s="1">
        <f>SUM(J2:J7)</f>
        <v>72352.37</v>
      </c>
    </row>
    <row r="20" spans="1:6" x14ac:dyDescent="0.25">
      <c r="A20" s="16" t="s">
        <v>28</v>
      </c>
      <c r="B20" s="47">
        <v>115214.62</v>
      </c>
      <c r="C20" s="78">
        <v>32134.75</v>
      </c>
      <c r="E20" s="47" t="s">
        <v>37</v>
      </c>
      <c r="F20" s="1">
        <f>SUM(K2:K7)</f>
        <v>115027.91</v>
      </c>
    </row>
    <row r="21" spans="1:6" x14ac:dyDescent="0.25">
      <c r="A21" s="16" t="s">
        <v>58</v>
      </c>
      <c r="B21" s="47">
        <v>171168.40000000002</v>
      </c>
      <c r="C21" s="78">
        <v>47915.859999999993</v>
      </c>
      <c r="E21" s="47" t="s">
        <v>52</v>
      </c>
      <c r="F21" s="1">
        <f>SUM(L2:L7)</f>
        <v>129897.44</v>
      </c>
    </row>
    <row r="22" spans="1:6" x14ac:dyDescent="0.25">
      <c r="A22" s="16" t="s">
        <v>87</v>
      </c>
      <c r="B22" s="47">
        <v>29495.040000000001</v>
      </c>
      <c r="C22" s="78">
        <v>8967.32</v>
      </c>
      <c r="E22" s="1" t="s">
        <v>57</v>
      </c>
      <c r="F22" s="1">
        <f>SUM(M2:M7)</f>
        <v>47232.01</v>
      </c>
    </row>
    <row r="23" spans="1:6" x14ac:dyDescent="0.25">
      <c r="A23" s="16" t="s">
        <v>39</v>
      </c>
      <c r="B23" s="47">
        <v>34864.03</v>
      </c>
      <c r="C23" s="78">
        <v>10336.530000000001</v>
      </c>
    </row>
    <row r="24" spans="1:6" x14ac:dyDescent="0.25">
      <c r="A24" s="16" t="s">
        <v>130</v>
      </c>
      <c r="B24" s="47">
        <v>37017.46</v>
      </c>
      <c r="C24" s="78">
        <v>10162.700000000001</v>
      </c>
      <c r="E24" s="1" t="s">
        <v>1078</v>
      </c>
      <c r="F24" s="1">
        <f>SUM(F18:F22)</f>
        <v>474704.62000000005</v>
      </c>
    </row>
    <row r="29" spans="1:6" x14ac:dyDescent="0.25">
      <c r="A29" s="1" t="s">
        <v>1079</v>
      </c>
      <c r="B29" s="1" t="s">
        <v>1080</v>
      </c>
    </row>
    <row r="30" spans="1:6" x14ac:dyDescent="0.25">
      <c r="A30" s="1" t="s">
        <v>43</v>
      </c>
      <c r="B30" s="47">
        <f>SUMIF(Table15[Product],A30,Table15[Total_Sales])</f>
        <v>72352.37000000001</v>
      </c>
    </row>
    <row r="31" spans="1:6" x14ac:dyDescent="0.25">
      <c r="A31" s="1" t="s">
        <v>17</v>
      </c>
      <c r="B31" s="47">
        <f>SUMIF(Table15[Product],A31,Table15[Total_Sales])</f>
        <v>70597.12000000001</v>
      </c>
    </row>
    <row r="32" spans="1:6" x14ac:dyDescent="0.25">
      <c r="A32" s="1" t="s">
        <v>83</v>
      </c>
      <c r="B32" s="47">
        <f>SUMIF(Table15[Product],A32,Table15[Total_Sales])</f>
        <v>52792.43</v>
      </c>
    </row>
    <row r="33" spans="1:2" x14ac:dyDescent="0.25">
      <c r="A33" s="1" t="s">
        <v>56</v>
      </c>
      <c r="B33" s="47">
        <f>SUMIF(Table15[Product],A33,Table15[Total_Sales])</f>
        <v>47232.010000000009</v>
      </c>
    </row>
    <row r="34" spans="1:2" x14ac:dyDescent="0.25">
      <c r="A34" s="1" t="s">
        <v>36</v>
      </c>
      <c r="B34" s="47">
        <f>SUMIF(Table15[Product],A34,Table15[Total_Sales])</f>
        <v>44578.25</v>
      </c>
    </row>
    <row r="35" spans="1:2" x14ac:dyDescent="0.25">
      <c r="A35" s="1" t="s">
        <v>48</v>
      </c>
      <c r="B35" s="47">
        <f>SUMIF(Table15[Product],A35,Table15[Total_Sales])</f>
        <v>44340.380000000005</v>
      </c>
    </row>
    <row r="36" spans="1:2" x14ac:dyDescent="0.25">
      <c r="A36" s="1" t="s">
        <v>60</v>
      </c>
      <c r="B36" s="47">
        <f>SUMIF(Table15[Product],A36,Table15[Total_Sales])</f>
        <v>42228.049999999996</v>
      </c>
    </row>
    <row r="37" spans="1:2" x14ac:dyDescent="0.25">
      <c r="A37" s="1" t="s">
        <v>25</v>
      </c>
      <c r="B37" s="47">
        <f>SUMIF(Table15[Product],A37,Table15[Total_Sales])</f>
        <v>39597.770000000011</v>
      </c>
    </row>
    <row r="38" spans="1:2" x14ac:dyDescent="0.25">
      <c r="A38" s="1" t="s">
        <v>51</v>
      </c>
      <c r="B38" s="47">
        <f>SUMIF(Table15[Product],A38,Table15[Total_Sales])</f>
        <v>34876.959999999992</v>
      </c>
    </row>
    <row r="39" spans="1:2" x14ac:dyDescent="0.25">
      <c r="A39" s="1" t="s">
        <v>63</v>
      </c>
      <c r="B39" s="47">
        <f>SUMIF(Table15[Product],A39,Table15[Total_Sales])</f>
        <v>26109.280000000006</v>
      </c>
    </row>
  </sheetData>
  <autoFilter ref="A29:B39" xr:uid="{D1FD9498-567B-4186-8512-F6F33D004FDC}">
    <sortState xmlns:xlrd2="http://schemas.microsoft.com/office/spreadsheetml/2017/richdata2" ref="A30:B39">
      <sortCondition descending="1" ref="B29:B39"/>
    </sortState>
  </autoFilter>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15</vt:i4>
      </vt:variant>
    </vt:vector>
  </HeadingPairs>
  <TitlesOfParts>
    <vt:vector size="15" baseType="lpstr">
      <vt:lpstr>Region_Master</vt:lpstr>
      <vt:lpstr>Product_Master</vt:lpstr>
      <vt:lpstr>Sales_Data</vt:lpstr>
      <vt:lpstr>Monthly_Targets</vt:lpstr>
      <vt:lpstr>Data Cleaning</vt:lpstr>
      <vt:lpstr>Sales Metrics Analysis</vt:lpstr>
      <vt:lpstr>Text Processing</vt:lpstr>
      <vt:lpstr>Logical Decision Analysis</vt:lpstr>
      <vt:lpstr>Data Lookup &amp; Validation</vt:lpstr>
      <vt:lpstr>Conditional Aggregation Analysi</vt:lpstr>
      <vt:lpstr>Interactive Pivot Analysis</vt:lpstr>
      <vt:lpstr>Data Visualization &amp; Charts</vt:lpstr>
      <vt:lpstr>Excel VBA Automation</vt:lpstr>
      <vt:lpstr>Trade Performance Dashboard</vt:lpstr>
      <vt:lpstr>Rough_Sheet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Anish Parulekar</dc:creator>
  <cp:lastModifiedBy>Anish Parulekar</cp:lastModifiedBy>
  <dcterms:created xsi:type="dcterms:W3CDTF">2026-05-29T08:06:28Z</dcterms:created>
  <dcterms:modified xsi:type="dcterms:W3CDTF">2026-08-02T08:59:35Z</dcterms:modified>
</cp:coreProperties>
</file>